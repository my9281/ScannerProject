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6ee3bf1f2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58233204a04743"/>
    <x:sheet xmlns:r="http://schemas.openxmlformats.org/officeDocument/2006/relationships" name="匹配机型汇总" sheetId="2" r:id="R740bcc19f3af4b57"/>
    <x:sheet xmlns:r="http://schemas.openxmlformats.org/officeDocument/2006/relationships" name="尺寸重量匹配说明" sheetId="3" r:id="R286abe4d1e464e17"/>
    <x:sheet xmlns:r="http://schemas.openxmlformats.org/officeDocument/2006/relationships" name="前10差额分析" sheetId="4" r:id="R22fff3cc00cc4165"/>
    <x:sheet xmlns:r="http://schemas.openxmlformats.org/officeDocument/2006/relationships" name="分析结论与口径" sheetId="5" r:id="R3bc1dfdcffa744ad"/>
    <x:sheet xmlns:r="http://schemas.openxmlformats.org/officeDocument/2006/relationships" name="前十逐票计算说明" sheetId="6" r:id="Rcc8225233ad444d3"/>
    <x:sheet xmlns:r="http://schemas.openxmlformats.org/officeDocument/2006/relationships" name="前50逐票计算说明" sheetId="7" r:id="R2199a652470f4616"/>
    <x:sheet xmlns:r="http://schemas.openxmlformats.org/officeDocument/2006/relationships" name="前50分析汇总" sheetId="8" r:id="R171119c080da44b2"/>
    <x:sheet xmlns:r="http://schemas.openxmlformats.org/officeDocument/2006/relationships" name="全部306票计算说明" sheetId="9" r:id="R21948c0133204f3d"/>
    <x:sheet xmlns:r="http://schemas.openxmlformats.org/officeDocument/2006/relationships" name="全量及剩余部分汇总" sheetId="10" r:id="R719c3c34efae49d7"/>
    <x:sheet xmlns:r="http://schemas.openxmlformats.org/officeDocument/2006/relationships" name="预付实付逐票核验" sheetId="11" r:id="R9279cd8aef7545c2"/>
    <x:sheet xmlns:r="http://schemas.openxmlformats.org/officeDocument/2006/relationships" name="预付实付核验汇总" sheetId="12" r:id="R7f97828771bd48c3"/>
  </x:sheets>
</x:workbook>
</file>

<file path=xl/sharedStrings.xml><?xml version="1.0" encoding="utf-8"?>
<x:sst xmlns:x="http://schemas.openxmlformats.org/spreadsheetml/2006/main">
  <x:si>
    <x:t xml:space="preserve">跟踪号</x:t>
  </x:si>
  <x:si>
    <x:t xml:space="preserve">预收</x:t>
  </x:si>
  <x:si>
    <x:t xml:space="preserve">实收</x:t>
  </x:si>
  <x:si>
    <x:t xml:space="preserve">差额</x:t>
  </x:si>
  <x:si>
    <x:t xml:space="preserve">机型（收货记录）</x:t>
  </x:si>
  <x:si>
    <x:t xml:space="preserve">匹配状态</x:t>
  </x:si>
  <x:si>
    <x:t xml:space="preserve">SN（收货记录）</x:t>
  </x:si>
  <x:si>
    <x:t xml:space="preserve">RMA编号</x:t>
  </x:si>
  <x:si>
    <x:t xml:space="preserve">包裹长度</x:t>
  </x:si>
  <x:si>
    <x:t xml:space="preserve">包裹宽度</x:t>
  </x:si>
  <x:si>
    <x:t xml:space="preserve">包裹高度</x:t>
  </x:si>
  <x:si>
    <x:t xml:space="preserve">实际重量</x:t>
  </x:si>
  <x:si>
    <x:t xml:space="preserve">实际重量单位</x:t>
  </x:si>
  <x:si>
    <x:t xml:space="preserve">计费重量</x:t>
  </x:si>
  <x:si>
    <x:t xml:space="preserve">计费重量单位</x:t>
  </x:si>
  <x:si>
    <x:t xml:space="preserve">预估重量</x:t>
  </x:si>
  <x:si>
    <x:t xml:space="preserve">预估重量单位</x:t>
  </x:si>
  <x:si>
    <x:t xml:space="preserve">寄件人州/省</x:t>
  </x:si>
  <x:si>
    <x:t xml:space="preserve">寄件人城市</x:t>
  </x:si>
  <x:si>
    <x:t xml:space="preserve">收件人州/省</x:t>
  </x:si>
  <x:si>
    <x:t xml:space="preserve">收件人城市</x:t>
  </x:si>
  <x:si>
    <x:t xml:space="preserve">核对表匹配状态</x:t>
  </x:si>
  <x:si>
    <x:t xml:space="preserve">申报单重（订单导出原值）</x:t>
  </x:si>
  <x:si>
    <x:t xml:space="preserve">申报商品及单重明细</x:t>
  </x:si>
  <x:si>
    <x:t xml:space="preserve">874592682792</x:t>
  </x:si>
  <x:si>
    <x:t xml:space="preserve">B4810</x:t>
  </x:si>
  <x:si>
    <x:t xml:space="preserve">已匹配</x:t>
  </x:si>
  <x:si>
    <x:t xml:space="preserve">B48102539000115601</x:t>
  </x:si>
  <x:si>
    <x:t xml:space="preserve">LOG-SRL26073114</x:t>
  </x:si>
  <x:si>
    <x:t xml:space="preserve">lb</x:t>
  </x:si>
  <x:si>
    <x:t xml:space="preserve">MO</x:t>
  </x:si>
  <x:si>
    <x:t xml:space="preserve">ALTENBURG</x:t>
  </x:si>
  <x:si>
    <x:t xml:space="preserve">NJ</x:t>
  </x:si>
  <x:si>
    <x:t xml:space="preserve">NEW BRUNSWICK</x:t>
  </x:si>
  <x:si>
    <x:t xml:space="preserve">B4810：1</x:t>
  </x:si>
  <x:si>
    <x:t xml:space="preserve">873982034526</x:t>
  </x:si>
  <x:si>
    <x:t xml:space="preserve">B500K</x:t>
  </x:si>
  <x:si>
    <x:t xml:space="preserve">B500K2548131349613</x:t>
  </x:si>
  <x:si>
    <x:t xml:space="preserve">LOG-SRD26070955</x:t>
  </x:si>
  <x:si>
    <x:t xml:space="preserve">NC</x:t>
  </x:si>
  <x:si>
    <x:t xml:space="preserve">WAKE FOREST</x:t>
  </x:si>
  <x:si>
    <x:t xml:space="preserve">B500K：48.217</x:t>
  </x:si>
  <x:si>
    <x:t xml:space="preserve">874031949101</x:t>
  </x:si>
  <x:si>
    <x:t xml:space="preserve">EL300</x:t>
  </x:si>
  <x:si>
    <x:t xml:space="preserve">EL3002613132055849</x:t>
  </x:si>
  <x:si>
    <x:t xml:space="preserve">LOG-SRD26070956</x:t>
  </x:si>
  <x:si>
    <x:t xml:space="preserve">FL</x:t>
  </x:si>
  <x:si>
    <x:t xml:space="preserve">MIAMI</x:t>
  </x:si>
  <x:si>
    <x:t xml:space="preserve">ELITE300：24.04</x:t>
  </x:si>
  <x:si>
    <x:t xml:space="preserve">872732293053</x:t>
  </x:si>
  <x:si>
    <x:t xml:space="preserve">AC180</x:t>
  </x:si>
  <x:si>
    <x:t xml:space="preserve">AC1802443001422018</x:t>
  </x:si>
  <x:si>
    <x:t xml:space="preserve">LOG-CRP26060658</x:t>
  </x:si>
  <x:si>
    <x:t xml:space="preserve">未匹配</x:t>
  </x:si>
  <x:si>
    <x:t xml:space="preserve">AC180：17.237</x:t>
  </x:si>
  <x:si>
    <x:t xml:space="preserve">873651415340</x:t>
  </x:si>
  <x:si>
    <x:t xml:space="preserve">AC200M</x:t>
  </x:si>
  <x:si>
    <x:t xml:space="preserve">AC200M2342001617281</x:t>
  </x:si>
  <x:si>
    <x:t xml:space="preserve">LOG-CRP26063079</x:t>
  </x:si>
  <x:si>
    <x:t xml:space="preserve">NY</x:t>
  </x:si>
  <x:si>
    <x:t xml:space="preserve">BROOKLYN</x:t>
  </x:si>
  <x:si>
    <x:t xml:space="preserve">AC200MAX：19.504</x:t>
  </x:si>
  <x:si>
    <x:t xml:space="preserve">874033170005</x:t>
  </x:si>
  <x:si>
    <x:t xml:space="preserve">Elite 200 V2</x:t>
  </x:si>
  <x:si>
    <x:t xml:space="preserve">Elite 200 V22541002249456</x:t>
  </x:si>
  <x:si>
    <x:t xml:space="preserve">LOG-SRD26070884</x:t>
  </x:si>
  <x:si>
    <x:t xml:space="preserve">IL</x:t>
  </x:si>
  <x:si>
    <x:t xml:space="preserve">GURNEE</x:t>
  </x:si>
  <x:si>
    <x:t xml:space="preserve">BLUETTI Elite 200 V2：29.03</x:t>
  </x:si>
  <x:si>
    <x:t xml:space="preserve">874280719368</x:t>
  </x:si>
  <x:si>
    <x:t xml:space="preserve">AC200L</x:t>
  </x:si>
  <x:si>
    <x:t xml:space="preserve">AC200L2441001179415</x:t>
  </x:si>
  <x:si>
    <x:t xml:space="preserve">LOG-SRL26071782</x:t>
  </x:si>
  <x:si>
    <x:t xml:space="preserve">SC</x:t>
  </x:si>
  <x:si>
    <x:t xml:space="preserve">CHARLESTON</x:t>
  </x:si>
  <x:si>
    <x:t xml:space="preserve">AC200L：25.401</x:t>
  </x:si>
  <x:si>
    <x:t xml:space="preserve">874288041990</x:t>
  </x:si>
  <x:si>
    <x:t xml:space="preserve">AC1802411002158064</x:t>
  </x:si>
  <x:si>
    <x:t xml:space="preserve">LOG-CRP26071850</x:t>
  </x:si>
  <x:si>
    <x:t xml:space="preserve">CA</x:t>
  </x:si>
  <x:si>
    <x:t xml:space="preserve">PITTSBURG</x:t>
  </x:si>
  <x:si>
    <x:t xml:space="preserve">873966246974</x:t>
  </x:si>
  <x:si>
    <x:t xml:space="preserve">EL100V2</x:t>
  </x:si>
  <x:si>
    <x:t xml:space="preserve">EL100V22540002578241</x:t>
  </x:si>
  <x:si>
    <x:t xml:space="preserve">LOG-SRL26070642</x:t>
  </x:si>
  <x:si>
    <x:t xml:space="preserve">IA</x:t>
  </x:si>
  <x:si>
    <x:t xml:space="preserve">MARION</x:t>
  </x:si>
  <x:si>
    <x:t xml:space="preserve">EL100V2：11.34</x:t>
  </x:si>
  <x:si>
    <x:t xml:space="preserve">874516692368</x:t>
  </x:si>
  <x:si>
    <x:t xml:space="preserve">FRPOWER</x:t>
  </x:si>
  <x:si>
    <x:t xml:space="preserve">FP2543112288908</x:t>
  </x:si>
  <x:si>
    <x:t xml:space="preserve">LOG-SRL26072823</x:t>
  </x:si>
  <x:si>
    <x:t xml:space="preserve">PA</x:t>
  </x:si>
  <x:si>
    <x:t xml:space="preserve">COOPERSBURG</x:t>
  </x:si>
  <x:si>
    <x:t xml:space="preserve">FridgePower：20</x:t>
  </x:si>
  <x:si>
    <x:t xml:space="preserve">873808852054</x:t>
  </x:si>
  <x:si>
    <x:t xml:space="preserve">FP2604139141537</x:t>
  </x:si>
  <x:si>
    <x:t xml:space="preserve">LOG-SRL26070135</x:t>
  </x:si>
  <x:si>
    <x:t xml:space="preserve">874499950834</x:t>
  </x:si>
  <x:si>
    <x:t xml:space="preserve">AP300</x:t>
  </x:si>
  <x:si>
    <x:t xml:space="preserve">AP3002539000203873</x:t>
  </x:si>
  <x:si>
    <x:t xml:space="preserve">LOG-CRP26072673</x:t>
  </x:si>
  <x:si>
    <x:t xml:space="preserve">GA</x:t>
  </x:si>
  <x:si>
    <x:t xml:space="preserve">KATHLEEN</x:t>
  </x:si>
  <x:si>
    <x:t xml:space="preserve">商品名称为空：0</x:t>
  </x:si>
  <x:si>
    <x:t xml:space="preserve">874276968840</x:t>
  </x:si>
  <x:si>
    <x:t xml:space="preserve">EL3002610132713288</x:t>
  </x:si>
  <x:si>
    <x:t xml:space="preserve">LOG-SRL26072015</x:t>
  </x:si>
  <x:si>
    <x:t xml:space="preserve">DOYLESTOWN</x:t>
  </x:si>
  <x:si>
    <x:t xml:space="preserve">Elite 300：0</x:t>
  </x:si>
  <x:si>
    <x:t xml:space="preserve">875147813128</x:t>
  </x:si>
  <x:si>
    <x:t xml:space="preserve">Charger 1：3.629</x:t>
  </x:si>
  <x:si>
    <x:t xml:space="preserve">873757186200</x:t>
  </x:si>
  <x:si>
    <x:t xml:space="preserve">EL200V2</x:t>
  </x:si>
  <x:si>
    <x:t xml:space="preserve">Elite 200 V22543139430611</x:t>
  </x:si>
  <x:si>
    <x:t xml:space="preserve">LOG-SRD26070872</x:t>
  </x:si>
  <x:si>
    <x:t xml:space="preserve">MD</x:t>
  </x:si>
  <x:si>
    <x:t xml:space="preserve">LAUREL</x:t>
  </x:si>
  <x:si>
    <x:t xml:space="preserve">Elite 200 V2：28.985</x:t>
  </x:si>
  <x:si>
    <x:t xml:space="preserve">874206087834</x:t>
  </x:si>
  <x:si>
    <x:t xml:space="preserve">EL100V22539001340413</x:t>
  </x:si>
  <x:si>
    <x:t xml:space="preserve">LOG-SRL26071531</x:t>
  </x:si>
  <x:si>
    <x:t xml:space="preserve">WILLOW SPRINGS</x:t>
  </x:si>
  <x:si>
    <x:t xml:space="preserve">elite 100v2：13</x:t>
  </x:si>
  <x:si>
    <x:t xml:space="preserve">873066802429</x:t>
  </x:si>
  <x:si>
    <x:t xml:space="preserve">AC200L2451000987452</x:t>
  </x:si>
  <x:si>
    <x:t xml:space="preserve">LOG-SRL26061508</x:t>
  </x:si>
  <x:si>
    <x:t xml:space="preserve">ME</x:t>
  </x:si>
  <x:si>
    <x:t xml:space="preserve">SHAPLEIGH</x:t>
  </x:si>
  <x:si>
    <x:t xml:space="preserve">AC70：10.433</x:t>
  </x:si>
  <x:si>
    <x:t xml:space="preserve">873550710598</x:t>
  </x:si>
  <x:si>
    <x:t xml:space="preserve">EL200</x:t>
  </x:si>
  <x:si>
    <x:t xml:space="preserve">Elite 200 V22543137014462</x:t>
  </x:si>
  <x:si>
    <x:t xml:space="preserve">LOG-SRD26062910</x:t>
  </x:si>
  <x:si>
    <x:t xml:space="preserve">TX</x:t>
  </x:si>
  <x:si>
    <x:t xml:space="preserve">BOERNE</x:t>
  </x:si>
  <x:si>
    <x:t xml:space="preserve">ELITE100V2：19.504</x:t>
  </x:si>
  <x:si>
    <x:t xml:space="preserve">873867357360</x:t>
  </x:si>
  <x:si>
    <x:t xml:space="preserve">EL400</x:t>
  </x:si>
  <x:si>
    <x:t xml:space="preserve">EL4002538211414193</x:t>
  </x:si>
  <x:si>
    <x:t xml:space="preserve">LOG-SRL26070337</x:t>
  </x:si>
  <x:si>
    <x:t xml:space="preserve">ITHACA</x:t>
  </x:si>
  <x:si>
    <x:t xml:space="preserve">Elite 400：1</x:t>
  </x:si>
  <x:si>
    <x:t xml:space="preserve">874146533931</x:t>
  </x:si>
  <x:si>
    <x:t xml:space="preserve">EL100V22523100352974</x:t>
  </x:si>
  <x:si>
    <x:t xml:space="preserve">LOG-SRL26071262</x:t>
  </x:si>
  <x:si>
    <x:t xml:space="preserve">AL</x:t>
  </x:si>
  <x:si>
    <x:t xml:space="preserve">MADISON</x:t>
  </x:si>
  <x:si>
    <x:t xml:space="preserve">874207551259</x:t>
  </x:si>
  <x:si>
    <x:t xml:space="preserve">AC70</x:t>
  </x:si>
  <x:si>
    <x:t xml:space="preserve">AC702539011206091</x:t>
  </x:si>
  <x:si>
    <x:t xml:space="preserve">LOG-SRD26073438</x:t>
  </x:si>
  <x:si>
    <x:t xml:space="preserve">GRANT</x:t>
  </x:si>
  <x:si>
    <x:t xml:space="preserve">AC70：8.165</x:t>
  </x:si>
  <x:si>
    <x:t xml:space="preserve">873910359390</x:t>
  </x:si>
  <x:si>
    <x:t xml:space="preserve">EL100V22532070085748</x:t>
  </x:si>
  <x:si>
    <x:t xml:space="preserve">LOG-SRL26070871</x:t>
  </x:si>
  <x:si>
    <x:t xml:space="preserve">ATLANTA</x:t>
  </x:si>
  <x:si>
    <x:t xml:space="preserve">BLUETTI Elite 100 V2：12.338</x:t>
  </x:si>
  <x:si>
    <x:t xml:space="preserve">873244180333</x:t>
  </x:si>
  <x:si>
    <x:t xml:space="preserve">Elite 200 V22541002430109</x:t>
  </x:si>
  <x:si>
    <x:t xml:space="preserve">LOG-SRD26062194</x:t>
  </x:si>
  <x:si>
    <x:t xml:space="preserve">HOSCHTON</x:t>
  </x:si>
  <x:si>
    <x:t xml:space="preserve">ELITE200V2：19.504</x:t>
  </x:si>
  <x:si>
    <x:t xml:space="preserve">873109426400</x:t>
  </x:si>
  <x:si>
    <x:t xml:space="preserve">Austin</x:t>
  </x:si>
  <x:si>
    <x:t xml:space="preserve">875028998897</x:t>
  </x:si>
  <x:si>
    <x:t xml:space="preserve">Elite 200 V22537022642545</x:t>
  </x:si>
  <x:si>
    <x:t xml:space="preserve">LOG-SRD26074726</x:t>
  </x:si>
  <x:si>
    <x:t xml:space="preserve">ELITE200V2：21.772</x:t>
  </x:si>
  <x:si>
    <x:t xml:space="preserve">875130751304</x:t>
  </x:si>
  <x:si>
    <x:t xml:space="preserve">FP2542115928489</x:t>
  </x:si>
  <x:si>
    <x:t xml:space="preserve">LOG-SRL26074971</x:t>
  </x:si>
  <x:si>
    <x:t xml:space="preserve">Fridge Power：0</x:t>
  </x:si>
  <x:si>
    <x:t xml:space="preserve">875134297499</x:t>
  </x:si>
  <x:si>
    <x:t xml:space="preserve">FP2543112485057</x:t>
  </x:si>
  <x:si>
    <x:t xml:space="preserve">LOG-SRL26074999</x:t>
  </x:si>
  <x:si>
    <x:t xml:space="preserve">FridgePower：19.731</x:t>
  </x:si>
  <x:si>
    <x:t xml:space="preserve">874765539780</x:t>
  </x:si>
  <x:si>
    <x:t xml:space="preserve">AC200L2439001467611</x:t>
  </x:si>
  <x:si>
    <x:t xml:space="preserve">LOG-SRD26073899</x:t>
  </x:si>
  <x:si>
    <x:t xml:space="preserve">AC200L：21.772</x:t>
  </x:si>
  <x:si>
    <x:t xml:space="preserve">873914785670</x:t>
  </x:si>
  <x:si>
    <x:t xml:space="preserve">EL100V22542002250703</x:t>
  </x:si>
  <x:si>
    <x:t xml:space="preserve">LOG-SRL26070470</x:t>
  </x:si>
  <x:si>
    <x:t xml:space="preserve">BLOUNTSVILLE</x:t>
  </x:si>
  <x:si>
    <x:t xml:space="preserve">873804755283</x:t>
  </x:si>
  <x:si>
    <x:t xml:space="preserve">FridgePower</x:t>
  </x:si>
  <x:si>
    <x:t xml:space="preserve">FP2604139100585</x:t>
  </x:si>
  <x:si>
    <x:t xml:space="preserve">LOG-SRL26070086</x:t>
  </x:si>
  <x:si>
    <x:t xml:space="preserve">CLERMONT</x:t>
  </x:si>
  <x:si>
    <x:t xml:space="preserve">875020713663</x:t>
  </x:si>
  <x:si>
    <x:t xml:space="preserve">AC300</x:t>
  </x:si>
  <x:si>
    <x:t xml:space="preserve">AC3002224000438005</x:t>
  </x:si>
  <x:si>
    <x:t xml:space="preserve">LOG-CRP26075025</x:t>
  </x:si>
  <x:si>
    <x:t xml:space="preserve">AC300：1</x:t>
  </x:si>
  <x:si>
    <x:t xml:space="preserve">874042653905</x:t>
  </x:si>
  <x:si>
    <x:t xml:space="preserve">EL3002613132691982</x:t>
  </x:si>
  <x:si>
    <x:t xml:space="preserve">LOG-SRL26070958</x:t>
  </x:si>
  <x:si>
    <x:t xml:space="preserve">OH</x:t>
  </x:si>
  <x:si>
    <x:t xml:space="preserve">DUPONT</x:t>
  </x:si>
  <x:si>
    <x:t xml:space="preserve">AC200L：19.504</x:t>
  </x:si>
  <x:si>
    <x:t xml:space="preserve">873362675888</x:t>
  </x:si>
  <x:si>
    <x:t xml:space="preserve">AC3002221001473503</x:t>
  </x:si>
  <x:si>
    <x:t xml:space="preserve">LOG-SRL26062173</x:t>
  </x:si>
  <x:si>
    <x:t xml:space="preserve">DEBARY</x:t>
  </x:si>
  <x:si>
    <x:t xml:space="preserve">874284365236</x:t>
  </x:si>
  <x:si>
    <x:t xml:space="preserve">AC3002512000790361</x:t>
  </x:si>
  <x:si>
    <x:t xml:space="preserve">LOG-SRI26071814</x:t>
  </x:si>
  <x:si>
    <x:t xml:space="preserve">JONESBORO</x:t>
  </x:si>
  <x:si>
    <x:t xml:space="preserve">874658545575</x:t>
  </x:si>
  <x:si>
    <x:t xml:space="preserve">AC200L2450001902634</x:t>
  </x:si>
  <x:si>
    <x:t xml:space="preserve">LOG-SRD26073516</x:t>
  </x:si>
  <x:si>
    <x:t xml:space="preserve">CT</x:t>
  </x:si>
  <x:si>
    <x:t xml:space="preserve">HAMDEN</x:t>
  </x:si>
  <x:si>
    <x:t xml:space="preserve">874349396659</x:t>
  </x:si>
  <x:si>
    <x:t xml:space="preserve">FP2</x:t>
  </x:si>
  <x:si>
    <x:t xml:space="preserve">FP2604137071496</x:t>
  </x:si>
  <x:si>
    <x:t xml:space="preserve">LOG-SRL26072073</x:t>
  </x:si>
  <x:si>
    <x:t xml:space="preserve">874825347598</x:t>
  </x:si>
  <x:si>
    <x:t xml:space="preserve">FP2604137177596</x:t>
  </x:si>
  <x:si>
    <x:t xml:space="preserve">LOG-SRD26074040</x:t>
  </x:si>
  <x:si>
    <x:t xml:space="preserve">DENVER</x:t>
  </x:si>
  <x:si>
    <x:t xml:space="preserve">874712976955</x:t>
  </x:si>
  <x:si>
    <x:t xml:space="preserve">Elite 200 V22620130288148</x:t>
  </x:si>
  <x:si>
    <x:t xml:space="preserve">LOG-SRD26073661</x:t>
  </x:si>
  <x:si>
    <x:t xml:space="preserve">MA</x:t>
  </x:si>
  <x:si>
    <x:t xml:space="preserve">BOSTON</x:t>
  </x:si>
  <x:si>
    <x:t xml:space="preserve">874587829088</x:t>
  </x:si>
  <x:si>
    <x:t xml:space="preserve">AC3002233000181346</x:t>
  </x:si>
  <x:si>
    <x:t xml:space="preserve">LOG-CRP26073816</x:t>
  </x:si>
  <x:si>
    <x:t xml:space="preserve">商品名称为空：1</x:t>
  </x:si>
  <x:si>
    <x:t xml:space="preserve">874036973093</x:t>
  </x:si>
  <x:si>
    <x:t xml:space="preserve">FP2543112120624</x:t>
  </x:si>
  <x:si>
    <x:t xml:space="preserve">LOG-SRD26071378</x:t>
  </x:si>
  <x:si>
    <x:t xml:space="preserve">CONWAY</x:t>
  </x:si>
  <x:si>
    <x:t xml:space="preserve">FRPOWER：21.5</x:t>
  </x:si>
  <x:si>
    <x:t xml:space="preserve">873132283590</x:t>
  </x:si>
  <x:si>
    <x:t xml:space="preserve">LOG-SRL26061700</x:t>
  </x:si>
  <x:si>
    <x:t xml:space="preserve">MI</x:t>
  </x:si>
  <x:si>
    <x:t xml:space="preserve">CLINTON TOWNSHIP</x:t>
  </x:si>
  <x:si>
    <x:t xml:space="preserve">874289169525</x:t>
  </x:si>
  <x:si>
    <x:t xml:space="preserve">EL100V22537005256355</x:t>
  </x:si>
  <x:si>
    <x:t xml:space="preserve">LOG-SRL26071866</x:t>
  </x:si>
  <x:si>
    <x:t xml:space="preserve">SUMMERFIELD</x:t>
  </x:si>
  <x:si>
    <x:t xml:space="preserve">Elite 100 V2：1</x:t>
  </x:si>
  <x:si>
    <x:t xml:space="preserve">873475760387</x:t>
  </x:si>
  <x:si>
    <x:t xml:space="preserve">FP2604137198368</x:t>
  </x:si>
  <x:si>
    <x:t xml:space="preserve">LOG-SRL26062415</x:t>
  </x:si>
  <x:si>
    <x:t xml:space="preserve">SOUTHAMPTON</x:t>
  </x:si>
  <x:si>
    <x:t xml:space="preserve">873124536230</x:t>
  </x:si>
  <x:si>
    <x:t xml:space="preserve">EL4002604130341605</x:t>
  </x:si>
  <x:si>
    <x:t xml:space="preserve">LOG-SRD26061707</x:t>
  </x:si>
  <x:si>
    <x:t xml:space="preserve">BOONE</x:t>
  </x:si>
  <x:si>
    <x:t xml:space="preserve">ELITE400：27.216</x:t>
  </x:si>
  <x:si>
    <x:t xml:space="preserve">874147241971</x:t>
  </x:si>
  <x:si>
    <x:t xml:space="preserve">EL100V22522010423113</x:t>
  </x:si>
  <x:si>
    <x:t xml:space="preserve">LOG-SRL26071276</x:t>
  </x:si>
  <x:si>
    <x:t xml:space="preserve">AVON LAKE</x:t>
  </x:si>
  <x:si>
    <x:t xml:space="preserve">874085171465</x:t>
  </x:si>
  <x:si>
    <x:t xml:space="preserve">EL100V22542002821789</x:t>
  </x:si>
  <x:si>
    <x:t xml:space="preserve">LOG-SRL26070954</x:t>
  </x:si>
  <x:si>
    <x:t xml:space="preserve">PITTSBURGH</x:t>
  </x:si>
  <x:si>
    <x:t xml:space="preserve">874909437335</x:t>
  </x:si>
  <x:si>
    <x:t xml:space="preserve">EL100V22534009763257</x:t>
  </x:si>
  <x:si>
    <x:t xml:space="preserve">LOG-SRL26074265</x:t>
  </x:si>
  <x:si>
    <x:t xml:space="preserve">873149110472</x:t>
  </x:si>
  <x:si>
    <x:t xml:space="preserve">DECATUR</x:t>
  </x:si>
  <x:si>
    <x:t xml:space="preserve">874200404197</x:t>
  </x:si>
  <x:si>
    <x:t xml:space="preserve">EL100V22532000220296</x:t>
  </x:si>
  <x:si>
    <x:t xml:space="preserve">LOG-SRD26072366</x:t>
  </x:si>
  <x:si>
    <x:t xml:space="preserve">BALDWINSVILLE</x:t>
  </x:si>
  <x:si>
    <x:t xml:space="preserve">873599566482</x:t>
  </x:si>
  <x:si>
    <x:t xml:space="preserve">FREEPORT</x:t>
  </x:si>
  <x:si>
    <x:t xml:space="preserve">RIDGEFIELD</x:t>
  </x:si>
  <x:si>
    <x:t xml:space="preserve">PV350：18.6</x:t>
  </x:si>
  <x:si>
    <x:t xml:space="preserve">873803439087</x:t>
  </x:si>
  <x:si>
    <x:t xml:space="preserve">AC702444001363827</x:t>
  </x:si>
  <x:si>
    <x:t xml:space="preserve">LOG-CRP26070066</x:t>
  </x:si>
  <x:si>
    <x:t xml:space="preserve">DALLAS</x:t>
  </x:si>
  <x:si>
    <x:t xml:space="preserve">AC70：1</x:t>
  </x:si>
  <x:si>
    <x:t xml:space="preserve">873743038264</x:t>
  </x:si>
  <x:si>
    <x:t xml:space="preserve">PV350</x:t>
  </x:si>
  <x:si>
    <x:t xml:space="preserve">DGM2524PV350D00662</x:t>
  </x:si>
  <x:si>
    <x:t xml:space="preserve">LOG-SRD26073974</x:t>
  </x:si>
  <x:si>
    <x:t xml:space="preserve">PV350：1</x:t>
  </x:si>
  <x:si>
    <x:t xml:space="preserve">873967903896</x:t>
  </x:si>
  <x:si>
    <x:t xml:space="preserve">EL30V2</x:t>
  </x:si>
  <x:si>
    <x:t xml:space="preserve">EL30V22539000645863</x:t>
  </x:si>
  <x:si>
    <x:t xml:space="preserve">LOG-SRL26070651</x:t>
  </x:si>
  <x:si>
    <x:t xml:space="preserve">WI</x:t>
  </x:si>
  <x:si>
    <x:t xml:space="preserve">WHITE LAKE</x:t>
  </x:si>
  <x:si>
    <x:t xml:space="preserve">EL30V2：4.536</x:t>
  </x:si>
  <x:si>
    <x:t xml:space="preserve">874596029426</x:t>
  </x:si>
  <x:si>
    <x:t xml:space="preserve">DMM04-22PV35000376</x:t>
  </x:si>
  <x:si>
    <x:t xml:space="preserve">LOG-SRD26073158</x:t>
  </x:si>
  <x:si>
    <x:t xml:space="preserve">STEVENS</x:t>
  </x:si>
  <x:si>
    <x:t xml:space="preserve">874585659895</x:t>
  </x:si>
  <x:si>
    <x:t xml:space="preserve">AC3002142000035526</x:t>
  </x:si>
  <x:si>
    <x:t xml:space="preserve">LOG-CRP26073021</x:t>
  </x:si>
  <x:si>
    <x:t xml:space="preserve">DE</x:t>
  </x:si>
  <x:si>
    <x:t xml:space="preserve">MIDDLETOWN</x:t>
  </x:si>
  <x:si>
    <x:t xml:space="preserve">AC300：29.484</x:t>
  </x:si>
  <x:si>
    <x:t xml:space="preserve">874206828837</x:t>
  </x:si>
  <x:si>
    <x:t xml:space="preserve">EL3002613135066933</x:t>
  </x:si>
  <x:si>
    <x:t xml:space="preserve">LOG-SRD26071539</x:t>
  </x:si>
  <x:si>
    <x:t xml:space="preserve">ROSEBORO</x:t>
  </x:si>
  <x:si>
    <x:t xml:space="preserve">30 / 30</x:t>
  </x:si>
  <x:si>
    <x:t xml:space="preserve">elite300：30；elite300：30</x:t>
  </x:si>
  <x:si>
    <x:t xml:space="preserve">873067151160</x:t>
  </x:si>
  <x:si>
    <x:t xml:space="preserve">EL100V22523010258882</x:t>
  </x:si>
  <x:si>
    <x:t xml:space="preserve">LOG-SRL26061514</x:t>
  </x:si>
  <x:si>
    <x:t xml:space="preserve">FORT LAUDERDALE</x:t>
  </x:si>
  <x:si>
    <x:t xml:space="preserve">874027781816</x:t>
  </x:si>
  <x:si>
    <x:t xml:space="preserve">AC702549233529809</x:t>
  </x:si>
  <x:si>
    <x:t xml:space="preserve">LOG-SRD26070770</x:t>
  </x:si>
  <x:si>
    <x:t xml:space="preserve">RICHMOND HILL</x:t>
  </x:si>
  <x:si>
    <x:t xml:space="preserve">AC70：10.206</x:t>
  </x:si>
  <x:si>
    <x:t xml:space="preserve">872831064790</x:t>
  </x:si>
  <x:si>
    <x:t xml:space="preserve">CHARGER2</x:t>
  </x:si>
  <x:si>
    <x:t xml:space="preserve">CHARGER22605139113776</x:t>
  </x:si>
  <x:si>
    <x:t xml:space="preserve">LOG-SRN26060945</x:t>
  </x:si>
  <x:si>
    <x:t xml:space="preserve">Charger 2：1</x:t>
  </x:si>
  <x:si>
    <x:t xml:space="preserve">875086683086</x:t>
  </x:si>
  <x:si>
    <x:t xml:space="preserve">B300</x:t>
  </x:si>
  <x:si>
    <x:t xml:space="preserve">60300Q22250755</x:t>
  </x:si>
  <x:si>
    <x:t xml:space="preserve">LOG-SRL26074883</x:t>
  </x:si>
  <x:si>
    <x:t xml:space="preserve">B300：1</x:t>
  </x:si>
  <x:si>
    <x:t xml:space="preserve">874595913300</x:t>
  </x:si>
  <x:si>
    <x:t xml:space="preserve">AP3002531000582565</x:t>
  </x:si>
  <x:si>
    <x:t xml:space="preserve">Apex300：1</x:t>
  </x:si>
  <x:si>
    <x:t xml:space="preserve">874595829270</x:t>
  </x:si>
  <x:si>
    <x:t xml:space="preserve">AP3002531000579287</x:t>
  </x:si>
  <x:si>
    <x:t xml:space="preserve">874595766890</x:t>
  </x:si>
  <x:si>
    <x:t xml:space="preserve">AP3002531000578751</x:t>
  </x:si>
  <x:si>
    <x:t xml:space="preserve">873668650078</x:t>
  </x:si>
  <x:si>
    <x:t xml:space="preserve">RV5</x:t>
  </x:si>
  <x:si>
    <x:t xml:space="preserve">RV52534020622093</x:t>
  </x:si>
  <x:si>
    <x:t xml:space="preserve">LOG-SRD26063011</x:t>
  </x:si>
  <x:si>
    <x:t xml:space="preserve">STERLING</x:t>
  </x:si>
  <x:si>
    <x:t xml:space="preserve">874085169204</x:t>
  </x:si>
  <x:si>
    <x:t xml:space="preserve">EL100V22526090615723</x:t>
  </x:si>
  <x:si>
    <x:t xml:space="preserve">LOG-CRP26070960</x:t>
  </x:si>
  <x:si>
    <x:t xml:space="preserve">ELKRIDGE</x:t>
  </x:si>
  <x:si>
    <x:t xml:space="preserve">Elite 100 V2：15</x:t>
  </x:si>
  <x:si>
    <x:t xml:space="preserve">873685329559</x:t>
  </x:si>
  <x:si>
    <x:t xml:space="preserve">AC1802441000095273</x:t>
  </x:si>
  <x:si>
    <x:t xml:space="preserve">LOG-SRL26063299</x:t>
  </x:si>
  <x:si>
    <x:t xml:space="preserve">LONGBOAT KEY</x:t>
  </x:si>
  <x:si>
    <x:t xml:space="preserve">874145228294</x:t>
  </x:si>
  <x:si>
    <x:t xml:space="preserve">EL30V22616130373363</x:t>
  </x:si>
  <x:si>
    <x:t xml:space="preserve">LOG-SRD26071242</x:t>
  </x:si>
  <x:si>
    <x:t xml:space="preserve">MCHENRY</x:t>
  </x:si>
  <x:si>
    <x:t xml:space="preserve">Elite 30 V2：8</x:t>
  </x:si>
  <x:si>
    <x:t xml:space="preserve">873223702212</x:t>
  </x:si>
  <x:si>
    <x:t xml:space="preserve">AC1802444001000219</x:t>
  </x:si>
  <x:si>
    <x:t xml:space="preserve">LOG-CRP26061892</x:t>
  </x:si>
  <x:si>
    <x:t xml:space="preserve">WA</x:t>
  </x:si>
  <x:si>
    <x:t xml:space="preserve">KELSO</x:t>
  </x:si>
  <x:si>
    <x:t xml:space="preserve">AC180：7.5</x:t>
  </x:si>
  <x:si>
    <x:t xml:space="preserve">874461107975</x:t>
  </x:si>
  <x:si>
    <x:t xml:space="preserve">EL100V22542001499797</x:t>
  </x:si>
  <x:si>
    <x:t xml:space="preserve">LOG-SRL26072566</x:t>
  </x:si>
  <x:si>
    <x:t xml:space="preserve">873487241521</x:t>
  </x:si>
  <x:si>
    <x:t xml:space="preserve">AC1802535025210237</x:t>
  </x:si>
  <x:si>
    <x:t xml:space="preserve">LOG-SRD26062549</x:t>
  </x:si>
  <x:si>
    <x:t xml:space="preserve">WARNER ROBINS</x:t>
  </x:si>
  <x:si>
    <x:t xml:space="preserve">AC180：10.433</x:t>
  </x:si>
  <x:si>
    <x:t xml:space="preserve">874284543204</x:t>
  </x:si>
  <x:si>
    <x:t xml:space="preserve">EL30V</x:t>
  </x:si>
  <x:si>
    <x:t xml:space="preserve">EL30V22617131159222</x:t>
  </x:si>
  <x:si>
    <x:t xml:space="preserve">LOG-SRD26071818</x:t>
  </x:si>
  <x:si>
    <x:t xml:space="preserve">LONG BEACH</x:t>
  </x:si>
  <x:si>
    <x:t xml:space="preserve">5 / 2</x:t>
  </x:si>
  <x:si>
    <x:t xml:space="preserve">elite30v2：5；60w：2</x:t>
  </x:si>
  <x:si>
    <x:t xml:space="preserve">873341808833</x:t>
  </x:si>
  <x:si>
    <x:t xml:space="preserve">SOLARX 4K</x:t>
  </x:si>
  <x:si>
    <x:t xml:space="preserve">SolarX 4K2537110084548</x:t>
  </x:si>
  <x:si>
    <x:t xml:space="preserve">LOG-SRL26062052</x:t>
  </x:si>
  <x:si>
    <x:t xml:space="preserve">ALIQUIPPA</x:t>
  </x:si>
  <x:si>
    <x:t xml:space="preserve">SolarX 4K：10.433</x:t>
  </x:si>
  <x:si>
    <x:t xml:space="preserve">874354963354</x:t>
  </x:si>
  <x:si>
    <x:t xml:space="preserve">EL4002604235362146</x:t>
  </x:si>
  <x:si>
    <x:t xml:space="preserve">LOG-SRD26072402</x:t>
  </x:si>
  <x:si>
    <x:t xml:space="preserve">NAPLES</x:t>
  </x:si>
  <x:si>
    <x:t xml:space="preserve">ELITE400：25.401</x:t>
  </x:si>
  <x:si>
    <x:t xml:space="preserve">874009375269</x:t>
  </x:si>
  <x:si>
    <x:t xml:space="preserve">BC200</x:t>
  </x:si>
  <x:si>
    <x:t xml:space="preserve">BC2002548131905223</x:t>
  </x:si>
  <x:si>
    <x:t xml:space="preserve">LOG-SRD26070732</x:t>
  </x:si>
  <x:si>
    <x:t xml:space="preserve">OPELIKA</x:t>
  </x:si>
  <x:si>
    <x:t xml:space="preserve">873965250992</x:t>
  </x:si>
  <x:si>
    <x:t xml:space="preserve">AP3002514008008536</x:t>
  </x:si>
  <x:si>
    <x:t xml:space="preserve">LOG-SRL26070632</x:t>
  </x:si>
  <x:si>
    <x:t xml:space="preserve">WESTON</x:t>
  </x:si>
  <x:si>
    <x:t xml:space="preserve">AP300：0</x:t>
  </x:si>
  <x:si>
    <x:t xml:space="preserve">874895163253</x:t>
  </x:si>
  <x:si>
    <x:t xml:space="preserve">EL4002604234002484</x:t>
  </x:si>
  <x:si>
    <x:t xml:space="preserve">LOG-SRD26074133</x:t>
  </x:si>
  <x:si>
    <x:t xml:space="preserve">874143420642</x:t>
  </x:si>
  <x:si>
    <x:t xml:space="preserve">EL100V22545130139138</x:t>
  </x:si>
  <x:si>
    <x:t xml:space="preserve">LOG-SRD26071217</x:t>
  </x:si>
  <x:si>
    <x:t xml:space="preserve">SPRING</x:t>
  </x:si>
  <x:si>
    <x:t xml:space="preserve">873602771330</x:t>
  </x:si>
  <x:si>
    <x:t xml:space="preserve">AB3A</x:t>
  </x:si>
  <x:si>
    <x:t xml:space="preserve">EB3A2438003052560</x:t>
  </x:si>
  <x:si>
    <x:t xml:space="preserve">无源头退货已入库</x:t>
  </x:si>
  <x:si>
    <x:t xml:space="preserve">NEWNAN</x:t>
  </x:si>
  <x:si>
    <x:t xml:space="preserve">EB3A：1</x:t>
  </x:si>
  <x:si>
    <x:t xml:space="preserve">873469399623</x:t>
  </x:si>
  <x:si>
    <x:t xml:space="preserve">AC3002211001587941</x:t>
  </x:si>
  <x:si>
    <x:t xml:space="preserve">LOG-CRP26062385</x:t>
  </x:si>
  <x:si>
    <x:t xml:space="preserve">VA</x:t>
  </x:si>
  <x:si>
    <x:t xml:space="preserve">KENBRIDGE</x:t>
  </x:si>
  <x:si>
    <x:t xml:space="preserve">873169813564</x:t>
  </x:si>
  <x:si>
    <x:t xml:space="preserve">HARRISONBURG</x:t>
  </x:si>
  <x:si>
    <x:t xml:space="preserve">873478624488</x:t>
  </x:si>
  <x:si>
    <x:t xml:space="preserve">EL4002604130313330</x:t>
  </x:si>
  <x:si>
    <x:t xml:space="preserve">LOG-SRD26062444</x:t>
  </x:si>
  <x:si>
    <x:t xml:space="preserve">VT</x:t>
  </x:si>
  <x:si>
    <x:t xml:space="preserve">BARNARD</x:t>
  </x:si>
  <x:si>
    <x:t xml:space="preserve">873109425642</x:t>
  </x:si>
  <x:si>
    <x:t xml:space="preserve">CO</x:t>
  </x:si>
  <x:si>
    <x:t xml:space="preserve">DURANGO</x:t>
  </x:si>
  <x:si>
    <x:t xml:space="preserve">873941111469</x:t>
  </x:si>
  <x:si>
    <x:t xml:space="preserve">AC702540002003470</x:t>
  </x:si>
  <x:si>
    <x:t xml:space="preserve">LOG-SRD26070649</x:t>
  </x:si>
  <x:si>
    <x:t xml:space="preserve">UT</x:t>
  </x:si>
  <x:si>
    <x:t xml:space="preserve">RIVERTON</x:t>
  </x:si>
  <x:si>
    <x:t xml:space="preserve">AC70：7.711</x:t>
  </x:si>
  <x:si>
    <x:t xml:space="preserve">873856999804</x:t>
  </x:si>
  <x:si>
    <x:t xml:space="preserve">AP3002606132505012</x:t>
  </x:si>
  <x:si>
    <x:t xml:space="preserve">TOLEDO</x:t>
  </x:si>
  <x:si>
    <x:t xml:space="preserve">Apex 300：1</x:t>
  </x:si>
  <x:si>
    <x:t xml:space="preserve">874039858376</x:t>
  </x:si>
  <x:si>
    <x:t xml:space="preserve">AC1802441001023528</x:t>
  </x:si>
  <x:si>
    <x:t xml:space="preserve">LOG-SRL26073411</x:t>
  </x:si>
  <x:si>
    <x:t xml:space="preserve">LIMA</x:t>
  </x:si>
  <x:si>
    <x:t xml:space="preserve">AC180：5.443</x:t>
  </x:si>
  <x:si>
    <x:t xml:space="preserve">873112849706</x:t>
  </x:si>
  <x:si>
    <x:t xml:space="preserve">FLORAL CITY</x:t>
  </x:si>
  <x:si>
    <x:t xml:space="preserve">874095581056</x:t>
  </x:si>
  <x:si>
    <x:t xml:space="preserve">AP3002606132467317</x:t>
  </x:si>
  <x:si>
    <x:t xml:space="preserve">LOG-SRD26071110</x:t>
  </x:si>
  <x:si>
    <x:t xml:space="preserve">PETOSKEY</x:t>
  </x:si>
  <x:si>
    <x:t xml:space="preserve">875025330119</x:t>
  </x:si>
  <x:si>
    <x:t xml:space="preserve">EL4002604130362161</x:t>
  </x:si>
  <x:si>
    <x:t xml:space="preserve">EL400：39.009</x:t>
  </x:si>
  <x:si>
    <x:t xml:space="preserve">873425107021</x:t>
  </x:si>
  <x:si>
    <x:t xml:space="preserve">AC1802337002296499</x:t>
  </x:si>
  <x:si>
    <x:t xml:space="preserve">LOG-CRP26062320</x:t>
  </x:si>
  <x:si>
    <x:t xml:space="preserve">LEAGUE CITY</x:t>
  </x:si>
  <x:si>
    <x:t xml:space="preserve">AC180：1</x:t>
  </x:si>
  <x:si>
    <x:t xml:space="preserve">873857232775</x:t>
  </x:si>
  <x:si>
    <x:t xml:space="preserve">CHANGER2</x:t>
  </x:si>
  <x:si>
    <x:t xml:space="preserve">CHARGER 22605139779702</x:t>
  </x:si>
  <x:si>
    <x:t xml:space="preserve">LOG-SRD26070229</x:t>
  </x:si>
  <x:si>
    <x:t xml:space="preserve">charger 2：1</x:t>
  </x:si>
  <x:si>
    <x:t xml:space="preserve">873956334836</x:t>
  </x:si>
  <x:si>
    <x:t xml:space="preserve">AC500</x:t>
  </x:si>
  <x:si>
    <x:t xml:space="preserve">AC5002452000245165</x:t>
  </x:si>
  <x:si>
    <x:t xml:space="preserve">LOG-SRL26070934</x:t>
  </x:si>
  <x:si>
    <x:t xml:space="preserve">AUSTIN</x:t>
  </x:si>
  <x:si>
    <x:t xml:space="preserve">874588862256</x:t>
  </x:si>
  <x:si>
    <x:t xml:space="preserve">EL4002604232467100</x:t>
  </x:si>
  <x:si>
    <x:t xml:space="preserve">LOG-SRD26073064</x:t>
  </x:si>
  <x:si>
    <x:t xml:space="preserve">MAMARONECK</x:t>
  </x:si>
  <x:si>
    <x:t xml:space="preserve">873162864479</x:t>
  </x:si>
  <x:si>
    <x:t xml:space="preserve">MIRAMAR BEACH</x:t>
  </x:si>
  <x:si>
    <x:t xml:space="preserve">873490306183</x:t>
  </x:si>
  <x:si>
    <x:t xml:space="preserve">AC702539011591410</x:t>
  </x:si>
  <x:si>
    <x:t xml:space="preserve">LOG-SRD26062550</x:t>
  </x:si>
  <x:si>
    <x:t xml:space="preserve">MN</x:t>
  </x:si>
  <x:si>
    <x:t xml:space="preserve">BEMIDJI</x:t>
  </x:si>
  <x:si>
    <x:t xml:space="preserve">873341053904</x:t>
  </x:si>
  <x:si>
    <x:t xml:space="preserve">EL4002604130141003</x:t>
  </x:si>
  <x:si>
    <x:t xml:space="preserve">LOG-SRD26062048</x:t>
  </x:si>
  <x:si>
    <x:t xml:space="preserve">SAINT LOUIS</x:t>
  </x:si>
  <x:si>
    <x:t xml:space="preserve">873185409203</x:t>
  </x:si>
  <x:si>
    <x:t xml:space="preserve">AC1802447000956014</x:t>
  </x:si>
  <x:si>
    <x:t xml:space="preserve">LOG-SRL26061825</x:t>
  </x:si>
  <x:si>
    <x:t xml:space="preserve">HAWLEY</x:t>
  </x:si>
  <x:si>
    <x:t xml:space="preserve">875030499683</x:t>
  </x:si>
  <x:si>
    <x:t xml:space="preserve">B300S</x:t>
  </x:si>
  <x:si>
    <x:t xml:space="preserve">90259Q22390169</x:t>
  </x:si>
  <x:si>
    <x:t xml:space="preserve">LOG-CRP26080245</x:t>
  </x:si>
  <x:si>
    <x:t xml:space="preserve">B300S：29.484</x:t>
  </x:si>
  <x:si>
    <x:t xml:space="preserve">874973366473</x:t>
  </x:si>
  <x:si>
    <x:t xml:space="preserve">AC1802419003205560</x:t>
  </x:si>
  <x:si>
    <x:t xml:space="preserve">LOG-CRP26074531</x:t>
  </x:si>
  <x:si>
    <x:t xml:space="preserve">873601056047</x:t>
  </x:si>
  <x:si>
    <x:t xml:space="preserve">EL4002538110028933</x:t>
  </x:si>
  <x:si>
    <x:t xml:space="preserve">LOG-SRL26062885</x:t>
  </x:si>
  <x:si>
    <x:t xml:space="preserve">WAUPUN</x:t>
  </x:si>
  <x:si>
    <x:t xml:space="preserve">873814694782</x:t>
  </x:si>
  <x:si>
    <x:t xml:space="preserve">AC1802439001099683</x:t>
  </x:si>
  <x:si>
    <x:t xml:space="preserve">LOG-CRP26070869</x:t>
  </x:si>
  <x:si>
    <x:t xml:space="preserve">IN</x:t>
  </x:si>
  <x:si>
    <x:t xml:space="preserve">NEW CASTLE</x:t>
  </x:si>
  <x:si>
    <x:t xml:space="preserve">874563668509</x:t>
  </x:si>
  <x:si>
    <x:t xml:space="preserve">AC702447001227239</x:t>
  </x:si>
  <x:si>
    <x:t xml:space="preserve">LOG-SRD26073313</x:t>
  </x:si>
  <x:si>
    <x:t xml:space="preserve">MIAMI BEACH</x:t>
  </x:si>
  <x:si>
    <x:t xml:space="preserve">874762837228</x:t>
  </x:si>
  <x:si>
    <x:t xml:space="preserve">AC1802339002969144</x:t>
  </x:si>
  <x:si>
    <x:t xml:space="preserve">LOG-CRP26073709</x:t>
  </x:si>
  <x:si>
    <x:t xml:space="preserve">873109425620</x:t>
  </x:si>
  <x:si>
    <x:t xml:space="preserve">ORLANDO</x:t>
  </x:si>
  <x:si>
    <x:t xml:space="preserve">873109426410</x:t>
  </x:si>
  <x:si>
    <x:t xml:space="preserve">873109426796</x:t>
  </x:si>
  <x:si>
    <x:t xml:space="preserve">874829655122</x:t>
  </x:si>
  <x:si>
    <x:t xml:space="preserve">EL100V22532000436611</x:t>
  </x:si>
  <x:si>
    <x:t xml:space="preserve">LOG-SRD26074113</x:t>
  </x:si>
  <x:si>
    <x:t xml:space="preserve">ELITE100V2：10.433</x:t>
  </x:si>
  <x:si>
    <x:t xml:space="preserve">874413246789</x:t>
  </x:si>
  <x:si>
    <x:t xml:space="preserve">EL100V22532031372968</x:t>
  </x:si>
  <x:si>
    <x:t xml:space="preserve">LOG-SRD26072768</x:t>
  </x:si>
  <x:si>
    <x:t xml:space="preserve">874252749187</x:t>
  </x:si>
  <x:si>
    <x:t xml:space="preserve">874820585846</x:t>
  </x:si>
  <x:si>
    <x:t xml:space="preserve">EL100V22532000190186</x:t>
  </x:si>
  <x:si>
    <x:t xml:space="preserve">LOG-SRL26074058</x:t>
  </x:si>
  <x:si>
    <x:t xml:space="preserve">LEHIGH ACRES</x:t>
  </x:si>
  <x:si>
    <x:t xml:space="preserve">873861658919</x:t>
  </x:si>
  <x:si>
    <x:t xml:space="preserve">背包</x:t>
  </x:si>
  <x:si>
    <x:t xml:space="preserve">No SN</x:t>
  </x:si>
  <x:si>
    <x:t xml:space="preserve">LOG-SRD26070271</x:t>
  </x:si>
  <x:si>
    <x:t xml:space="preserve">CLAWSON</x:t>
  </x:si>
  <x:si>
    <x:t xml:space="preserve">BP：1.361</x:t>
  </x:si>
  <x:si>
    <x:t xml:space="preserve">873942029979</x:t>
  </x:si>
  <x:si>
    <x:t xml:space="preserve">EL100V22532030948697</x:t>
  </x:si>
  <x:si>
    <x:t xml:space="preserve">LOG-SRD26070566</x:t>
  </x:si>
  <x:si>
    <x:t xml:space="preserve">NE</x:t>
  </x:si>
  <x:si>
    <x:t xml:space="preserve">ELKHORN</x:t>
  </x:si>
  <x:si>
    <x:t xml:space="preserve">875141356162</x:t>
  </x:si>
  <x:si>
    <x:t xml:space="preserve">AP3002543130695346</x:t>
  </x:si>
  <x:si>
    <x:t xml:space="preserve">LOG-SRL26075085</x:t>
  </x:si>
  <x:si>
    <x:t xml:space="preserve">873109426682</x:t>
  </x:si>
  <x:si>
    <x:t xml:space="preserve">874818799127</x:t>
  </x:si>
  <x:si>
    <x:t xml:space="preserve">AP3002543130297268</x:t>
  </x:si>
  <x:si>
    <x:t xml:space="preserve">LOG-SRN26080381</x:t>
  </x:si>
  <x:si>
    <x:t xml:space="preserve">KERNERSVILLE</x:t>
  </x:si>
  <x:si>
    <x:t xml:space="preserve">AP300：38.102</x:t>
  </x:si>
  <x:si>
    <x:t xml:space="preserve">874283142645</x:t>
  </x:si>
  <x:si>
    <x:t xml:space="preserve">EL100V22525020071055</x:t>
  </x:si>
  <x:si>
    <x:t xml:space="preserve">LOG-SRL26071810</x:t>
  </x:si>
  <x:si>
    <x:t xml:space="preserve">874403929269</x:t>
  </x:si>
  <x:si>
    <x:t xml:space="preserve">AC200L2436002069869</x:t>
  </x:si>
  <x:si>
    <x:t xml:space="preserve">LOG-SRL26072301</x:t>
  </x:si>
  <x:si>
    <x:t xml:space="preserve">FAIRFIELD</x:t>
  </x:si>
  <x:si>
    <x:t xml:space="preserve">AC200L：24.494</x:t>
  </x:si>
  <x:si>
    <x:t xml:space="preserve">874972476665</x:t>
  </x:si>
  <x:si>
    <x:t xml:space="preserve">1120218L287225100421</x:t>
  </x:si>
  <x:si>
    <x:t xml:space="preserve">LOG-CRP26074359</x:t>
  </x:si>
  <x:si>
    <x:t xml:space="preserve">B300S：1</x:t>
  </x:si>
  <x:si>
    <x:t xml:space="preserve">873550060825</x:t>
  </x:si>
  <x:si>
    <x:t xml:space="preserve">AC702540000074422</x:t>
  </x:si>
  <x:si>
    <x:t xml:space="preserve">LOG-SRD26062908</x:t>
  </x:si>
  <x:si>
    <x:t xml:space="preserve">873416411900</x:t>
  </x:si>
  <x:si>
    <x:t xml:space="preserve">CHARGER 22544115581684</x:t>
  </x:si>
  <x:si>
    <x:t xml:space="preserve">LOG-SRN26062425</x:t>
  </x:si>
  <x:si>
    <x:t xml:space="preserve">CLOQUET</x:t>
  </x:si>
  <x:si>
    <x:t xml:space="preserve">charger2：6</x:t>
  </x:si>
  <x:si>
    <x:t xml:space="preserve">873109427196</x:t>
  </x:si>
  <x:si>
    <x:t xml:space="preserve">DRAKE</x:t>
  </x:si>
  <x:si>
    <x:t xml:space="preserve">873363411682</x:t>
  </x:si>
  <x:si>
    <x:t xml:space="preserve">DELAND</x:t>
  </x:si>
  <x:si>
    <x:t xml:space="preserve">backpack：9</x:t>
  </x:si>
  <x:si>
    <x:t xml:space="preserve">875083140676</x:t>
  </x:si>
  <x:si>
    <x:t xml:space="preserve">AC200L2343920386246</x:t>
  </x:si>
  <x:si>
    <x:t xml:space="preserve">LOG-CRP26074838</x:t>
  </x:si>
  <x:si>
    <x:t xml:space="preserve">874085323892</x:t>
  </x:si>
  <x:si>
    <x:t xml:space="preserve">AC1802436006185857</x:t>
  </x:si>
  <x:si>
    <x:t xml:space="preserve">LOG-SRL26070963</x:t>
  </x:si>
  <x:si>
    <x:t xml:space="preserve">NAPERVILLE</x:t>
  </x:si>
  <x:si>
    <x:t xml:space="preserve">873963892087</x:t>
  </x:si>
  <x:si>
    <x:t xml:space="preserve">AC200L2449000953954</x:t>
  </x:si>
  <x:si>
    <x:t xml:space="preserve">LOG-SRL26070622</x:t>
  </x:si>
  <x:si>
    <x:t xml:space="preserve">ATTLEBORO</x:t>
  </x:si>
  <x:si>
    <x:t xml:space="preserve">875130496183</x:t>
  </x:si>
  <x:si>
    <x:t xml:space="preserve">B300K2</x:t>
  </x:si>
  <x:si>
    <x:t xml:space="preserve">B300K2541003502035</x:t>
  </x:si>
  <x:si>
    <x:t xml:space="preserve">LOG-SRL26074970</x:t>
  </x:si>
  <x:si>
    <x:t xml:space="preserve">B300K：0</x:t>
  </x:si>
  <x:si>
    <x:t xml:space="preserve">873970977872</x:t>
  </x:si>
  <x:si>
    <x:t xml:space="preserve">EL100V22541000391554</x:t>
  </x:si>
  <x:si>
    <x:t xml:space="preserve">LOG-SRL26070882</x:t>
  </x:si>
  <x:si>
    <x:t xml:space="preserve">TAMPA</x:t>
  </x:si>
  <x:si>
    <x:t xml:space="preserve">BLUETTI Elite 100 V2：9.888</x:t>
  </x:si>
  <x:si>
    <x:t xml:space="preserve">874095894992</x:t>
  </x:si>
  <x:si>
    <x:t xml:space="preserve">B300K</x:t>
  </x:si>
  <x:si>
    <x:t xml:space="preserve">B300K2541003524321</x:t>
  </x:si>
  <x:si>
    <x:t xml:space="preserve">b300K：1</x:t>
  </x:si>
  <x:si>
    <x:t xml:space="preserve">874095731138</x:t>
  </x:si>
  <x:si>
    <x:t xml:space="preserve">B300K2541003517353</x:t>
  </x:si>
  <x:si>
    <x:t xml:space="preserve">B300K：1</x:t>
  </x:si>
  <x:si>
    <x:t xml:space="preserve">874095660326</x:t>
  </x:si>
  <x:si>
    <x:t xml:space="preserve">B300K2541004046266</x:t>
  </x:si>
  <x:si>
    <x:t xml:space="preserve">873180402870</x:t>
  </x:si>
  <x:si>
    <x:t xml:space="preserve">80446Z22350481</x:t>
  </x:si>
  <x:si>
    <x:t xml:space="preserve">LOG-CRP26061779</x:t>
  </x:si>
  <x:si>
    <x:t xml:space="preserve">ALTOONA</x:t>
  </x:si>
  <x:si>
    <x:t xml:space="preserve">874350386169</x:t>
  </x:si>
  <x:si>
    <x:t xml:space="preserve">AC1802442002355773</x:t>
  </x:si>
  <x:si>
    <x:t xml:space="preserve">LOG-SRL26072053</x:t>
  </x:si>
  <x:si>
    <x:t xml:space="preserve">874517506130</x:t>
  </x:si>
  <x:si>
    <x:t xml:space="preserve">RV52534020183909</x:t>
  </x:si>
  <x:si>
    <x:t xml:space="preserve">LOG-SRL26072828</x:t>
  </x:si>
  <x:si>
    <x:t xml:space="preserve">RV5：1</x:t>
  </x:si>
  <x:si>
    <x:t xml:space="preserve">873857070792</x:t>
  </x:si>
  <x:si>
    <x:t xml:space="preserve">B300K2541004272622</x:t>
  </x:si>
  <x:si>
    <x:t xml:space="preserve">LOG-SRD26070227</x:t>
  </x:si>
  <x:si>
    <x:t xml:space="preserve">875025668912</x:t>
  </x:si>
  <x:si>
    <x:t xml:space="preserve">EL100V22542000642131</x:t>
  </x:si>
  <x:si>
    <x:t xml:space="preserve">LOG-SRL26074615</x:t>
  </x:si>
  <x:si>
    <x:t xml:space="preserve">874150247998</x:t>
  </x:si>
  <x:si>
    <x:t xml:space="preserve">EL100V22532030940566</x:t>
  </x:si>
  <x:si>
    <x:t xml:space="preserve">LOG-SRL26071323</x:t>
  </x:si>
  <x:si>
    <x:t xml:space="preserve">LITTLE ELM</x:t>
  </x:si>
  <x:si>
    <x:t xml:space="preserve">873968966408</x:t>
  </x:si>
  <x:si>
    <x:t xml:space="preserve">EL100V22525510790109</x:t>
  </x:si>
  <x:si>
    <x:t xml:space="preserve">LOG-SRL26070668</x:t>
  </x:si>
  <x:si>
    <x:t xml:space="preserve">OK</x:t>
  </x:si>
  <x:si>
    <x:t xml:space="preserve">CHICKASHA</x:t>
  </x:si>
  <x:si>
    <x:t xml:space="preserve">873423033354</x:t>
  </x:si>
  <x:si>
    <x:t xml:space="preserve">CHICAGO</x:t>
  </x:si>
  <x:si>
    <x:t xml:space="preserve">874710843270</x:t>
  </x:si>
  <x:si>
    <x:t xml:space="preserve">AC1802411002101493</x:t>
  </x:si>
  <x:si>
    <x:t xml:space="preserve">LOG-CRP26073543</x:t>
  </x:si>
  <x:si>
    <x:t xml:space="preserve">874766473687</x:t>
  </x:si>
  <x:si>
    <x:t xml:space="preserve">AC702434000348875</x:t>
  </x:si>
  <x:si>
    <x:t xml:space="preserve">LOG-SRD26073900</x:t>
  </x:si>
  <x:si>
    <x:t xml:space="preserve">873425039388</x:t>
  </x:si>
  <x:si>
    <x:t xml:space="preserve">EL100V22539003697873</x:t>
  </x:si>
  <x:si>
    <x:t xml:space="preserve">LOG-SRD26062319</x:t>
  </x:si>
  <x:si>
    <x:t xml:space="preserve">SD</x:t>
  </x:si>
  <x:si>
    <x:t xml:space="preserve">BOX ELDER</x:t>
  </x:si>
  <x:si>
    <x:t xml:space="preserve">874399921537</x:t>
  </x:si>
  <x:si>
    <x:t xml:space="preserve">EL100V22532011038355</x:t>
  </x:si>
  <x:si>
    <x:t xml:space="preserve">LOG-SRD26073332</x:t>
  </x:si>
  <x:si>
    <x:t xml:space="preserve">HIALEAH</x:t>
  </x:si>
  <x:si>
    <x:t xml:space="preserve">Elite 100 V2：0</x:t>
  </x:si>
  <x:si>
    <x:t xml:space="preserve">873856906303</x:t>
  </x:si>
  <x:si>
    <x:t xml:space="preserve">EL100V22532070070024</x:t>
  </x:si>
  <x:si>
    <x:t xml:space="preserve">LOG-SRL26070408</x:t>
  </x:si>
  <x:si>
    <x:t xml:space="preserve">SPEARFISH</x:t>
  </x:si>
  <x:si>
    <x:t xml:space="preserve">873915271930</x:t>
  </x:si>
  <x:si>
    <x:t xml:space="preserve">AC702540000453560</x:t>
  </x:si>
  <x:si>
    <x:t xml:space="preserve">LOG-SRD26070567</x:t>
  </x:si>
  <x:si>
    <x:t xml:space="preserve">CULLMAN</x:t>
  </x:si>
  <x:si>
    <x:t xml:space="preserve">873109425609</x:t>
  </x:si>
  <x:si>
    <x:t xml:space="preserve">TULARE</x:t>
  </x:si>
  <x:si>
    <x:t xml:space="preserve">873109427428</x:t>
  </x:si>
  <x:si>
    <x:t xml:space="preserve">OR</x:t>
  </x:si>
  <x:si>
    <x:t xml:space="preserve">SPRINGFIELD</x:t>
  </x:si>
  <x:si>
    <x:t xml:space="preserve">873109426101</x:t>
  </x:si>
  <x:si>
    <x:t xml:space="preserve">ESTACADA</x:t>
  </x:si>
  <x:si>
    <x:t xml:space="preserve">873109426156</x:t>
  </x:si>
  <x:si>
    <x:t xml:space="preserve">ENTERPRISE</x:t>
  </x:si>
  <x:si>
    <x:t xml:space="preserve">873109426329</x:t>
  </x:si>
  <x:si>
    <x:t xml:space="preserve">JOHN DAY</x:t>
  </x:si>
  <x:si>
    <x:t xml:space="preserve">873109426178</x:t>
  </x:si>
  <x:si>
    <x:t xml:space="preserve">ARCADIA</x:t>
  </x:si>
  <x:si>
    <x:t xml:space="preserve">873109425778</x:t>
  </x:si>
  <x:si>
    <x:t xml:space="preserve">SAN BERNARDINO</x:t>
  </x:si>
  <x:si>
    <x:t xml:space="preserve">873109427862</x:t>
  </x:si>
  <x:si>
    <x:t xml:space="preserve">SEATTLE</x:t>
  </x:si>
  <x:si>
    <x:t xml:space="preserve">873109425403</x:t>
  </x:si>
  <x:si>
    <x:t xml:space="preserve">LAKE STEVENS</x:t>
  </x:si>
  <x:si>
    <x:t xml:space="preserve">873109426362</x:t>
  </x:si>
  <x:si>
    <x:t xml:space="preserve">DAVIS</x:t>
  </x:si>
  <x:si>
    <x:t xml:space="preserve">873109426866</x:t>
  </x:si>
  <x:si>
    <x:t xml:space="preserve">NV</x:t>
  </x:si>
  <x:si>
    <x:t xml:space="preserve">HENDERSON</x:t>
  </x:si>
  <x:si>
    <x:t xml:space="preserve">873109425701</x:t>
  </x:si>
  <x:si>
    <x:t xml:space="preserve">ID</x:t>
  </x:si>
  <x:si>
    <x:t xml:space="preserve">BOISE</x:t>
  </x:si>
  <x:si>
    <x:t xml:space="preserve">874399527902</x:t>
  </x:si>
  <x:si>
    <x:t xml:space="preserve">AC3002140000807295</x:t>
  </x:si>
  <x:si>
    <x:t xml:space="preserve">LOG-CRP26072236</x:t>
  </x:si>
  <x:si>
    <x:t xml:space="preserve">CALLAWAY</x:t>
  </x:si>
  <x:si>
    <x:t xml:space="preserve">AC300：25</x:t>
  </x:si>
  <x:si>
    <x:t xml:space="preserve">873243819966</x:t>
  </x:si>
  <x:si>
    <x:t xml:space="preserve">EL100V22540001070868</x:t>
  </x:si>
  <x:si>
    <x:t xml:space="preserve">LOG-SRL26062005</x:t>
  </x:si>
  <x:si>
    <x:t xml:space="preserve">MS</x:t>
  </x:si>
  <x:si>
    <x:t xml:space="preserve">873185263260</x:t>
  </x:si>
  <x:si>
    <x:t xml:space="preserve">EL100V22542001679458</x:t>
  </x:si>
  <x:si>
    <x:t xml:space="preserve">LOG-SRL26070320</x:t>
  </x:si>
  <x:si>
    <x:t xml:space="preserve">CHAMBERSBURG</x:t>
  </x:si>
  <x:si>
    <x:t xml:space="preserve">874871743570</x:t>
  </x:si>
  <x:si>
    <x:t xml:space="preserve">EL3002609134370408</x:t>
  </x:si>
  <x:si>
    <x:t xml:space="preserve">LOG-SRL26074251</x:t>
  </x:si>
  <x:si>
    <x:t xml:space="preserve">SARATOGA SPRINGS</x:t>
  </x:si>
  <x:si>
    <x:t xml:space="preserve">ELITE300：26.308</x:t>
  </x:si>
  <x:si>
    <x:t xml:space="preserve">875023902513</x:t>
  </x:si>
  <x:si>
    <x:t xml:space="preserve">EL100V22537000934596</x:t>
  </x:si>
  <x:si>
    <x:t xml:space="preserve">LOG-SRD26075055</x:t>
  </x:si>
  <x:si>
    <x:t xml:space="preserve">BLUETTI Elite 100 V2：13.608</x:t>
  </x:si>
  <x:si>
    <x:t xml:space="preserve">873109428001</x:t>
  </x:si>
  <x:si>
    <x:t xml:space="preserve">CHANTILLY</x:t>
  </x:si>
  <x:si>
    <x:t xml:space="preserve">873595316833</x:t>
  </x:si>
  <x:si>
    <x:t xml:space="preserve">AC702549233082734</x:t>
  </x:si>
  <x:si>
    <x:t xml:space="preserve">LOG-SRD26062823</x:t>
  </x:si>
  <x:si>
    <x:t xml:space="preserve">874202849656</x:t>
  </x:si>
  <x:si>
    <x:t xml:space="preserve">EL100V22542003581853</x:t>
  </x:si>
  <x:si>
    <x:t xml:space="preserve">LOG-SRL26071997</x:t>
  </x:si>
  <x:si>
    <x:t xml:space="preserve">874026150582</x:t>
  </x:si>
  <x:si>
    <x:t xml:space="preserve">EL3002609134369156</x:t>
  </x:si>
  <x:si>
    <x:t xml:space="preserve">LOG-SRL26070756</x:t>
  </x:si>
  <x:si>
    <x:t xml:space="preserve">GREENVILLE</x:t>
  </x:si>
  <x:si>
    <x:t xml:space="preserve">EL300：26.308</x:t>
  </x:si>
  <x:si>
    <x:t xml:space="preserve">873097759126</x:t>
  </x:si>
  <x:si>
    <x:t xml:space="preserve">AC1802452001026857</x:t>
  </x:si>
  <x:si>
    <x:t xml:space="preserve">LOG-CRP26061565</x:t>
  </x:si>
  <x:si>
    <x:t xml:space="preserve">HATTIESBURG</x:t>
  </x:si>
  <x:si>
    <x:t xml:space="preserve">873750602294</x:t>
  </x:si>
  <x:si>
    <x:t xml:space="preserve">AC702540001750146</x:t>
  </x:si>
  <x:si>
    <x:t xml:space="preserve">LOG-SRD26063322</x:t>
  </x:si>
  <x:si>
    <x:t xml:space="preserve">MAYLENE</x:t>
  </x:si>
  <x:si>
    <x:t xml:space="preserve">875031214446</x:t>
  </x:si>
  <x:si>
    <x:t xml:space="preserve">EL100V22532011413915</x:t>
  </x:si>
  <x:si>
    <x:t xml:space="preserve">LOG-SRD26074727</x:t>
  </x:si>
  <x:si>
    <x:t xml:space="preserve">874871197059</x:t>
  </x:si>
  <x:si>
    <x:t xml:space="preserve">AC702452000303662</x:t>
  </x:si>
  <x:si>
    <x:t xml:space="preserve">LOG-SRD26074114</x:t>
  </x:si>
  <x:si>
    <x:t xml:space="preserve">AC70P：9.072</x:t>
  </x:si>
  <x:si>
    <x:t xml:space="preserve">873755731950</x:t>
  </x:si>
  <x:si>
    <x:t xml:space="preserve">AC702540000234211</x:t>
  </x:si>
  <x:si>
    <x:t xml:space="preserve">LOG-SRD26070862</x:t>
  </x:si>
  <x:si>
    <x:t xml:space="preserve">LAKE WORTH</x:t>
  </x:si>
  <x:si>
    <x:t xml:space="preserve">873910736860</x:t>
  </x:si>
  <x:si>
    <x:t xml:space="preserve">EL100V22542003624397</x:t>
  </x:si>
  <x:si>
    <x:t xml:space="preserve">ALPHARETTA</x:t>
  </x:si>
  <x:si>
    <x:t xml:space="preserve">873747342683</x:t>
  </x:si>
  <x:si>
    <x:t xml:space="preserve">AC1802451000794146</x:t>
  </x:si>
  <x:si>
    <x:t xml:space="preserve">LOG-SRL26063282</x:t>
  </x:si>
  <x:si>
    <x:t xml:space="preserve">AR</x:t>
  </x:si>
  <x:si>
    <x:t xml:space="preserve">FRANKLIN</x:t>
  </x:si>
  <x:si>
    <x:t xml:space="preserve">874402086860</x:t>
  </x:si>
  <x:si>
    <x:t xml:space="preserve">EL00V2</x:t>
  </x:si>
  <x:si>
    <x:t xml:space="preserve">EL100V22537005659923</x:t>
  </x:si>
  <x:si>
    <x:t xml:space="preserve">LOG-SRD26072404</x:t>
  </x:si>
  <x:si>
    <x:t xml:space="preserve">WAYNESVILLE</x:t>
  </x:si>
  <x:si>
    <x:t xml:space="preserve">874031007832</x:t>
  </x:si>
  <x:si>
    <x:t xml:space="preserve">Elite 200 V22522001840521</x:t>
  </x:si>
  <x:si>
    <x:t xml:space="preserve">LOG-SRL26070825</x:t>
  </x:si>
  <x:si>
    <x:t xml:space="preserve">MINNEAPOLIS</x:t>
  </x:si>
  <x:si>
    <x:t xml:space="preserve">EL200V2：25.401</x:t>
  </x:si>
  <x:si>
    <x:t xml:space="preserve">873109423812</x:t>
  </x:si>
  <x:si>
    <x:t xml:space="preserve">CORTEZ</x:t>
  </x:si>
  <x:si>
    <x:t xml:space="preserve">873109423503</x:t>
  </x:si>
  <x:si>
    <x:t xml:space="preserve">NM</x:t>
  </x:si>
  <x:si>
    <x:t xml:space="preserve">TAOS</x:t>
  </x:si>
  <x:si>
    <x:t xml:space="preserve">873109424418</x:t>
  </x:si>
  <x:si>
    <x:t xml:space="preserve">873424570680</x:t>
  </x:si>
  <x:si>
    <x:t xml:space="preserve">EL100V22541000465267</x:t>
  </x:si>
  <x:si>
    <x:t xml:space="preserve">LOG-SRL26062316</x:t>
  </x:si>
  <x:si>
    <x:t xml:space="preserve">KY</x:t>
  </x:si>
  <x:si>
    <x:t xml:space="preserve">LOUISVILLE</x:t>
  </x:si>
  <x:si>
    <x:t xml:space="preserve">873133287628</x:t>
  </x:si>
  <x:si>
    <x:t xml:space="preserve">AC1802535000107167</x:t>
  </x:si>
  <x:si>
    <x:t xml:space="preserve">LOG-SRL26061703</x:t>
  </x:si>
  <x:si>
    <x:t xml:space="preserve">875028256192</x:t>
  </x:si>
  <x:si>
    <x:t xml:space="preserve">AC1802411002562652</x:t>
  </x:si>
  <x:si>
    <x:t xml:space="preserve">LOG-CRP26075056</x:t>
  </x:si>
  <x:si>
    <x:t xml:space="preserve">873749424392</x:t>
  </x:si>
  <x:si>
    <x:t xml:space="preserve">AC1802521100705900</x:t>
  </x:si>
  <x:si>
    <x:t xml:space="preserve">LOG-SRL26063308</x:t>
  </x:si>
  <x:si>
    <x:t xml:space="preserve">LA</x:t>
  </x:si>
  <x:si>
    <x:t xml:space="preserve">PRAIRIEVILLE</x:t>
  </x:si>
  <x:si>
    <x:t xml:space="preserve">874088892027</x:t>
  </x:si>
  <x:si>
    <x:t xml:space="preserve">EL3002610133089791</x:t>
  </x:si>
  <x:si>
    <x:t xml:space="preserve">LOG-SRL26071019</x:t>
  </x:si>
  <x:si>
    <x:t xml:space="preserve">BETHANY</x:t>
  </x:si>
  <x:si>
    <x:t xml:space="preserve">EL300：25.401</x:t>
  </x:si>
  <x:si>
    <x:t xml:space="preserve">873188705179</x:t>
  </x:si>
  <x:si>
    <x:t xml:space="preserve">EL100</x:t>
  </x:si>
  <x:si>
    <x:t xml:space="preserve">EL100V22542000453127</x:t>
  </x:si>
  <x:si>
    <x:t xml:space="preserve">LOG-SRL26061868</x:t>
  </x:si>
  <x:si>
    <x:t xml:space="preserve">NEW ORLEANS</x:t>
  </x:si>
  <x:si>
    <x:t xml:space="preserve">874148614747</x:t>
  </x:si>
  <x:si>
    <x:t xml:space="preserve">BC2002603133775644</x:t>
  </x:si>
  <x:si>
    <x:t xml:space="preserve">LOG-SRD26071299</x:t>
  </x:si>
  <x:si>
    <x:t xml:space="preserve">RALEIGH</x:t>
  </x:si>
  <x:si>
    <x:t xml:space="preserve">BlueCell 200：18</x:t>
  </x:si>
  <x:si>
    <x:t xml:space="preserve">873747943918</x:t>
  </x:si>
  <x:si>
    <x:t xml:space="preserve">EL100V22543331262852</x:t>
  </x:si>
  <x:si>
    <x:t xml:space="preserve">LOG-SRL26063286</x:t>
  </x:si>
  <x:si>
    <x:t xml:space="preserve">HOUSTON</x:t>
  </x:si>
  <x:si>
    <x:t xml:space="preserve">873941715541</x:t>
  </x:si>
  <x:si>
    <x:t xml:space="preserve">AC50B</x:t>
  </x:si>
  <x:si>
    <x:t xml:space="preserve">AC50B2547231919958</x:t>
  </x:si>
  <x:si>
    <x:t xml:space="preserve">LOG-SRD26070878</x:t>
  </x:si>
  <x:si>
    <x:t xml:space="preserve">LOXAHATCHEE</x:t>
  </x:si>
  <x:si>
    <x:t xml:space="preserve">AC50B：5.897</x:t>
  </x:si>
  <x:si>
    <x:t xml:space="preserve">873424752756</x:t>
  </x:si>
  <x:si>
    <x:t xml:space="preserve">EL100V22537006085458</x:t>
  </x:si>
  <x:si>
    <x:t xml:space="preserve">LOG-SRL26062317</x:t>
  </x:si>
  <x:si>
    <x:t xml:space="preserve">CARROLLTON</x:t>
  </x:si>
  <x:si>
    <x:t xml:space="preserve">875082163177</x:t>
  </x:si>
  <x:si>
    <x:t xml:space="preserve">EL100V22539005496313</x:t>
  </x:si>
  <x:si>
    <x:t xml:space="preserve">LOG-SRL26074825</x:t>
  </x:si>
  <x:si>
    <x:t xml:space="preserve">873342102865</x:t>
  </x:si>
  <x:si>
    <x:t xml:space="preserve">EL100V22542130396164</x:t>
  </x:si>
  <x:si>
    <x:t xml:space="preserve">LOG-SRD26062057</x:t>
  </x:si>
  <x:si>
    <x:t xml:space="preserve">PRAIRIE GROVE</x:t>
  </x:si>
  <x:si>
    <x:t xml:space="preserve">873341905734</x:t>
  </x:si>
  <x:si>
    <x:t xml:space="preserve">EL100V22528040699658</x:t>
  </x:si>
  <x:si>
    <x:t xml:space="preserve">LOG-SRD26062484</x:t>
  </x:si>
  <x:si>
    <x:t xml:space="preserve">WACO</x:t>
  </x:si>
  <x:si>
    <x:t xml:space="preserve">873062619570</x:t>
  </x:si>
  <x:si>
    <x:t xml:space="preserve">EL100V22537013898576</x:t>
  </x:si>
  <x:si>
    <x:t xml:space="preserve">LOG-SRL26061457</x:t>
  </x:si>
  <x:si>
    <x:t xml:space="preserve">KS</x:t>
  </x:si>
  <x:si>
    <x:t xml:space="preserve">LAWRENCE</x:t>
  </x:si>
  <x:si>
    <x:t xml:space="preserve">873122402042</x:t>
  </x:si>
  <x:si>
    <x:t xml:space="preserve">AC1802419004125947</x:t>
  </x:si>
  <x:si>
    <x:t xml:space="preserve">LOG-SRL26061598</x:t>
  </x:si>
  <x:si>
    <x:t xml:space="preserve">874757565183</x:t>
  </x:si>
  <x:si>
    <x:t xml:space="preserve">SolarX 4K</x:t>
  </x:si>
  <x:si>
    <x:t xml:space="preserve">SolarX 4K2543111442133</x:t>
  </x:si>
  <x:si>
    <x:t xml:space="preserve">LOG-SRL26073684</x:t>
  </x:si>
  <x:si>
    <x:t xml:space="preserve">VERO BEACH</x:t>
  </x:si>
  <x:si>
    <x:t xml:space="preserve">875028961352</x:t>
  </x:si>
  <x:si>
    <x:t xml:space="preserve">AC1802413002116772</x:t>
  </x:si>
  <x:si>
    <x:t xml:space="preserve">LOG-SRL26074677</x:t>
  </x:si>
  <x:si>
    <x:t xml:space="preserve">874764947246</x:t>
  </x:si>
  <x:si>
    <x:t xml:space="preserve">FRANKLINTON</x:t>
  </x:si>
  <x:si>
    <x:t xml:space="preserve">873804075069</x:t>
  </x:si>
  <x:si>
    <x:t xml:space="preserve">AC1802420000351549</x:t>
  </x:si>
  <x:si>
    <x:t xml:space="preserve">LOG-SRL26070077</x:t>
  </x:si>
  <x:si>
    <x:t xml:space="preserve">SIOUX FALLS</x:t>
  </x:si>
  <x:si>
    <x:t xml:space="preserve">873129844982</x:t>
  </x:si>
  <x:si>
    <x:t xml:space="preserve">EL100V22534008916185</x:t>
  </x:si>
  <x:si>
    <x:t xml:space="preserve">LOG-SRD26061668</x:t>
  </x:si>
  <x:si>
    <x:t xml:space="preserve">873598300616</x:t>
  </x:si>
  <x:si>
    <x:t xml:space="preserve">EL100V22541020872702</x:t>
  </x:si>
  <x:si>
    <x:t xml:space="preserve">LOG-SRL26062855</x:t>
  </x:si>
  <x:si>
    <x:t xml:space="preserve">WAYCROSS</x:t>
  </x:si>
  <x:si>
    <x:t xml:space="preserve">873544383510</x:t>
  </x:si>
  <x:si>
    <x:t xml:space="preserve">EL100V22539003607450</x:t>
  </x:si>
  <x:si>
    <x:t xml:space="preserve">LOG-SRL26062687</x:t>
  </x:si>
  <x:si>
    <x:t xml:space="preserve">TN</x:t>
  </x:si>
  <x:si>
    <x:t xml:space="preserve">CAMDEN</x:t>
  </x:si>
  <x:si>
    <x:t xml:space="preserve">874087509761</x:t>
  </x:si>
  <x:si>
    <x:t xml:space="preserve">EL100V22532031253432</x:t>
  </x:si>
  <x:si>
    <x:t xml:space="preserve">LOG-SRL26070999</x:t>
  </x:si>
  <x:si>
    <x:t xml:space="preserve">LABADIE</x:t>
  </x:si>
  <x:si>
    <x:t xml:space="preserve">874086007450</x:t>
  </x:si>
  <x:si>
    <x:t xml:space="preserve">EL100V22542001313262</x:t>
  </x:si>
  <x:si>
    <x:t xml:space="preserve">LOG-SRL26070971</x:t>
  </x:si>
  <x:si>
    <x:t xml:space="preserve">PALMETTO</x:t>
  </x:si>
  <x:si>
    <x:t xml:space="preserve">874515197234</x:t>
  </x:si>
  <x:si>
    <x:t xml:space="preserve">EL3002613131820918</x:t>
  </x:si>
  <x:si>
    <x:t xml:space="preserve">LOG-SRL26072799</x:t>
  </x:si>
  <x:si>
    <x:t xml:space="preserve">CORAL SPRINGS</x:t>
  </x:si>
  <x:si>
    <x:t xml:space="preserve">873807141577</x:t>
  </x:si>
  <x:si>
    <x:t xml:space="preserve">EL100V22525511822555</x:t>
  </x:si>
  <x:si>
    <x:t xml:space="preserve">LOG-CRP26070116</x:t>
  </x:si>
  <x:si>
    <x:t xml:space="preserve">874712418775</x:t>
  </x:si>
  <x:si>
    <x:t xml:space="preserve">EL100V</x:t>
  </x:si>
  <x:si>
    <x:t xml:space="preserve">EL100V22540000462666</x:t>
  </x:si>
  <x:si>
    <x:t xml:space="preserve">LOG-SRL26073559</x:t>
  </x:si>
  <x:si>
    <x:t xml:space="preserve">MILL CREEK</x:t>
  </x:si>
  <x:si>
    <x:t xml:space="preserve">874647411990</x:t>
  </x:si>
  <x:si>
    <x:t xml:space="preserve">AC3002143000061545</x:t>
  </x:si>
  <x:si>
    <x:t xml:space="preserve">LOG-SRL26071959</x:t>
  </x:si>
  <x:si>
    <x:t xml:space="preserve">874199056704</x:t>
  </x:si>
  <x:si>
    <x:t xml:space="preserve">AC200L2451000880622</x:t>
  </x:si>
  <x:si>
    <x:t xml:space="preserve">LOG-SRL26071448</x:t>
  </x:si>
  <x:si>
    <x:t xml:space="preserve">NH</x:t>
  </x:si>
  <x:si>
    <x:t xml:space="preserve">MERRIMACK</x:t>
  </x:si>
  <x:si>
    <x:t xml:space="preserve">874454129625</x:t>
  </x:si>
  <x:si>
    <x:t xml:space="preserve">EL3002601136729676</x:t>
  </x:si>
  <x:si>
    <x:t xml:space="preserve">LOG-SRL26072467</x:t>
  </x:si>
  <x:si>
    <x:t xml:space="preserve">BOSSIER CITY</x:t>
  </x:si>
  <x:si>
    <x:t xml:space="preserve">Elite 300：1</x:t>
  </x:si>
  <x:si>
    <x:t xml:space="preserve">874461667390</x:t>
  </x:si>
  <x:si>
    <x:t xml:space="preserve">EL3002613132758700</x:t>
  </x:si>
  <x:si>
    <x:t xml:space="preserve">LOG-SRL26072858</x:t>
  </x:si>
  <x:si>
    <x:t xml:space="preserve">HINGHAM</x:t>
  </x:si>
  <x:si>
    <x:t xml:space="preserve">EL300：27.442</x:t>
  </x:si>
  <x:si>
    <x:t xml:space="preserve">873857958281</x:t>
  </x:si>
  <x:si>
    <x:t xml:space="preserve">EL100V22542130445084</x:t>
  </x:si>
  <x:si>
    <x:t xml:space="preserve">LOG-SRL26071212</x:t>
  </x:si>
  <x:si>
    <x:t xml:space="preserve">875136838411</x:t>
  </x:si>
  <x:si>
    <x:t xml:space="preserve">AC2A</x:t>
  </x:si>
  <x:si>
    <x:t xml:space="preserve">AC2A2341000690656</x:t>
  </x:si>
  <x:si>
    <x:t xml:space="preserve">LOG-CRP26074611</x:t>
  </x:si>
  <x:si>
    <x:t xml:space="preserve">AC2A：0</x:t>
  </x:si>
  <x:si>
    <x:t xml:space="preserve">874457397667</x:t>
  </x:si>
  <x:si>
    <x:t xml:space="preserve">WV</x:t>
  </x:si>
  <x:si>
    <x:t xml:space="preserve">WALKER</x:t>
  </x:si>
  <x:si>
    <x:t xml:space="preserve">874405572227</x:t>
  </x:si>
  <x:si>
    <x:t xml:space="preserve">EL100V22535000846280</x:t>
  </x:si>
  <x:si>
    <x:t xml:space="preserve">LOG-SRL26072327</x:t>
  </x:si>
  <x:si>
    <x:t xml:space="preserve">SUMTER</x:t>
  </x:si>
  <x:si>
    <x:t xml:space="preserve">874819305254</x:t>
  </x:si>
  <x:si>
    <x:t xml:space="preserve">EL100V22539000267905</x:t>
  </x:si>
  <x:si>
    <x:t xml:space="preserve">LOG-SRL26073982</x:t>
  </x:si>
  <x:si>
    <x:t xml:space="preserve">873805604665</x:t>
  </x:si>
  <x:si>
    <x:t xml:space="preserve">EL100V22540001100382</x:t>
  </x:si>
  <x:si>
    <x:t xml:space="preserve">LOG-SRL26070089</x:t>
  </x:si>
  <x:si>
    <x:t xml:space="preserve">STRONGSVILLE</x:t>
  </x:si>
  <x:si>
    <x:t xml:space="preserve">873684283590</x:t>
  </x:si>
  <x:si>
    <x:t xml:space="preserve">AC1802438001442972</x:t>
  </x:si>
  <x:si>
    <x:t xml:space="preserve">LOG-SRL26063100</x:t>
  </x:si>
  <x:si>
    <x:t xml:space="preserve">FUQUAY VARINA</x:t>
  </x:si>
  <x:si>
    <x:t xml:space="preserve">874770576523</x:t>
  </x:si>
  <x:si>
    <x:t xml:space="preserve">AC200L2439001729599</x:t>
  </x:si>
  <x:si>
    <x:t xml:space="preserve">LOG-SRL26073837</x:t>
  </x:si>
  <x:si>
    <x:t xml:space="preserve">874652959380</x:t>
  </x:si>
  <x:si>
    <x:t xml:space="preserve">AC1802432000825829</x:t>
  </x:si>
  <x:si>
    <x:t xml:space="preserve">LOG-CRP26073289</x:t>
  </x:si>
  <x:si>
    <x:t xml:space="preserve">AC180：0</x:t>
  </x:si>
  <x:si>
    <x:t xml:space="preserve">874587773324</x:t>
  </x:si>
  <x:si>
    <x:t xml:space="preserve">AC1802529000731298</x:t>
  </x:si>
  <x:si>
    <x:t xml:space="preserve">LOG-SRL26073048</x:t>
  </x:si>
  <x:si>
    <x:t xml:space="preserve">COLUMBIA</x:t>
  </x:si>
  <x:si>
    <x:t xml:space="preserve">873857594738</x:t>
  </x:si>
  <x:si>
    <x:t xml:space="preserve">AC1802520100618684</x:t>
  </x:si>
  <x:si>
    <x:t xml:space="preserve">LOG-SRL26070232</x:t>
  </x:si>
  <x:si>
    <x:t xml:space="preserve">ASHEVILLE</x:t>
  </x:si>
  <x:si>
    <x:t xml:space="preserve">874085878859</x:t>
  </x:si>
  <x:si>
    <x:t xml:space="preserve">AC1802534002776785</x:t>
  </x:si>
  <x:si>
    <x:t xml:space="preserve">LOG-SRD26070969</x:t>
  </x:si>
  <x:si>
    <x:t xml:space="preserve">CHARLOTTE</x:t>
  </x:si>
  <x:si>
    <x:t xml:space="preserve">873682371233</x:t>
  </x:si>
  <x:si>
    <x:t xml:space="preserve">AC702337000393011</x:t>
  </x:si>
  <x:si>
    <x:t xml:space="preserve">LOG-CRP26063084</x:t>
  </x:si>
  <x:si>
    <x:t xml:space="preserve">METAIRIE</x:t>
  </x:si>
  <x:si>
    <x:t xml:space="preserve">874352788599</x:t>
  </x:si>
  <x:si>
    <x:t xml:space="preserve">AC1802435001578484</x:t>
  </x:si>
  <x:si>
    <x:t xml:space="preserve">LOG-CRP26072140</x:t>
  </x:si>
  <x:si>
    <x:t xml:space="preserve">UNION</x:t>
  </x:si>
  <x:si>
    <x:t xml:space="preserve">873597902928</x:t>
  </x:si>
  <x:si>
    <x:t xml:space="preserve">AC1802435001053047</x:t>
  </x:si>
  <x:si>
    <x:t xml:space="preserve">LOG-SRL26062850</x:t>
  </x:si>
  <x:si>
    <x:t xml:space="preserve">WINTHROP</x:t>
  </x:si>
  <x:si>
    <x:t xml:space="preserve">873964145814</x:t>
  </x:si>
  <x:si>
    <x:t xml:space="preserve">EL100V22527005746151</x:t>
  </x:si>
  <x:si>
    <x:t xml:space="preserve">LOG-SRL26070820</x:t>
  </x:si>
  <x:si>
    <x:t xml:space="preserve">WHITEHOUSE STATION</x:t>
  </x:si>
  <x:si>
    <x:t xml:space="preserve">873354490358</x:t>
  </x:si>
  <x:si>
    <x:t xml:space="preserve">AC702540000057568</x:t>
  </x:si>
  <x:si>
    <x:t xml:space="preserve">LOG-SRD26062106</x:t>
  </x:si>
  <x:si>
    <x:t xml:space="preserve">WENDELL</x:t>
  </x:si>
  <x:si>
    <x:t xml:space="preserve">873243276841</x:t>
  </x:si>
  <x:si>
    <x:t xml:space="preserve">AC1802538000767268</x:t>
  </x:si>
  <x:si>
    <x:t xml:space="preserve">LOG-SRD26062002</x:t>
  </x:si>
  <x:si>
    <x:t xml:space="preserve">LANCASTER</x:t>
  </x:si>
  <x:si>
    <x:t xml:space="preserve">873651295526</x:t>
  </x:si>
  <x:si>
    <x:t xml:space="preserve">EL3002613132466776</x:t>
  </x:si>
  <x:si>
    <x:t xml:space="preserve">LOG-SRD26070406</x:t>
  </x:si>
  <x:si>
    <x:t xml:space="preserve">BOCA RATON</x:t>
  </x:si>
  <x:si>
    <x:t xml:space="preserve">875132753001</x:t>
  </x:si>
  <x:si>
    <x:t xml:space="preserve">EL3002609135922544</x:t>
  </x:si>
  <x:si>
    <x:t xml:space="preserve">LOG-SRL26074983</x:t>
  </x:si>
  <x:si>
    <x:t xml:space="preserve">873109424680</x:t>
  </x:si>
  <x:si>
    <x:t xml:space="preserve">EAST LONGMEADOW</x:t>
  </x:si>
  <x:si>
    <x:t xml:space="preserve">873354707385</x:t>
  </x:si>
  <x:si>
    <x:t xml:space="preserve">EL3002613132581421</x:t>
  </x:si>
  <x:si>
    <x:t xml:space="preserve">LOG-SRD26062350</x:t>
  </x:si>
  <x:si>
    <x:t xml:space="preserve">BRUNSWICK</x:t>
  </x:si>
  <x:si>
    <x:t xml:space="preserve">873679799079</x:t>
  </x:si>
  <x:si>
    <x:t xml:space="preserve">EL100V22541000218106</x:t>
  </x:si>
  <x:si>
    <x:t xml:space="preserve">LOG-SRL26063064</x:t>
  </x:si>
  <x:si>
    <x:t xml:space="preserve">ANN ARBOR</x:t>
  </x:si>
  <x:si>
    <x:t xml:space="preserve">874970642534</x:t>
  </x:si>
  <x:si>
    <x:t xml:space="preserve">874595143529</x:t>
  </x:si>
  <x:si>
    <x:t xml:space="preserve">EL100V22523000172308</x:t>
  </x:si>
  <x:si>
    <x:t xml:space="preserve">LOG-SRL26073145</x:t>
  </x:si>
  <x:si>
    <x:t xml:space="preserve">ORLEANS</x:t>
  </x:si>
  <x:si>
    <x:t xml:space="preserve">875079467174</x:t>
  </x:si>
  <x:si>
    <x:t xml:space="preserve">AC50B2547231937934</x:t>
  </x:si>
  <x:si>
    <x:t xml:space="preserve">LOG-SRD26074792</x:t>
  </x:si>
  <x:si>
    <x:t xml:space="preserve">AC50B：6.713</x:t>
  </x:si>
  <x:si>
    <x:t xml:space="preserve">874462330644</x:t>
  </x:si>
  <x:si>
    <x:t xml:space="preserve">EL100V22526090401572</x:t>
  </x:si>
  <x:si>
    <x:t xml:space="preserve">LOG-SRL26072582</x:t>
  </x:si>
  <x:si>
    <x:t xml:space="preserve">BALLWIN</x:t>
  </x:si>
  <x:si>
    <x:t xml:space="preserve">873812786100</x:t>
  </x:si>
  <x:si>
    <x:t xml:space="preserve">DMM40-252PV35000242</x:t>
  </x:si>
  <x:si>
    <x:t xml:space="preserve">BALLSTON SPA</x:t>
  </x:si>
  <x:si>
    <x:t xml:space="preserve">14 / 14</x:t>
  </x:si>
  <x:si>
    <x:t xml:space="preserve">350W：14；350W：14</x:t>
  </x:si>
  <x:si>
    <x:t xml:space="preserve">873476103347</x:t>
  </x:si>
  <x:si>
    <x:t xml:space="preserve">BC2002603133742207</x:t>
  </x:si>
  <x:si>
    <x:t xml:space="preserve">LOG-SRL26062421</x:t>
  </x:si>
  <x:si>
    <x:t xml:space="preserve">873806431486</x:t>
  </x:si>
  <x:si>
    <x:t xml:space="preserve">EL100V22541001516172</x:t>
  </x:si>
  <x:si>
    <x:t xml:space="preserve">LOG-SRL26070096</x:t>
  </x:si>
  <x:si>
    <x:t xml:space="preserve">BIRMINGHAM</x:t>
  </x:si>
  <x:si>
    <x:t xml:space="preserve">875083885545</x:t>
  </x:si>
  <x:si>
    <x:t xml:space="preserve">LOG-SRL26074856</x:t>
  </x:si>
  <x:si>
    <x:t xml:space="preserve">873371346866</x:t>
  </x:si>
  <x:si>
    <x:t xml:space="preserve">AC702540001411677</x:t>
  </x:si>
  <x:si>
    <x:t xml:space="preserve">LOG-SRD26070186</x:t>
  </x:si>
  <x:si>
    <x:t xml:space="preserve">BLUETTI AC70：11.385</x:t>
  </x:si>
  <x:si>
    <x:t xml:space="preserve">873909174173</x:t>
  </x:si>
  <x:si>
    <x:t xml:space="preserve">EL3002613131868311</x:t>
  </x:si>
  <x:si>
    <x:t xml:space="preserve">LOG-CRP26070394</x:t>
  </x:si>
  <x:si>
    <x:t xml:space="preserve">HOMOSASSA</x:t>
  </x:si>
  <x:si>
    <x:t xml:space="preserve">873648195891</x:t>
  </x:si>
  <x:si>
    <x:t xml:space="preserve">EL3002613135059172</x:t>
  </x:si>
  <x:si>
    <x:t xml:space="preserve">LOG-SRL26062972</x:t>
  </x:si>
  <x:si>
    <x:t xml:space="preserve">NEW SMYRNA BEACH</x:t>
  </x:si>
  <x:si>
    <x:t xml:space="preserve">873364626827</x:t>
  </x:si>
  <x:si>
    <x:t xml:space="preserve">AC200L2424003457898</x:t>
  </x:si>
  <x:si>
    <x:t xml:space="preserve">LOG-SRD26062181</x:t>
  </x:si>
  <x:si>
    <x:t xml:space="preserve">AC200L：1</x:t>
  </x:si>
  <x:si>
    <x:t xml:space="preserve">874406749367</x:t>
  </x:si>
  <x:si>
    <x:t xml:space="preserve">EL100V22525511770952</x:t>
  </x:si>
  <x:si>
    <x:t xml:space="preserve">LOG-CRP26073734</x:t>
  </x:si>
  <x:si>
    <x:t xml:space="preserve">THOMSON</x:t>
  </x:si>
  <x:si>
    <x:t xml:space="preserve">875026925112</x:t>
  </x:si>
  <x:si>
    <x:t xml:space="preserve">EL100V22528042929301</x:t>
  </x:si>
  <x:si>
    <x:t xml:space="preserve">LOG-SRL26074640</x:t>
  </x:si>
  <x:si>
    <x:t xml:space="preserve">874028982045</x:t>
  </x:si>
  <x:si>
    <x:t xml:space="preserve">EL100V22540003355860</x:t>
  </x:si>
  <x:si>
    <x:t xml:space="preserve">LOG-SRL26070789</x:t>
  </x:si>
  <x:si>
    <x:t xml:space="preserve">NEW RICHMOND</x:t>
  </x:si>
  <x:si>
    <x:t xml:space="preserve">Elite 100：1</x:t>
  </x:si>
  <x:si>
    <x:t xml:space="preserve">873236734387</x:t>
  </x:si>
  <x:si>
    <x:t xml:space="preserve">EL100V22528040309553</x:t>
  </x:si>
  <x:si>
    <x:t xml:space="preserve">LOG-SRL26061952</x:t>
  </x:si>
  <x:si>
    <x:t xml:space="preserve">874454755548</x:t>
  </x:si>
  <x:si>
    <x:t xml:space="preserve">EL100V22528042956425</x:t>
  </x:si>
  <x:si>
    <x:t xml:space="preserve">LOG-SRL26074433</x:t>
  </x:si>
  <x:si>
    <x:t xml:space="preserve">MILTON</x:t>
  </x:si>
  <x:si>
    <x:t xml:space="preserve">874199745095</x:t>
  </x:si>
  <x:si>
    <x:t xml:space="preserve">EL100V22535000999492</x:t>
  </x:si>
  <x:si>
    <x:t xml:space="preserve">LOG-SRL26071465</x:t>
  </x:si>
  <x:si>
    <x:t xml:space="preserve">874406439920</x:t>
  </x:si>
  <x:si>
    <x:t xml:space="preserve">AC1802448002575233</x:t>
  </x:si>
  <x:si>
    <x:t xml:space="preserve">LOG-SRL26072343</x:t>
  </x:si>
  <x:si>
    <x:t xml:space="preserve">TROY</x:t>
  </x:si>
  <x:si>
    <x:t xml:space="preserve">873114830593</x:t>
  </x:si>
  <x:si>
    <x:t xml:space="preserve">CARLISLE</x:t>
  </x:si>
  <x:si>
    <x:t xml:space="preserve">873748387608</x:t>
  </x:si>
  <x:si>
    <x:t xml:space="preserve">EL100V22542003222246</x:t>
  </x:si>
  <x:si>
    <x:t xml:space="preserve">LOG-SRL26063289</x:t>
  </x:si>
  <x:si>
    <x:t xml:space="preserve">ALBION</x:t>
  </x:si>
  <x:si>
    <x:t xml:space="preserve">873424093974</x:t>
  </x:si>
  <x:si>
    <x:t xml:space="preserve">EL100V22540002907523</x:t>
  </x:si>
  <x:si>
    <x:t xml:space="preserve">LOG-SRL26062309</x:t>
  </x:si>
  <x:si>
    <x:t xml:space="preserve">JEFFERSON CITY</x:t>
  </x:si>
  <x:si>
    <x:t xml:space="preserve">873485268926</x:t>
  </x:si>
  <x:si>
    <x:t xml:space="preserve">EL3002613134977908</x:t>
  </x:si>
  <x:si>
    <x:t xml:space="preserve">LOG-SRL26062502</x:t>
  </x:si>
  <x:si>
    <x:t xml:space="preserve">ENFIELD</x:t>
  </x:si>
  <x:si>
    <x:t xml:space="preserve">874290703451</x:t>
  </x:si>
  <x:si>
    <x:t xml:space="preserve">EL100V22532031490099</x:t>
  </x:si>
  <x:si>
    <x:t xml:space="preserve">LOG-SRL26071881</x:t>
  </x:si>
  <x:si>
    <x:t xml:space="preserve">MARTINSVILLE</x:t>
  </x:si>
  <x:si>
    <x:t xml:space="preserve">873543285720</x:t>
  </x:si>
  <x:si>
    <x:t xml:space="preserve">EL100V22545131315498</x:t>
  </x:si>
  <x:si>
    <x:t xml:space="preserve">LOG-SRL26062679</x:t>
  </x:si>
  <x:si>
    <x:t xml:space="preserve">LARGO</x:t>
  </x:si>
  <x:si>
    <x:t xml:space="preserve">874714646339</x:t>
  </x:si>
  <x:si>
    <x:t xml:space="preserve">873689062051</x:t>
  </x:si>
  <x:si>
    <x:t xml:space="preserve">EL100V22525020514468</x:t>
  </x:si>
  <x:si>
    <x:t xml:space="preserve">LOG-SRL26063144</x:t>
  </x:si>
  <x:si>
    <x:t xml:space="preserve">LISBON</x:t>
  </x:si>
  <x:si>
    <x:t xml:space="preserve">873125800348</x:t>
  </x:si>
  <x:si>
    <x:t xml:space="preserve">AC1802339003131620</x:t>
  </x:si>
  <x:si>
    <x:t xml:space="preserve">LOG-SRL26061634</x:t>
  </x:si>
  <x:si>
    <x:t xml:space="preserve">CENTER SANDWICH</x:t>
  </x:si>
  <x:si>
    <x:t xml:space="preserve">874456457692</x:t>
  </x:si>
  <x:si>
    <x:t xml:space="preserve">EL100V22528000660820</x:t>
  </x:si>
  <x:si>
    <x:t xml:space="preserve">LOG-CRP26072497</x:t>
  </x:si>
  <x:si>
    <x:t xml:space="preserve">BROWNVILLE</x:t>
  </x:si>
  <x:si>
    <x:t xml:space="preserve">EL100V2：0</x:t>
  </x:si>
  <x:si>
    <x:t xml:space="preserve">874087725260</x:t>
  </x:si>
  <x:si>
    <x:t xml:space="preserve">EL100V22532031082356</x:t>
  </x:si>
  <x:si>
    <x:t xml:space="preserve">LOG-SRL26071003</x:t>
  </x:si>
  <x:si>
    <x:t xml:space="preserve">STEPHENS CITY</x:t>
  </x:si>
  <x:si>
    <x:t xml:space="preserve">874906233666</x:t>
  </x:si>
  <x:si>
    <x:t xml:space="preserve">AC1802339002100985</x:t>
  </x:si>
  <x:si>
    <x:t xml:space="preserve">LOG-CRP26074229</x:t>
  </x:si>
  <x:si>
    <x:t xml:space="preserve">873481838718</x:t>
  </x:si>
  <x:si>
    <x:t xml:space="preserve">EL100V22542132609892</x:t>
  </x:si>
  <x:si>
    <x:t xml:space="preserve">LOG-SRL26062464</x:t>
  </x:si>
  <x:si>
    <x:t xml:space="preserve">HEBRON</x:t>
  </x:si>
  <x:si>
    <x:t xml:space="preserve">874715484054</x:t>
  </x:si>
  <x:si>
    <x:t xml:space="preserve">EL100V22528040811317</x:t>
  </x:si>
  <x:si>
    <x:t xml:space="preserve">LOG-SRL26073595</x:t>
  </x:si>
  <x:si>
    <x:t xml:space="preserve">GAFFNEY</x:t>
  </x:si>
  <x:si>
    <x:t xml:space="preserve">874591397757</x:t>
  </x:si>
  <x:si>
    <x:t xml:space="preserve">SAINT CLAIRSVILLE</x:t>
  </x:si>
  <x:si>
    <x:t xml:space="preserve">873123390590</x:t>
  </x:si>
  <x:si>
    <x:t xml:space="preserve">AC1802438000691508</x:t>
  </x:si>
  <x:si>
    <x:t xml:space="preserve">LOG-CRP26061613</x:t>
  </x:si>
  <x:si>
    <x:t xml:space="preserve">874145467698</x:t>
  </x:si>
  <x:si>
    <x:t xml:space="preserve">AC1802452001975363</x:t>
  </x:si>
  <x:si>
    <x:t xml:space="preserve">LOG-SRL26071244</x:t>
  </x:si>
  <x:si>
    <x:t xml:space="preserve">ACWORTH</x:t>
  </x:si>
  <x:si>
    <x:t xml:space="preserve">873964041286</x:t>
  </x:si>
  <x:si>
    <x:t xml:space="preserve">AC1802419000816877</x:t>
  </x:si>
  <x:si>
    <x:t xml:space="preserve">LOG-SRL26070623</x:t>
  </x:si>
  <x:si>
    <x:t xml:space="preserve">PIEDMONT</x:t>
  </x:si>
  <x:si>
    <x:t xml:space="preserve">873913263995</x:t>
  </x:si>
  <x:si>
    <x:t xml:space="preserve">EL100V22541001452990</x:t>
  </x:si>
  <x:si>
    <x:t xml:space="preserve">LOG-SRL26070445</x:t>
  </x:si>
  <x:si>
    <x:t xml:space="preserve">DAYTON</x:t>
  </x:si>
  <x:si>
    <x:t xml:space="preserve">873246589963</x:t>
  </x:si>
  <x:si>
    <x:t xml:space="preserve">RV52534020463834</x:t>
  </x:si>
  <x:si>
    <x:t xml:space="preserve">LOG-SRL26062014</x:t>
  </x:si>
  <x:si>
    <x:t xml:space="preserve">WILMINGTON</x:t>
  </x:si>
  <x:si>
    <x:t xml:space="preserve">873543235287</x:t>
  </x:si>
  <x:si>
    <x:t xml:space="preserve">AC1802330004071213</x:t>
  </x:si>
  <x:si>
    <x:t xml:space="preserve">LOG-CRP26062678</x:t>
  </x:si>
  <x:si>
    <x:t xml:space="preserve">MATTHEWS</x:t>
  </x:si>
  <x:si>
    <x:t xml:space="preserve">873417139073</x:t>
  </x:si>
  <x:si>
    <x:t xml:space="preserve">AC1802441003667662</x:t>
  </x:si>
  <x:si>
    <x:t xml:space="preserve">LOG-CRP26062258</x:t>
  </x:si>
  <x:si>
    <x:t xml:space="preserve">873551801515</x:t>
  </x:si>
  <x:si>
    <x:t xml:space="preserve">AC702539011288995</x:t>
  </x:si>
  <x:si>
    <x:t xml:space="preserve">LOG-SRD26062911</x:t>
  </x:si>
  <x:si>
    <x:t xml:space="preserve">LUTHERVILLE TIMONIUM</x:t>
  </x:si>
  <x:si>
    <x:t xml:space="preserve">AC70：0</x:t>
  </x:si>
  <x:si>
    <x:t xml:space="preserve">873866458032</x:t>
  </x:si>
  <x:si>
    <x:t xml:space="preserve">AC1802451004304094</x:t>
  </x:si>
  <x:si>
    <x:t xml:space="preserve">LOG-SRL26070332</x:t>
  </x:si>
  <x:si>
    <x:t xml:space="preserve">LEWISTOWN</x:t>
  </x:si>
  <x:si>
    <x:t xml:space="preserve">873686666786</x:t>
  </x:si>
  <x:si>
    <x:t xml:space="preserve">EL30V22550131226061</x:t>
  </x:si>
  <x:si>
    <x:t xml:space="preserve">PUNTA GORDA</x:t>
  </x:si>
  <x:si>
    <x:t xml:space="preserve">EB3A：5.897</x:t>
  </x:si>
  <x:si>
    <x:t xml:space="preserve">873225513272</x:t>
  </x:si>
  <x:si>
    <x:t xml:space="preserve">AC1802451005876659</x:t>
  </x:si>
  <x:si>
    <x:t xml:space="preserve">LOG-CRP26061894</x:t>
  </x:si>
  <x:si>
    <x:t xml:space="preserve">AUBURN</x:t>
  </x:si>
  <x:si>
    <x:t xml:space="preserve">874595862247</x:t>
  </x:si>
  <x:si>
    <x:t xml:space="preserve">AC1802439001089315</x:t>
  </x:si>
  <x:si>
    <x:t xml:space="preserve">LOG-CRP26073157</x:t>
  </x:si>
  <x:si>
    <x:t xml:space="preserve">874094969130</x:t>
  </x:si>
  <x:si>
    <x:t xml:space="preserve">AC180P</x:t>
  </x:si>
  <x:si>
    <x:t xml:space="preserve">AC180P2436000672684</x:t>
  </x:si>
  <x:si>
    <x:t xml:space="preserve">LOG-SRL26071105</x:t>
  </x:si>
  <x:si>
    <x:t xml:space="preserve">INVERNESS</x:t>
  </x:si>
  <x:si>
    <x:t xml:space="preserve">AC180P：17.237</x:t>
  </x:si>
  <x:si>
    <x:t xml:space="preserve">874140339270</x:t>
  </x:si>
  <x:si>
    <x:t xml:space="preserve">EL100V22541001969167</x:t>
  </x:si>
  <x:si>
    <x:t xml:space="preserve">LOG-SRL26071179</x:t>
  </x:si>
  <x:si>
    <x:t xml:space="preserve">873861801661</x:t>
  </x:si>
  <x:si>
    <x:t xml:space="preserve">AC2A2348000291983</x:t>
  </x:si>
  <x:si>
    <x:t xml:space="preserve">LOG-CRP26074175</x:t>
  </x:si>
  <x:si>
    <x:t xml:space="preserve">GEORGETOWN</x:t>
  </x:si>
  <x:si>
    <x:t xml:space="preserve">AC2A：3.629</x:t>
  </x:si>
  <x:si>
    <x:t xml:space="preserve">874515937995</x:t>
  </x:si>
  <x:si>
    <x:t xml:space="preserve">ONA</x:t>
  </x:si>
  <x:si>
    <x:t xml:space="preserve">875025085242</x:t>
  </x:si>
  <x:si>
    <x:t xml:space="preserve">EL100V22526091127598</x:t>
  </x:si>
  <x:si>
    <x:t xml:space="preserve">LOG-SRD26074607</x:t>
  </x:si>
  <x:si>
    <x:t xml:space="preserve">873963408616</x:t>
  </x:si>
  <x:si>
    <x:t xml:space="preserve">EL100V22532010208560</x:t>
  </x:si>
  <x:si>
    <x:t xml:space="preserve">LOG-SRL26070616</x:t>
  </x:si>
  <x:si>
    <x:t xml:space="preserve">BLOUNTVILLE</x:t>
  </x:si>
  <x:si>
    <x:t xml:space="preserve">874713748029</x:t>
  </x:si>
  <x:si>
    <x:t xml:space="preserve">874514671390</x:t>
  </x:si>
  <x:si>
    <x:t xml:space="preserve">EL100V22532070150150</x:t>
  </x:si>
  <x:si>
    <x:t xml:space="preserve">LOG-SRD26073308</x:t>
  </x:si>
  <x:si>
    <x:t xml:space="preserve">874350305338</x:t>
  </x:si>
  <x:si>
    <x:t xml:space="preserve">EL100V22537012017994</x:t>
  </x:si>
  <x:si>
    <x:t xml:space="preserve">LOG-SRL26073611</x:t>
  </x:si>
  <x:si>
    <x:t xml:space="preserve">EASTON</x:t>
  </x:si>
  <x:si>
    <x:t xml:space="preserve">875025544912</x:t>
  </x:si>
  <x:si>
    <x:t xml:space="preserve">AP3002543130016795</x:t>
  </x:si>
  <x:si>
    <x:t xml:space="preserve">LOG-CRP26074614</x:t>
  </x:si>
  <x:si>
    <x:t xml:space="preserve">Apex 300：43</x:t>
  </x:si>
  <x:si>
    <x:t xml:space="preserve">873426897860</x:t>
  </x:si>
  <x:si>
    <x:t xml:space="preserve">EL100V22540001629856</x:t>
  </x:si>
  <x:si>
    <x:t xml:space="preserve">LOG-SRD26062352</x:t>
  </x:si>
  <x:si>
    <x:t xml:space="preserve">EAST HAMPTON</x:t>
  </x:si>
  <x:si>
    <x:t xml:space="preserve">873177517802</x:t>
  </x:si>
  <x:si>
    <x:t xml:space="preserve">AC1802411001631567</x:t>
  </x:si>
  <x:si>
    <x:t xml:space="preserve">LOG-CRP26061736</x:t>
  </x:si>
  <x:si>
    <x:t xml:space="preserve">WESTBOROUGH</x:t>
  </x:si>
  <x:si>
    <x:t xml:space="preserve">874984443910</x:t>
  </x:si>
  <x:si>
    <x:t xml:space="preserve">AC200L2439001643472</x:t>
  </x:si>
  <x:si>
    <x:t xml:space="preserve">LOG-SRL26073921</x:t>
  </x:si>
  <x:si>
    <x:t xml:space="preserve">874409571020</x:t>
  </x:si>
  <x:si>
    <x:t xml:space="preserve">EL3002613133425247</x:t>
  </x:si>
  <x:si>
    <x:t xml:space="preserve">LOG-SRL26072380</x:t>
  </x:si>
  <x:si>
    <x:t xml:space="preserve">EVERGLADES CITY</x:t>
  </x:si>
  <x:si>
    <x:t xml:space="preserve">873744716460</x:t>
  </x:si>
  <x:si>
    <x:t xml:space="preserve">EL3002613132562620</x:t>
  </x:si>
  <x:si>
    <x:t xml:space="preserve">LOG-SRL26063256</x:t>
  </x:si>
  <x:si>
    <x:t xml:space="preserve">874356934394</x:t>
  </x:si>
  <x:si>
    <x:t xml:space="preserve">EL100V22542002253087</x:t>
  </x:si>
  <x:si>
    <x:t xml:space="preserve">LOG-SRD26072403</x:t>
  </x:si>
  <x:si>
    <x:t xml:space="preserve">GASTONIA</x:t>
  </x:si>
  <x:si>
    <x:t xml:space="preserve">873591534306</x:t>
  </x:si>
  <x:si>
    <x:t xml:space="preserve">AC702424003001484</x:t>
  </x:si>
  <x:si>
    <x:t xml:space="preserve">LOG-CRP26062781</x:t>
  </x:si>
  <x:si>
    <x:t xml:space="preserve">HOPE</x:t>
  </x:si>
  <x:si>
    <x:t xml:space="preserve">873809596522</x:t>
  </x:si>
  <x:si>
    <x:t xml:space="preserve">Elite 200 V22543134271597</x:t>
  </x:si>
  <x:si>
    <x:t xml:space="preserve">LOG-SRD26070145</x:t>
  </x:si>
  <x:si>
    <x:t xml:space="preserve">ROCKVILLE</x:t>
  </x:si>
  <x:si>
    <x:t xml:space="preserve">Elite 200 v2：0</x:t>
  </x:si>
  <x:si>
    <x:t xml:space="preserve">873236800602</x:t>
  </x:si>
  <x:si>
    <x:t xml:space="preserve">AC1802411002384297</x:t>
  </x:si>
  <x:si>
    <x:t xml:space="preserve">LOG-SRL26061953</x:t>
  </x:si>
  <x:si>
    <x:t xml:space="preserve">MEMPHIS</x:t>
  </x:si>
  <x:si>
    <x:t xml:space="preserve">874657686413</x:t>
  </x:si>
  <x:si>
    <x:t xml:space="preserve">AC1802531010160112</x:t>
  </x:si>
  <x:si>
    <x:t xml:space="preserve">LOG-SRL26073354</x:t>
  </x:si>
  <x:si>
    <x:t xml:space="preserve">873601492219</x:t>
  </x:si>
  <x:si>
    <x:t xml:space="preserve">EL100V22539002717051</x:t>
  </x:si>
  <x:si>
    <x:t xml:space="preserve">LOG-SRL26062892</x:t>
  </x:si>
  <x:si>
    <x:t xml:space="preserve">MT</x:t>
  </x:si>
  <x:si>
    <x:t xml:space="preserve">MISSOULA</x:t>
  </x:si>
  <x:si>
    <x:t xml:space="preserve">874897403844</x:t>
  </x:si>
  <x:si>
    <x:t xml:space="preserve">EL100V22532031567917</x:t>
  </x:si>
  <x:si>
    <x:t xml:space="preserve">LOG-SRL26074148</x:t>
  </x:si>
  <x:si>
    <x:t xml:space="preserve">874660302430</x:t>
  </x:si>
  <x:si>
    <x:t xml:space="preserve">873651184982</x:t>
  </x:si>
  <x:si>
    <x:t xml:space="preserve">AC50B2547131580192</x:t>
  </x:si>
  <x:si>
    <x:t xml:space="preserve">LOG-SRD26063067</x:t>
  </x:si>
  <x:si>
    <x:t xml:space="preserve">874401213522</x:t>
  </x:si>
  <x:si>
    <x:t xml:space="preserve">EL100V22527006402107</x:t>
  </x:si>
  <x:si>
    <x:t xml:space="preserve">LOG-SRD26073441</x:t>
  </x:si>
  <x:si>
    <x:t xml:space="preserve">FREEDOM</x:t>
  </x:si>
  <x:si>
    <x:t xml:space="preserve">874653084452</x:t>
  </x:si>
  <x:si>
    <x:t xml:space="preserve">EL100V22541020820909</x:t>
  </x:si>
  <x:si>
    <x:t xml:space="preserve">LOG-CRP26073141</x:t>
  </x:si>
  <x:si>
    <x:t xml:space="preserve">FREDONIA</x:t>
  </x:si>
  <x:si>
    <x:t xml:space="preserve">874409838052</x:t>
  </x:si>
  <x:si>
    <x:t xml:space="preserve">EL100V22525020352140</x:t>
  </x:si>
  <x:si>
    <x:t xml:space="preserve">LOG-SRL26072383</x:t>
  </x:si>
  <x:si>
    <x:t xml:space="preserve">WEEDSPORT</x:t>
  </x:si>
  <x:si>
    <x:t xml:space="preserve">874586407410</x:t>
  </x:si>
  <x:si>
    <x:t xml:space="preserve">AC1802439000801439</x:t>
  </x:si>
  <x:si>
    <x:t xml:space="preserve">LOG-SRL26073027</x:t>
  </x:si>
  <x:si>
    <x:t xml:space="preserve">NUTLEY</x:t>
  </x:si>
  <x:si>
    <x:t xml:space="preserve">873855911898</x:t>
  </x:si>
  <x:si>
    <x:t xml:space="preserve">AC180P2547138070371</x:t>
  </x:si>
  <x:si>
    <x:t xml:space="preserve">LOG-SRL26070217</x:t>
  </x:si>
  <x:si>
    <x:t xml:space="preserve">LANDISVILLE</x:t>
  </x:si>
  <x:si>
    <x:t xml:space="preserve">874961321496</x:t>
  </x:si>
  <x:si>
    <x:t xml:space="preserve">AC50B2547231810566</x:t>
  </x:si>
  <x:si>
    <x:t xml:space="preserve">LOG-SRD26074360</x:t>
  </x:si>
  <x:si>
    <x:t xml:space="preserve">AC50B：6.804</x:t>
  </x:si>
  <x:si>
    <x:t xml:space="preserve">机型</x:t>
  </x:si>
  <x:si>
    <x:t xml:space="preserve">基础表记录数</x:t>
  </x:si>
  <x:si>
    <x:t xml:space="preserve">匹配依据：基础表跟踪号 ↔ 收货记录物流单号；FedEx纯数字长单号取后12位。</x:t>
  </x:si>
  <x:si>
    <x:t xml:space="preserve">同单多条记录保留全部不同机型；未匹配记录不推测机型。</x:t>
  </x:si>
  <x:si>
    <x:t xml:space="preserve">来源：美国Logistar仓收件登记表-更新版9.02.csv（行号含前两行表头）</x:t>
  </x:si>
  <x:si>
    <x:t xml:space="preserve">机型为空</x:t>
  </x:si>
  <x:si>
    <x:t xml:space="preserve">已匹配合计</x:t>
  </x:si>
  <x:si>
    <x:t xml:space="preserve">基础表记录合计</x:t>
  </x:si>
  <x:si>
    <x:t xml:space="preserve">项目</x:t>
  </x:si>
  <x:si>
    <x:t xml:space="preserve">说明</x:t>
  </x:si>
  <x:si>
    <x:t xml:space="preserve">匹配依据</x:t>
  </x:si>
  <x:si>
    <x:t xml:space="preserve">基础表跟踪号与核对表跟踪单号匹配；纯数字长单号取后12位。</x:t>
  </x:si>
  <x:si>
    <x:t xml:space="preserve">匹配结果</x:t>
  </x:si>
  <x:si>
    <x:t xml:space="preserve">306条：251条已匹配，55条未匹配；核对表无重复匹配单号。</x:t>
  </x:si>
  <x:si>
    <x:t xml:space="preserve">尺寸口径</x:t>
  </x:si>
  <x:si>
    <x:t xml:space="preserve">核对表只有包裹长度、宽度、高度一组字段，未说明是申报还是实际；不能据此提供两套尺寸。</x:t>
  </x:si>
  <x:si>
    <x:t xml:space="preserve">申报尺寸</x:t>
  </x:si>
  <x:si>
    <x:t xml:space="preserve">本次两份文件未提供单独的申报长宽高，未推测或填造。</x:t>
  </x:si>
  <x:si>
    <x:t xml:space="preserve">重量口径</x:t>
  </x:si>
  <x:si>
    <x:t xml:space="preserve">实际、计费、预估重量均已统一为lb；kg/kgs按1 lb = 0.45359237 kg换算，显示3位小数。</x:t>
  </x:si>
  <x:si>
    <x:t xml:space="preserve">尺寸单位</x:t>
  </x:si>
  <x:si>
    <x:t xml:space="preserve">保留核对表原代码 C / I，便于核对。</x:t>
  </x:si>
  <x:si>
    <x:t xml:space="preserve">地址字段</x:t>
  </x:si>
  <x:si>
    <x:t xml:space="preserve">采用核对表当前寄件人、收件人的州/省和城市字段。</x:t>
  </x:si>
  <x:si>
    <x:t xml:space="preserve">来源</x:t>
  </x:si>
  <x:si>
    <x:t xml:space="preserve">bluetti 打单成本价_中文表头.xlsx，Data页；来源行号含首行表头。</x:t>
  </x:si>
  <x:si>
    <x:t xml:space="preserve">基础表</x:t>
  </x:si>
  <x:si>
    <x:t xml:space="preserve">采用本次读取的用户手动修改版本，保留原有8列数据、公式及原机型汇总。</x:t>
  </x:si>
  <x:si>
    <x:t xml:space="preserve">申报重量来源</x:t>
  </x:si>
  <x:si>
    <x:t xml:space="preserve">副本订单列表导出.xlsx，订单列表页“申报单重”；按服务商单号匹配。</x:t>
  </x:si>
  <x:si>
    <x:t xml:space="preserve">申报重量单位</x:t>
  </x:si>
  <x:si>
    <x:t xml:space="preserve">订单导出的申报单重没有注明单位，因此保留原值，未推定为kg或lb。</x:t>
  </x:si>
  <x:si>
    <x:t xml:space="preserve">多商品单号</x:t>
  </x:si>
  <x:si>
    <x:t xml:space="preserve">申报单重按商品分别列出；源表没有数量字段，因此不相加推算整票申报重量。</x:t>
  </x:si>
  <x:si>
    <x:t xml:space="preserve">零值</x:t>
  </x:si>
  <x:si>
    <x:t xml:space="preserve">源表申报单重为0的保留0，并在匹配状态中标记。</x:t>
  </x:si>
  <x:si>
    <x:t xml:space="preserve">重新匹配结果</x:t>
  </x:si>
  <x:si>
    <x:t xml:space="preserve">核对表251条匹配；订单导出277条匹配，29条未匹配。</x:t>
  </x:si>
  <x:si>
    <x:t xml:space="preserve">统一重量单位</x:t>
  </x:si>
  <x:si>
    <x:t xml:space="preserve">kg和kgs均表示千克，lb和lbs均表示磅；保留换算精度，仅显示值取3位小数。</x:t>
  </x:si>
  <x:si>
    <x:t xml:space="preserve">申报重量待确认</x:t>
  </x:si>
  <x:si>
    <x:t xml:space="preserve">请确认订单导出中申报单重的单位，确认后才能统一换算为lb。</x:t>
  </x:si>
  <x:si>
    <x:t xml:space="preserve">排名</x:t>
  </x:si>
  <x:si>
    <x:t xml:space="preserve">追踪号</x:t>
  </x:si>
  <x:si>
    <x:t xml:space="preserve">预收USD</x:t>
  </x:si>
  <x:si>
    <x:t xml:space="preserve">实收USD</x:t>
  </x:si>
  <x:si>
    <x:t xml:space="preserve">差额USD</x:t>
  </x:si>
  <x:si>
    <x:t xml:space="preserve">运输费原价</x:t>
  </x:si>
  <x:si>
    <x:t xml:space="preserve">折扣（负数）</x:t>
  </x:si>
  <x:si>
    <x:t xml:space="preserve">重量或Oversize费</x:t>
  </x:si>
  <x:si>
    <x:t xml:space="preserve">燃油费</x:t>
  </x:si>
  <x:si>
    <x:t xml:space="preserve">承运净额</x:t>
  </x:si>
  <x:si>
    <x:t xml:space="preserve">明细对账差</x:t>
  </x:si>
  <x:si>
    <x:t xml:space="preserve">发货日期</x:t>
  </x:si>
  <x:si>
    <x:t xml:space="preserve">账单Zone</x:t>
  </x:si>
  <x:si>
    <x:t xml:space="preserve">预估重量lb</x:t>
  </x:si>
  <x:si>
    <x:t xml:space="preserve">实重lb</x:t>
  </x:si>
  <x:si>
    <x:t xml:space="preserve">计费重量lb</x:t>
  </x:si>
  <x:si>
    <x:t xml:space="preserve">体积重除数</x:t>
  </x:si>
  <x:si>
    <x:t xml:space="preserve">试算报价重量lb</x:t>
  </x:si>
  <x:si>
    <x:t xml:space="preserve">试算Zone</x:t>
  </x:si>
  <x:si>
    <x:t xml:space="preserve">标准运费原价</x:t>
  </x:si>
  <x:si>
    <x:t xml:space="preserve">假设折后运输费</x:t>
  </x:si>
  <x:si>
    <x:t xml:space="preserve">假设折后附加费</x:t>
  </x:si>
  <x:si>
    <x:t xml:space="preserve">假设燃油率</x:t>
  </x:si>
  <x:si>
    <x:t xml:space="preserve">假设燃油费</x:t>
  </x:si>
  <x:si>
    <x:t xml:space="preserve">试算预收USD</x:t>
  </x:si>
  <x:si>
    <x:t xml:space="preserve">试算减原预收</x:t>
  </x:si>
  <x:si>
    <x:t xml:space="preserve">发现及待核对事项</x:t>
  </x:si>
  <x:si>
    <x:t xml:space="preserve">核对表来源行号</x:t>
  </x:si>
  <x:si>
    <x:t xml:space="preserve">20260720</x:t>
  </x:si>
  <x:si>
    <x:t xml:space="preserve">实重116.4lb超过110lb，账单Oversize 160；预估101.41lb未超过110。</x:t>
  </x:si>
  <x:si>
    <x:t xml:space="preserve">20260710</x:t>
  </x:si>
  <x:si>
    <x:t xml:space="preserve">实重113.4lb超过110lb，账单Oversize 137.50；预估106.28lb未超过110。</x:t>
  </x:si>
  <x:si>
    <x:t xml:space="preserve">20260713</x:t>
  </x:si>
  <x:si>
    <x:t xml:space="preserve">7月13日：零售价、无折扣行、另加25%燃油；实重66.1对预估53lb。</x:t>
  </x:si>
  <x:si>
    <x:t xml:space="preserve">核对表无此追踪号，无法拆分；需补原始账单。</x:t>
  </x:si>
  <x:si>
    <x:t xml:space="preserve">7月13日：零售价、无折扣行、另加25%燃油；预估42.99lb低于50、实重71.3lb超过50。</x:t>
  </x:si>
  <x:si>
    <x:t xml:space="preserve">7月13日：零售价、无折扣行、另加25%燃油；实重62.4lb反而低于预估64lb，不能仅用增重解释。</x:t>
  </x:si>
  <x:si>
    <x:t xml:space="preserve">7月13日：零售价、无折扣行、另加25%燃油；预估56lb与实际72lb有重量差。</x:t>
  </x:si>
  <x:si>
    <x:t xml:space="preserve">7月13日：零售价、无折扣行、另加25%燃油；实重39.4lb与预估37.99lb接近，不能仅用增重解释。</x:t>
  </x:si>
  <x:si>
    <x:t xml:space="preserve">7月13日：零售价、无折扣行、另加25%燃油；账单Zone8，Zone5才能接近预收。分区尚未验证。</x:t>
  </x:si>
  <x:si>
    <x:t xml:space="preserve">预估44.09lb低于50，实际51.1lb触发重量附加；PA到NJ账单Zone8，预收按Zone2可还原。</x:t>
  </x:si>
  <x:si>
    <x:t xml:space="preserve">结论或说明</x:t>
  </x:si>
  <x:si>
    <x:t xml:space="preserve">排序与范围</x:t>
  </x:si>
  <x:si>
    <x:t xml:space="preserve">基础明细按差额降序排列，前10条差额合计1284.071美元；9条在核对表中找到，1条缺原始费用明细。</x:t>
  </x:si>
  <x:si>
    <x:t xml:space="preserve">共同问题一：7月13日</x:t>
  </x:si>
  <x:si>
    <x:t xml:space="preserve">前10条有6条发货日期20260713，均无Discount行、体积重除数139；6条运输费逐项对应2026 FedEx Retail Rates。</x:t>
  </x:si>
  <x:si>
    <x:t xml:space="preserve">燃油重复计入疑点</x:t>
  </x:si>
  <x:si>
    <x:t xml:space="preserve">FedEx Retail Rates Ground表注称已含燃油；6条明细仍在零售价与重量费之上另加25%燃油。须核验原始FedEx发票及合同，不能直接认定错收。</x:t>
  </x:si>
  <x:si>
    <x:t xml:space="preserve">六票疑点的量级</x:t>
  </x:si>
  <x:si>
    <x:t xml:space="preserve">若确认零售价已含燃油，单按零售价部分另计25%的金额合计140.8975美元（承运净额口径）；不是已确认退款。</x:t>
  </x:si>
  <x:si>
    <x:t xml:space="preserve">整张核对表的日期线索</x:t>
  </x:si>
  <x:si>
    <x:t xml:space="preserve">核对表共25条发货日期20260713，全部无Discount行且体积重除数139；其他日期主要有Discount行且除数166。应优先核对该批次账户/渠道/导出规则。</x:t>
  </x:si>
  <x:si>
    <x:t xml:space="preserve">共同问题二：110lb门槛</x:t>
  </x:si>
  <x:si>
    <x:t xml:space="preserve">差额最高两票预估均不超过110lb，实际116.4lb和113.4lb，Oversize费用160和137.50美元；美国国内2026年起实重超过110lb可触发Oversize。</x:t>
  </x:si>
  <x:si>
    <x:t xml:space="preserve">共同问题三：50lb门槛</x:t>
  </x:si>
  <x:si>
    <x:t xml:space="preserve">873651415340与874516692368预估低于50lb、实际超过50lb，可能报价未含重量附加；报价原始尺寸和实重申报需核对。</x:t>
  </x:si>
  <x:si>
    <x:t xml:space="preserve">分区异常待查</x:t>
  </x:si>
  <x:si>
    <x:t xml:space="preserve">873966246974和874516692368账单Zone8；按Zone5和Zone2试算更接近预收。仅为反推，未核验实际邮编分区或退件合同。</x:t>
  </x:si>
  <x:si>
    <x:t xml:space="preserve">预收试算口径</x:t>
  </x:si>
  <x:si>
    <x:t xml:space="preserve">按预估重量附近整数磅、标准运价、假设运输折扣39%、重量附加折扣50%、25%或25.25%燃油及既有内部收费规则试算。试算并非实际报价凭证。</x:t>
  </x:si>
  <x:si>
    <x:t xml:space="preserve">整数重量口径</x:t>
  </x:si>
  <x:si>
    <x:t xml:space="preserve">29.03kg换算64.0002lb按64lb试算；11.34kg换算25.0004lb按25lb试算，视为原始kg舍入导致。未将此规则改写入原始数据。</x:t>
  </x:si>
  <x:si>
    <x:t xml:space="preserve">可还原程度</x:t>
  </x:si>
  <x:si>
    <x:t xml:space="preserve">9条有明细记录的试算与原预收最大相差0.10美元；分区调整、折扣和舍入都属假设。872732293053无法试算。</x:t>
  </x:si>
  <x:si>
    <x:t xml:space="preserve">金额对账口径</x:t>
  </x:si>
  <x:si>
    <x:t xml:space="preserve">前10分析承运净额=运输费原价+负折扣+重量/Oversize费+燃油；实收沿用基础表。内部收费倍率不在结果表展示。</x:t>
  </x:si>
  <x:si>
    <x:t xml:space="preserve">需索取的证据</x:t>
  </x:si>
  <x:si>
    <x:t xml:space="preserve">7月13日批次的原始FedEx发票、账户折扣/费率协议、API报价回包、原始标签起讫邮编和重量尺寸、评级调整原因。</x:t>
  </x:si>
  <x:si>
    <x:t xml:space="preserve">来源：基础表</x:t>
  </x:si>
  <x:si>
    <x:t xml:space="preserve">盘库_核对表_重量统一lb.xlsx，本次读取版本；按行整条排序，原记录与手动修改保留。</x:t>
  </x:si>
  <x:si>
    <x:t xml:space="preserve">来源：核对明细</x:t>
  </x:si>
  <x:si>
    <x:t xml:space="preserve">bluetti 打单成本价_中文表头.xlsx，Data页；前10分析最后一列为来源行号。</x:t>
  </x:si>
  <x:si>
    <x:t xml:space="preserve">来源：官方标准运价</x:t>
  </x:si>
  <x:si>
    <x:t xml:space="preserve">https://images.fedex.com/content/dam/fedex/us-united-states/services/Service_Guide_2026.pdf；第117—119、127—128页；当前PDF为9月更新版，7月历史合同仍需核对。</x:t>
  </x:si>
  <x:si>
    <x:t xml:space="preserve">来源：官方零售运价</x:t>
  </x:si>
  <x:si>
    <x:t xml:space="preserve">https://www.fedex.com/content/dam/fedex/us-united-states/services/FedEx_Retail_Rates_2026.pdf；第70—71页，费率与燃油包含说明。</x:t>
  </x:si>
  <x:si>
    <x:t xml:space="preserve">原预付USD</x:t>
  </x:si>
  <x:si>
    <x:t xml:space="preserve">预付计算过程（反推）</x:t>
  </x:si>
  <x:si>
    <x:t xml:space="preserve">试算预付USD</x:t>
  </x:si>
  <x:si>
    <x:t xml:space="preserve">试算与原预付差USD</x:t>
  </x:si>
  <x:si>
    <x:t xml:space="preserve">实际费用计算（核对明细）</x:t>
  </x:si>
  <x:si>
    <x:t xml:space="preserve">承运净额USD</x:t>
  </x:si>
  <x:si>
    <x:t xml:space="preserve">账单实收USD</x:t>
  </x:si>
  <x:si>
    <x:t xml:space="preserve">差距原因及核验重点</x:t>
  </x:si>
  <x:si>
    <x:t xml:space="preserve">证据状态</x:t>
  </x:si>
  <x:si>
    <x:t xml:space="preserve">来源行号</x:t>
  </x:si>
  <x:si>
    <x:t xml:space="preserve">按102lb、Zone 5试算（非原始报价）：
标准运费90.25 × 61% ≈ 55.05
＋假设折后重量附加费28.13
＋燃油费（55.05＋28.13）× 25.25% ≈ 21.00
＝预估承运成本104.18
按既有收费规则折算→预付114.60</x:t>
  </x:si>
  <x:si>
    <x:t xml:space="preserve">运输费104.83 − 折扣40.88
＋Oversize费160.00
＋燃油费56.55
＝承运净额280.50
账单实收308.550（按既有收费规则）</x:t>
  </x:si>
  <x:si>
    <x:t xml:space="preserve">已证实：预估101.41lb→实重116.4lb，跨过110lb门槛，最终Oversize收费160.00。
反推：预付按102lb、Zone5及折扣重量附加费计算，可还原至相差0.01。主要疑点为报价重量偏低及Oversize未预估；是否错称重需复秤证据。</x:t>
  </x:si>
  <x:si>
    <x:t xml:space="preserve">实际明细已核对；预付为反推假设</x:t>
  </x:si>
  <x:si>
    <x:t xml:space="preserve">按107lb、Zone 4试算（非原始报价）：
标准运费88.19 × 61% ≈ 53.80
＋假设折后重量附加费25.13
＋燃油费（53.80＋25.13）× 25.00% ≈ 19.73
＝预估承运成本98.66
按既有收费规则折算→预付108.53</x:t>
  </x:si>
  <x:si>
    <x:t xml:space="preserve">运输费97.11 − 折扣37.87
＋Oversize费137.50
＋燃油费49.19
＝承运净额245.93
账单实收270.523（按既有收费规则）</x:t>
  </x:si>
  <x:si>
    <x:t xml:space="preserve">已证实：预估106.28lb→实重113.4lb，跨过110lb门槛，最终Oversize收费137.50。
反推：预付按107lb、Zone4及折扣重量附加费计算，相差0.02。重点查实际称重及110lb门槛。</x:t>
  </x:si>
  <x:si>
    <x:t xml:space="preserve">按53lb、Zone 6试算（非原始报价）：
标准运费67.96 × 61% ≈ 41.46
＋假设折后重量附加费28.13
＋燃油费（41.46＋28.13）× 25.00% ≈ 17.40
＝预估承运成本86.99
按既有收费规则折算→预付95.69</x:t>
  </x:si>
  <x:si>
    <x:t xml:space="preserve">运输费116.72
＋重量附加费56.25
＋燃油费43.24
＝承运净额216.21
账单实收237.831（按既有收费规则）</x:t>
  </x:si>
  <x:si>
    <x:t xml:space="preserve">已证实：7月13日，实重66.1lb高于预估53lb；明细无折扣行、除数139，运输费116.72吻合公开零售价。
待查：报价按标准折扣价，结算是否切至零售渠道；零售价已含燃油却另加燃油的可能性。</x:t>
  </x:si>
  <x:si>
    <x:t xml:space="preserve">缺少原始费用明细，暂无法试算</x:t>
  </x:si>
  <x:si>
    <x:t xml:space="preserve">缺少原始账单，无法拆分</x:t>
  </x:si>
  <x:si>
    <x:t xml:space="preserve">缺核对表原始明细。仅能核算实收171.512−预付31.24＝差额140.272；不能判断运输费、附加费、重量或分区原因。需补FedEx发票及报价记录。</x:t>
  </x:si>
  <x:si>
    <x:t xml:space="preserve">缺原始明细，原因未确认</x:t>
  </x:si>
  <x:si>
    <x:t xml:space="preserve">按43lb、Zone 2试算（非原始报价）：
标准运费27.93 × 61% ≈ 17.04
＋假设折后重量附加费0.00
＋燃油费（17.04＋0.00）× 25.00% ≈ 4.26
＝预估承运成本21.30
按既有收费规则折算→预付23.43</x:t>
  </x:si>
  <x:si>
    <x:t xml:space="preserve">运输费56.30
＋重量附加费46.00
＋燃油费25.58
＝承运净额127.88
账单实收140.668（按既有收费规则）</x:t>
  </x:si>
  <x:si>
    <x:t xml:space="preserve">已证实：预估42.99lb→实重71.3lb，跨过50lb门槛，新增重量附加费46.00；明细无折扣行。
待查：报价尺寸是否缺失或单位误填、实重差异及零售渠道/燃油计价。预付反推相差0.10。</x:t>
  </x:si>
  <x:si>
    <x:t xml:space="preserve">按64lb、Zone 5试算（非原始报价）：
标准运费59.65 × 61% ≈ 36.39
＋假设折后重量附加费28.13
＋燃油费（36.39＋28.13）× 25.00% ≈ 16.13
＝预估承运成本80.65
按既有收费规则折算→预付88.72</x:t>
  </x:si>
  <x:si>
    <x:t xml:space="preserve">运输费92.63
＋重量附加费56.25
＋燃油费37.22
＝承运净额186.10
账单实收204.710（按既有收费规则）</x:t>
  </x:si>
  <x:si>
    <x:t xml:space="preserve">已证实：实重62.4lb低于预估64lb，差额不能归因于增重。7月13日无折扣行，运输费92.63吻合零售价，并另收重量费56.25和燃油37.22。
优先查费率渠道、折扣及燃油是否重复计入。</x:t>
  </x:si>
  <x:si>
    <x:t xml:space="preserve">按56lb、Zone 4试算（非原始报价）：
标准运费44.24 × 61% ≈ 26.99
＋假设折后重量附加费25.13
＋燃油费（26.99＋25.13）× 25.00% ≈ 13.03
＝预估承运成本65.15
按既有收费规则折算→预付71.66</x:t>
  </x:si>
  <x:si>
    <x:t xml:space="preserve">运输费80.24
＋重量附加费50.25
＋燃油费32.62
＝承运净额163.11
账单实收179.421（按既有收费规则）</x:t>
  </x:si>
  <x:si>
    <x:t xml:space="preserve">已证实：预估56lb→计费72lb，存在重量差；7月13日无折扣行，运输费80.24吻合零售价，重量附加费50.25。
待查：实重调整、标准折扣价转零售价、燃油计价。</x:t>
  </x:si>
  <x:si>
    <x:t xml:space="preserve">按38lb、Zone 8试算（非原始报价）：
标准运费74.69 × 61% ≈ 45.56
＋假设折后重量附加费0.00
＋燃油费（45.56＋0.00）× 25.00% ≈ 11.39
＝预估承运成本56.95
按既有收费规则折算→预付62.65</x:t>
  </x:si>
  <x:si>
    <x:t xml:space="preserve">运输费122.85
＋重量附加费0.00
＋燃油费30.71
＝承运净额153.56
账单实收168.916（按既有收费规则）</x:t>
  </x:si>
  <x:si>
    <x:t xml:space="preserve">已证实：预估37.99lb→实重39.4lb，重量变化小、没有重量附加费；运输费122.85吻合40lb/Zone8零售价，另加燃油30.71。
预付按38lb/Zone8折扣标准价可精确还原，重点查费率渠道及燃油。</x:t>
  </x:si>
  <x:si>
    <x:t xml:space="preserve">按25lb、Zone 5试算（非原始报价）：
标准运费31.23 × 61% ≈ 19.05
＋假设折后重量附加费0.00
＋燃油费（19.05＋0.00）× 25.00% ≈ 4.76
＝预估承运成本23.81
按既有收费规则折算→预付26.19</x:t>
  </x:si>
  <x:si>
    <x:t xml:space="preserve">运输费94.85
＋重量附加费0.00
＋燃油费23.71
＝承运净额118.56
账单实收130.416（按既有收费规则）</x:t>
  </x:si>
  <x:si>
    <x:t xml:space="preserve">已证实：7月13日无折扣行，29lb/Zone8运输费94.85吻合零售价。
反推：25lb/Zone5可算至26.19，接近26.20；分区变更只是反推假设，不能据此认定账单Zone8错误。需查原始起讫邮编、报价渠道及燃油。</x:t>
  </x:si>
  <x:si>
    <x:t xml:space="preserve">按45lb、Zone 2试算（非原始报价）：
标准运费28.36 × 61% ≈ 17.30
＋假设折后重量附加费0.00
＋燃油费（17.30＋0.00）× 25.00% ≈ 4.33
＝预估承运成本21.63
按既有收费规则折算→预付23.79</x:t>
  </x:si>
  <x:si>
    <x:t xml:space="preserve">运输费92.35 − 折扣36.02
＋重量附加费29.37
＋燃油费21.64
＝承运净额107.34
账单实收118.074（按既有收费规则）</x:t>
  </x:si>
  <x:si>
    <x:t xml:space="preserve">已证实：预估44.09lb→实重51.1lb，跨过50lb门槛，重量附加费29.37；账单Zone8。
反推：45lb/Zone2可精确还原预付23.79，分区需查原始邮编与退件协议；实重跨门槛也是费用因素。</x:t>
  </x:si>
  <x:si>
    <x:t xml:space="preserve">前10差额合计</x:t>
  </x:si>
  <x:si>
    <x:t xml:space="preserve">预付试算用于解释接近原金额的路径，不能代替原始报价；内部收费倍率不展示。</x:t>
  </x:si>
  <x:si>
    <x:t xml:space="preserve">原表实收金额保留完整精度，显示2位小数；差额按未舍入数值计算。</x:t>
  </x:si>
  <x:si>
    <x:t xml:space="preserve">附加费合计</x:t>
  </x:si>
  <x:si>
    <x:t xml:space="preserve">账单反推燃油率</x:t>
  </x:si>
  <x:si>
    <x:t xml:space="preserve">吻合公开零售价</x:t>
  </x:si>
  <x:si>
    <x:t xml:space="preserve">按账单Zone试算预付</x:t>
  </x:si>
  <x:si>
    <x:t xml:space="preserve">反推假设：102lb、Zone5（账单Zone5）。
标准运费90.25×61%≈55.05
＋假设折后附加费28.13
＋燃油(55.05＋28.13)×25.25%≈21.00
＝预估承运成本104.18
按既有收费规则折算→预付114.60；与原预付差+0.01。</x:t>
  </x:si>
  <x:si>
    <x:t xml:space="preserve">运输费104.83
−折扣40.88
＋Oversize Charge 160.00
＋燃油56.55
＝承运净额280.50
账单实收308.550（按既有收费规则）</x:t>
  </x:si>
  <x:si>
    <x:t xml:space="preserve">预估未超过110lb、实际超过110lb，触发Oversize。
实际比预估重14.99lb，需核对称重与申报。</x:t>
  </x:si>
  <x:si>
    <x:t xml:space="preserve">账单已对账；预付试算接近（差≤0.15）</x:t>
  </x:si>
  <x:si>
    <x:t xml:space="preserve">反推假设：107lb、Zone4（账单Zone4）。
标准运费88.19×61%≈53.80
＋假设折后附加费25.13
＋燃油(53.80＋25.13)×25.00%≈19.73
＝预估承运成本98.66
按既有收费规则折算→预付108.53；与原预付差+0.02。</x:t>
  </x:si>
  <x:si>
    <x:t xml:space="preserve">运输费97.11
−折扣37.87
＋Oversize Charge 137.50
＋燃油49.19
＝承运净额245.93
账单实收270.523（按既有收费规则）</x:t>
  </x:si>
  <x:si>
    <x:t xml:space="preserve">预估未超过110lb、实际超过110lb，触发Oversize。
实际比预估重7.12lb，需核对称重与申报。</x:t>
  </x:si>
  <x:si>
    <x:t xml:space="preserve">反推假设：53lb、Zone6（账单Zone6）。
标准运费67.96×61%≈41.46
＋假设折后附加费28.13
＋燃油(41.46＋28.13)×25.00%≈17.40
＝预估承运成本86.99
按既有收费规则折算→预付95.69；与原预付差+0.00。</x:t>
  </x:si>
  <x:si>
    <x:t xml:space="preserve">运输费116.72
＋Add'l Handling-Weight 56.25
＋燃油43.24
＝承运净额216.21
账单实收237.831（按既有收费规则）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</x:si>
  <x:si>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实际比预估重13.10lb，需核对称重与申报。</x:t>
  </x:si>
  <x:si>
    <x:t xml:space="preserve">缺核对明细，无法重建预付；原预付仅按基础表保留。</x:t>
  </x:si>
  <x:si>
    <x:t xml:space="preserve">缺原始核对明细，无法拆分。</x:t>
  </x:si>
  <x:si>
    <x:t xml:space="preserve">核对表无唯一匹配费用明细，无法确认差距原因；需补原始FedEx账单。</x:t>
  </x:si>
  <x:si>
    <x:t xml:space="preserve">缺核对明细，原因未确认</x:t>
  </x:si>
  <x:si>
    <x:t xml:space="preserve">反推假设：43lb、Zone2（账单Zone2）。
标准运费27.93×61%≈17.04
＋假设折后附加费0.00
＋燃油(17.04＋0.00)×25.00%≈4.26
＝预估承运成本21.30
按既有收费规则折算→预付23.43；与原预付差-0.10。</x:t>
  </x:si>
  <x:si>
    <x:t xml:space="preserve">运输费56.30
＋Add'l Handling-Weight 46.00
＋燃油25.58
＝承运净额127.88
账单实收140.668（按既有收费规则）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</x:si>
  <x:si>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预估未超过50lb、实际超过50lb，触发重量附加费。
实际比预估重28.31lb，需核对称重与申报。</x:t>
  </x:si>
  <x:si>
    <x:t xml:space="preserve">反推假设：64lb、Zone5（账单Zone5）。
标准运费59.65×61%≈36.39
＋假设折后附加费28.13
＋燃油(36.39＋28.13)×25.00%≈16.13
＝预估承运成本80.65
按既有收费规则折算→预付88.72；与原预付差+0.02。</x:t>
  </x:si>
  <x:si>
    <x:t xml:space="preserve">运输费92.63
＋Add'l Handling-Weight 56.25
＋燃油37.22
＝承运净额186.10
账单实收204.710（按既有收费规则）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</x:si>
  <x:si>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实际重量不高于预估，不能用增重解释差额。</x:t>
  </x:si>
  <x:si>
    <x:t xml:space="preserve">反推假设：56lb、Zone4（账单Zone4）。
标准运费44.24×61%≈26.99
＋假设折后附加费25.13
＋燃油(26.99＋25.13)×25.00%≈13.03
＝预估承运成本65.15
按既有收费规则折算→预付71.66；与原预付差+0.01。</x:t>
  </x:si>
  <x:si>
    <x:t xml:space="preserve">运输费80.24
＋Add'l Handling-Weight 50.25
＋燃油32.62
＝承运净额163.11
账单实收179.421（按既有收费规则）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</x:si>
  <x:si>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实际比预估重15.70lb，需核对称重与申报。</x:t>
  </x:si>
  <x:si>
    <x:t xml:space="preserve">反推假设：38lb、Zone8（账单Zone8）。
标准运费74.69×61%≈45.56
＋假设折后附加费0.00
＋燃油(45.56＋0.00)×25.00%≈11.39
＝预估承运成本56.95
按既有收费规则折算→预付62.65；与原预付差+0.00。</x:t>
  </x:si>
  <x:si>
    <x:t xml:space="preserve">运输费122.85
＋燃油30.71
＝承运净额153.56
账单实收168.916（按既有收费规则）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</x:si>
  <x:si>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</x:t>
  </x:si>
  <x:si>
    <x:t xml:space="preserve">反推假设：25lb、Zone5（账单Zone8）。
标准运费31.23×61%≈19.05
＋假设折后附加费0.00
＋燃油(19.05＋0.00)×25.00%≈4.76
＝预估承运成本23.81
按既有收费规则折算→预付26.19；与原预付差-0.01。</x:t>
  </x:si>
  <x:si>
    <x:t xml:space="preserve">运输费94.85
＋燃油23.71
＝承运净额118.56
账单实收130.416（按既有收费规则）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</x:si>
  <x:si>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预付反推Zone5，最终Zone8；不代表分区错误，需查原邮编与合同。</x:t>
  </x:si>
  <x:si>
    <x:t xml:space="preserve">反推假设：45lb、Zone2（账单Zone8）。
标准运费28.36×61%≈17.30
＋假设折后附加费0.00
＋燃油(17.30＋0.00)×25.25%≈4.37
＝预估承运成本21.67
按既有收费规则折算→预付23.84；与原预付差+0.05。</x:t>
  </x:si>
  <x:si>
    <x:t xml:space="preserve">运输费92.35
−折扣36.02
＋Add'l Handling-Weight 29.37
＋燃油21.64
＝承运净额107.34
账单实收118.074（按既有收费规则）</x:t>
  </x:si>
  <x:si>
    <x:t xml:space="preserve">预估未超过50lb、实际超过50lb，触发重量附加费。
实际比预估重7.01lb，需核对称重与申报。
预付反推Zone2，最终Zone8；不代表分区错误，需查原邮编与合同。</x:t>
  </x:si>
  <x:si>
    <x:t xml:space="preserve">反推假设：45lb、Zone2（账单Zone8）。
标准运费28.36×61%≈17.30
＋假设折后附加费0.00
＋燃油(17.30＋0.00)×25.25%≈4.37
＝预估承运成本21.67
按既有收费规则折算→预付23.84；与原预付差+0.00。</x:t>
  </x:si>
  <x:si>
    <x:t xml:space="preserve">20260701</x:t>
  </x:si>
  <x:si>
    <x:t xml:space="preserve">反推假设：38lb、Zone5（账单Zone5）。
标准运费43.44×61%≈26.50
＋假设折后附加费0.00
＋燃油(26.50＋0.00)×25.25%≈6.69
＝预估承运成本33.19
按既有收费规则折算→预付36.51；与原预付差+0.07。</x:t>
  </x:si>
  <x:si>
    <x:t xml:space="preserve">运输费85.41
−折扣33.31
＋Add'l Handling-Weight 28.12
＋燃油20.26
＝承运净额100.48
账单实收110.528（按既有收费规则）</x:t>
  </x:si>
  <x:si>
    <x:t xml:space="preserve">预估未超过50lb、实际超过50lb，触发重量附加费。
实际比预估重57.51lb，需核对称重与申报。</x:t>
  </x:si>
  <x:si>
    <x:t xml:space="preserve">20260722</x:t>
  </x:si>
  <x:si>
    <x:t xml:space="preserve">反推假设：61lb、Zone2（账单Zone2）。
标准运费30.80×61%≈18.79
＋假设折后附加费23.00
＋燃油(18.79＋23.00)×25.00%≈10.45
＝预估承运成本52.24
按既有收费规则折算→预付57.46；与原预付差-0.01。</x:t>
  </x:si>
  <x:si>
    <x:t xml:space="preserve">运输费47.44
＋Add'l Handling-Weight 46.00
＋燃油23.36
＝承运净额116.80
账单实收128.480（按既有收费规则）</x:t>
  </x:si>
  <x:si>
    <x:t xml:space="preserve">反推假设：64lb、Zone2（账单Zone8）。
标准运费32.93×61%≈20.09
＋假设折后附加费23.00
＋燃油(20.09＋23.00)×25.25%≈10.88
＝预估承运成本53.97
按既有收费规则折算→预付59.37；与原预付差+0.00。</x:t>
  </x:si>
  <x:si>
    <x:t xml:space="preserve">运输费95.40
−折扣37.21
＋Add'l Handling-Weight 29.37
＋燃油22.11
＝承运净额109.67
账单实收120.637（按既有收费规则）</x:t>
  </x:si>
  <x:si>
    <x:t xml:space="preserve">实际重量不高于预估，不能用增重解释差额。
预付反推Zone2，最终Zone8；不代表分区错误，需查原邮编与合同。</x:t>
  </x:si>
  <x:si>
    <x:t xml:space="preserve">反推假设：29lb、Zone6（账单Zone6）。
标准运费44.68×61%≈27.25
＋假设折后附加费0.00
＋燃油(27.25＋0.00)×25.00%≈6.81
＝预估承运成本34.06
按既有收费规则折算→预付37.47；与原预付差+0.00。</x:t>
  </x:si>
  <x:si>
    <x:t xml:space="preserve">运输费67.73
＋燃油16.93
＝承运净额84.66
账单实收93.126（按既有收费规则）</x:t>
  </x:si>
  <x:si>
    <x:t xml:space="preserve">反推假设：23lb、Zone3（账单Zone3）。
标准运费23.07×61%≈14.07
＋假设折后附加费0.00
＋燃油(14.07＋0.00)×26.00%≈3.66
＝预估承运成本17.73
按既有收费规则折算→预付19.50；与原预付差-0.01。</x:t>
  </x:si>
  <x:si>
    <x:t xml:space="preserve">运输费42.82
−折扣16.70
＋Add'l Handling-Weight 25.12
＋燃油13.32
＝承运净额64.56
账单实收71.016（按既有收费规则）</x:t>
  </x:si>
  <x:si>
    <x:t xml:space="preserve">预估未超过50lb、实际超过50lb，触发重量附加费。
实际比预估重42.71lb，需核对称重与申报。</x:t>
  </x:si>
  <x:si>
    <x:t xml:space="preserve">20260616</x:t>
  </x:si>
  <x:si>
    <x:t xml:space="preserve">反推假设：43lb、Zone7（账单Zone7）。
标准运费71.87×61%≈43.84
＋假设折后附加费0.00
＋燃油(43.84＋0.00)×25.50%≈11.18
＝预估承运成本55.02
按既有收费规则折算→预付60.52；与原预付差+0.00。</x:t>
  </x:si>
  <x:si>
    <x:t xml:space="preserve">运输费84.61
−折扣33.00
＋Add'l Handling-Weight 29.37
＋燃油20.65
＝承运净额101.63
账单实收111.793（按既有收费规则）</x:t>
  </x:si>
  <x:si>
    <x:t xml:space="preserve">预估未超过50lb、实际超过50lb，触发重量附加费。
实际比预估重20.11lb，需核对称重与申报。</x:t>
  </x:si>
  <x:si>
    <x:t xml:space="preserve">20260625</x:t>
  </x:si>
  <x:si>
    <x:t xml:space="preserve">反推假设：89lb、Zone3（账单Zone8）。
标准运费63.49×61%≈38.73
＋假设折后附加费25.13
＋燃油(38.73＋25.13)×25.25%≈16.12
＝预估承运成本79.98
按既有收费规则折算→预付87.98；与原预付差+0.02。</x:t>
  </x:si>
  <x:si>
    <x:t xml:space="preserve">运输费117.21
−折扣45.71
＋Add'l Handling-Weight 29.37
＋燃油25.47
＝承运净额126.34
账单实收138.974（按既有收费规则）</x:t>
  </x:si>
  <x:si>
    <x:t xml:space="preserve">预付反推Zone3，最终Zone8；不代表分区错误，需查原邮编与合同。</x:t>
  </x:si>
  <x:si>
    <x:t xml:space="preserve">20260702</x:t>
  </x:si>
  <x:si>
    <x:t xml:space="preserve">反推假设：25lb、Zone5（账单Zone5）。
标准运费31.23×61%≈19.05
＋假设折后附加费0.00
＋燃油(19.05＋0.00)×25.00%≈4.76
＝预估承运成本23.81
按既有收费规则折算→预付26.19；与原预付差-0.01。</x:t>
  </x:si>
  <x:si>
    <x:t xml:space="preserve">运输费55.80
＋燃油13.95
＝承运净额69.75
账单实收76.725（按既有收费规则）</x:t>
  </x:si>
  <x:si>
    <x:t xml:space="preserve">反推假设：18lb、Zone6（账单Zone5）。
标准运费30.05×61%≈18.33
＋假设折后附加费0.00
＋燃油(18.33＋0.00)×25.00%≈4.58
＝预估承运成本22.91
按既有收费规则折算→预付25.20；与原预付差+1.59。</x:t>
  </x:si>
  <x:si>
    <x:t xml:space="preserve">运输费52.88
＋燃油13.22
＝承运净额66.10
账单实收72.710（按既有收费规则）</x:t>
  </x:si>
  <x:si>
    <x:t xml:space="preserve">7月13日批次：无折扣行、体积重除数139，需查账户/渠道及折扣。
运输费吻合公开零售价；该价表注明已含燃油，另列燃油是否重复计入需原发票核验。
实际比预估重9.21lb，需核对称重与申报。
预付反推Zone6，最终Zone5；不代表分区错误，需查原邮编与合同。
试算偏差较大：缺原始报价/折扣/尺寸，不能强行归因。</x:t>
  </x:si>
  <x:si>
    <x:t xml:space="preserve">账单已对账；现有假设未还原预付</x:t>
  </x:si>
  <x:si>
    <x:t xml:space="preserve">反推假设：28lb、Zone5（账单Zone5）。
标准运费34.65×61%≈21.14
＋假设折后附加费0.00
＋燃油(21.14＋0.00)×25.00%≈5.29
＝预估承运成本26.43
按既有收费规则折算→预付29.07；与原预付差-0.05。</x:t>
  </x:si>
  <x:si>
    <x:t xml:space="preserve">反推假设：43lb、Zone5（账单Zone5）。
标准运费48.91×61%≈29.84
＋假设折后附加费0.00
＋燃油(29.84＋0.00)×25.25%≈7.53
＝预估承运成本37.37
按既有收费规则折算→预付41.11；与原预付差-0.25。</x:t>
  </x:si>
  <x:si>
    <x:t xml:space="preserve">运输费59.64
−折扣23.26
＋Add'l Handling-Weight 28.12
＋燃油16.29
＝承运净额80.79
账单实收88.869（按既有收费规则）</x:t>
  </x:si>
  <x:si>
    <x:t xml:space="preserve">预估未超过50lb、实际超过50lb，触发重量附加费。
实际比预估重19.61lb，需核对称重与申报。
试算偏差较大：缺原始报价/折扣/尺寸，不能强行归因。</x:t>
  </x:si>
  <x:si>
    <x:t xml:space="preserve">反推假设：7lb、Zone8（账单Zone7）。
标准运费22.51×61%≈13.73
＋假设折后附加费0.00
＋燃油(13.73＋0.00)×26.00%≈3.57
＝预估承运成本17.30
按既有收费规则折算→预付19.03；与原预付差-12.72。</x:t>
  </x:si>
  <x:si>
    <x:t xml:space="preserve">运输费29.04
−折扣7.84
＋Address Correction 25.50
＋Residential Delivery 3.22
＋燃油12.98
＝承运净额62.90
账单实收75.480（按既有收费规则）</x:t>
  </x:si>
  <x:si>
    <x:t xml:space="preserve">实际比预估重5.51lb，需核对称重与申报。
预付反推Zone8，最终Zone7；不代表分区错误，需查原邮编与合同。
试算偏差较大：缺原始报价/折扣/尺寸，不能强行归因。</x:t>
  </x:si>
  <x:si>
    <x:t xml:space="preserve">反推假设：25lb、Zone5（账单Zone5）。
标准运费31.23×61%≈19.05
＋假设折后附加费0.00
＋燃油(19.05＋0.00)×25.00%≈4.76
＝预估承运成本23.81
按既有收费规则折算→预付26.19；与原预付差-0.06。</x:t>
  </x:si>
  <x:si>
    <x:t xml:space="preserve">运输费49.58
＋燃油12.40
＝承运净额61.98
账单实收68.178（按既有收费规则）</x:t>
  </x:si>
  <x:si>
    <x:t xml:space="preserve">反推假设：45lb、Zone5（账单Zone5）。
标准运费49.80×61%≈30.38
＋假设折后附加费0.00
＋燃油(30.38＋0.00)×25.25%≈7.67
＝预估承运成本38.05
按既有收费规则折算→预付41.86；与原预付差+0.00。</x:t>
  </x:si>
  <x:si>
    <x:t xml:space="preserve">运输费53.51
−折扣20.87
＋Add'l Handling-Weight 28.12
＋燃油15.34
＝承运净额76.10
账单实收83.710（按既有收费规则）</x:t>
  </x:si>
  <x:si>
    <x:t xml:space="preserve">预估未超过50lb、实际超过50lb，触发重量附加费。
实际比预估重6.71lb，需核对称重与申报。</x:t>
  </x:si>
  <x:si>
    <x:t xml:space="preserve">20260703</x:t>
  </x:si>
  <x:si>
    <x:t xml:space="preserve">反推假设：43lb、Zone4（账单Zone4）。
标准运费40.13×61%≈24.48
＋假设折后附加费0.00
＋燃油(24.48＋0.00)×25.00%≈6.12
＝预估承运成本30.60
按既有收费规则折算→预付33.66；与原预付差+0.00。</x:t>
  </x:si>
  <x:si>
    <x:t xml:space="preserve">运输费47.77
−折扣18.63
＋Add'l Handling-Weight 25.12
＋燃油13.57
＝承运净额67.83
账单实收74.613（按既有收费规则）</x:t>
  </x:si>
  <x:si>
    <x:t xml:space="preserve">预估未超过50lb、实际超过50lb，触发重量附加费。
实际比预估重22.41lb，需核对称重与申报。</x:t>
  </x:si>
  <x:si>
    <x:t xml:space="preserve">20260709</x:t>
  </x:si>
  <x:si>
    <x:t xml:space="preserve">反推假设：49lb、Zone5（账单Zone5）。
标准运费52.96×61%≈32.31
＋假设折后附加费0.00
＋燃油(32.31＋0.00)×25.50%≈8.24
＝预估承运成本40.55
按既有收费规则折算→预付44.61；与原预付差+0.01。</x:t>
  </x:si>
  <x:si>
    <x:t xml:space="preserve">运输费54.07
−折扣21.09
＋Add'l Handling-Weight 28.12
＋燃油15.58
＝承运净额76.68
账单实收84.348（按既有收费规则）</x:t>
  </x:si>
  <x:si>
    <x:t xml:space="preserve">预估未超过50lb、实际超过50lb，触发重量附加费。</x:t>
  </x:si>
  <x:si>
    <x:t xml:space="preserve">20260624</x:t>
  </x:si>
  <x:si>
    <x:t xml:space="preserve">反推假设：48lb、Zone5（账单Zone5）。
标准运费52.95×61%≈32.30
＋假设折后附加费0.00
＋燃油(32.30＋0.00)×25.00%≈8.08
＝预估承运成本40.38
按既有收费规则折算→预付44.42；与原预付差+0.00。</x:t>
  </x:si>
  <x:si>
    <x:t xml:space="preserve">运输费54.19
−折扣21.13
＋Add'l Handling-Weight 28.12
＋燃油15.30
＝承运净额76.48
账单实收84.128（按既有收费规则）</x:t>
  </x:si>
  <x:si>
    <x:t xml:space="preserve">预估未超过50lb、实际超过50lb，触发重量附加费。
实际比预估重7.68lb，需核对称重与申报。</x:t>
  </x:si>
  <x:si>
    <x:t xml:space="preserve">20260717</x:t>
  </x:si>
  <x:si>
    <x:t xml:space="preserve">反推假设：43lb、Zone2（账单Zone2）。
标准运费27.93×61%≈17.04
＋假设折后附加费0.00
＋燃油(17.04＋0.00)×25.25%≈4.30
＝预估承运成本21.34
按既有收费规则折算→预付23.47；与原预付差+0.00。</x:t>
  </x:si>
  <x:si>
    <x:t xml:space="preserve">运输费36.91
−折扣14.39
＋Add'l Handling-Weight 23.00
＋燃油11.49
＝承运净额57.01
账单实收62.711（按既有收费规则）</x:t>
  </x:si>
  <x:si>
    <x:t xml:space="preserve">预估未超过50lb、实际超过50lb，触发重量附加费。
实际比预估重30.71lb，需核对称重与申报。</x:t>
  </x:si>
  <x:si>
    <x:t xml:space="preserve">20260724</x:t>
  </x:si>
  <x:si>
    <x:t xml:space="preserve">反推假设：45lb、Zone4（账单Zone4）。
标准运费41.18×61%≈25.12
＋假设折后附加费0.00
＋燃油(25.12＋0.00)×25.25%≈6.34
＝预估承运成本31.46
按既有收费规则折算→预付34.61；与原预付差+0.01。</x:t>
  </x:si>
  <x:si>
    <x:t xml:space="preserve">运输费44.12
−折扣17.21
＋Add'l Handling-Weight 25.12
＋燃油13.14
＝承运净额65.17
账单实收71.687（按既有收费规则）</x:t>
  </x:si>
  <x:si>
    <x:t xml:space="preserve">反推假设：48lb、Zone3（账单Zone3）。
标准运费36.42×61%≈22.22
＋假设折后附加费0.00
＋燃油(22.22＋0.00)×25.75%≈5.72
＝预估承运成本27.94
按既有收费规则折算→预付30.73；与原预付差+0.12。</x:t>
  </x:si>
  <x:si>
    <x:t xml:space="preserve">运输费38.43
−折扣14.99
＋Add'l Handling-Weight 25.12
＋燃油12.50
＝承运净额61.06
账单实收67.166（按既有收费规则）</x:t>
  </x:si>
  <x:si>
    <x:t xml:space="preserve">预估未超过50lb、实际超过50lb，触发重量附加费。
实际比预估重11.11lb，需核对称重与申报。</x:t>
  </x:si>
  <x:si>
    <x:t xml:space="preserve">20260727</x:t>
  </x:si>
  <x:si>
    <x:t xml:space="preserve">反推假设：48lb、Zone4（账单Zone4）。
标准运费43.67×61%≈26.64
＋假设折后附加费0.00
＋燃油(26.64＋0.00)×25.00%≈6.66
＝预估承运成本33.30
按既有收费规则折算→预付36.63；与原预付差+0.00。</x:t>
  </x:si>
  <x:si>
    <x:t xml:space="preserve">运输费44.12
−折扣17.21
＋Add'l Handling-Weight 25.12
＋燃油13.01
＝承运净额65.04
账单实收71.544（按既有收费规则）</x:t>
  </x:si>
  <x:si>
    <x:t xml:space="preserve">20260708</x:t>
  </x:si>
  <x:si>
    <x:t xml:space="preserve">反推假设：45lb、Zone4（账单Zone4）。
标准运费41.18×61%≈25.12
＋假设折后附加费0.00
＋燃油(25.12＋0.00)×26.00%≈6.53
＝预估承运成本31.65
按既有收费规则折算→预付34.82；与原预付差-2.87。</x:t>
  </x:si>
  <x:si>
    <x:t xml:space="preserve">运输费44.14
−折扣17.21
＋Add'l Handling-Weight 25.12
＋燃油13.53
＝承运净额65.58
账单实收72.138（按既有收费规则）</x:t>
  </x:si>
  <x:si>
    <x:t xml:space="preserve">预估未超过50lb、实际超过50lb，触发重量附加费。
实际比预估重7.01lb，需核对称重与申报。
试算偏差较大：缺原始报价/折扣/尺寸，不能强行归因。</x:t>
  </x:si>
  <x:si>
    <x:t xml:space="preserve">20260619</x:t>
  </x:si>
  <x:si>
    <x:t xml:space="preserve">反推假设：26lb、Zone4（账单Zone4）。
标准运费26.91×61%≈16.42
＋假设折后附加费0.00
＋燃油(16.42＋0.00)×25.00%≈4.11
＝预估承运成本20.53
按既有收费规则折算→预付22.58；与原预付差+0.00。</x:t>
  </x:si>
  <x:si>
    <x:t xml:space="preserve">运输费40.26
＋燃油10.07
＝承运净额50.33
账单实收55.363（按既有收费规则）</x:t>
  </x:si>
  <x:si>
    <x:t xml:space="preserve">反推假设：45lb、Zone2（账单Zone2）。
标准运费28.36×61%≈17.30
＋假设折后附加费0.00
＋燃油(17.30＋0.00)×25.00%≈4.33
＝预估承运成本21.63
按既有收费规则折算→预付23.79；与原预付差-0.09。</x:t>
  </x:si>
  <x:si>
    <x:t xml:space="preserve">运输费29.35
−折扣11.45
＋Add'l Handling-Weight 23.00
＋燃油10.23
＝承运净额51.13
账单实收56.243（按既有收费规则）</x:t>
  </x:si>
  <x:si>
    <x:t xml:space="preserve">预估未超过50lb、实际超过50lb，触发重量附加费。
实际比预估重7.21lb，需核对称重与申报。</x:t>
  </x:si>
  <x:si>
    <x:t xml:space="preserve">20260706</x:t>
  </x:si>
  <x:si>
    <x:t xml:space="preserve">反推假设：60lb、Zone4（账单Zone4）。
标准运费45.35×61%≈27.66
＋假设折后附加费25.13
＋燃油(27.66＋25.13)×26.00%≈13.73
＝预估承运成本66.52
按既有收费规则折算→预付73.17；与原预付差+0.02。</x:t>
  </x:si>
  <x:si>
    <x:t xml:space="preserve">运输费82.48
−折扣32.17
＋Add'l Handling-Weight 25.12
＋燃油19.61
＝承运净额95.04
账单实收104.544（按既有收费规则）</x:t>
  </x:si>
  <x:si>
    <x:t xml:space="preserve">实际比预估重39.91lb，需核对称重与申报。</x:t>
  </x:si>
  <x:si>
    <x:t xml:space="preserve">反推假设：27lb、Zone4（账单Zone4）。
标准运费27.45×61%≈16.74
＋假设折后附加费0.00
＋燃油(16.74＋0.00)×25.00%≈4.19
＝预估承运成本20.93
按既有收费规则折算→预付23.02；与原预付差+0.00。</x:t>
  </x:si>
  <x:si>
    <x:t xml:space="preserve">运输费39.22
＋燃油9.81
＝承运净额49.03
账单实收53.933（按既有收费规则）</x:t>
  </x:si>
  <x:si>
    <x:t xml:space="preserve">反推假设：25lb、Zone4（账单Zone4）。
标准运费25.83×61%≈15.76
＋假设折后附加费0.00
＋燃油(15.76＋0.00)×25.00%≈3.94
＝预估承运成本19.70
按既有收费规则折算→预付21.67；与原预付差+0.00。</x:t>
  </x:si>
  <x:si>
    <x:t xml:space="preserve">运输费37.25
＋燃油9.31
＝承运净额46.56
账单实收51.216（按既有收费规则）</x:t>
  </x:si>
  <x:si>
    <x:t xml:space="preserve">反推假设：66lb、Zone7（账单Zone5）。
标准运费85.08×61%≈51.90
＋假设折后附加费29.38
＋燃油(51.90＋29.38)×26.00%≈21.13
＝预估承运成本102.41
按既有收费规则折算→预付112.65；与原预付差-1.08。</x:t>
  </x:si>
  <x:si>
    <x:t xml:space="preserve">运输费87.80
−折扣28.10
＋Add'l Handling-Weight 28.12
＋Residential Delivery 3.22
＋DAS Residential 3.30
＋燃油24.53
＝承运净额118.87
账单实收142.644（按既有收费规则）</x:t>
  </x:si>
  <x:si>
    <x:t xml:space="preserve">实际比预估重31.72lb，需核对称重与申报。
预付反推Zone7，最终Zone5；不代表分区错误，需查原邮编与合同。
试算偏差较大：缺原始报价/折扣/尺寸，不能强行归因。</x:t>
  </x:si>
  <x:si>
    <x:t xml:space="preserve">反推假设：28lb、Zone3（账单Zone3）。
标准运费26.12×61%≈15.93
＋假设折后附加费0.00
＋燃油(15.93＋0.00)×25.00%≈3.98
＝预估承运成本19.91
按既有收费规则折算→预付21.90；与原预付差+0.00。</x:t>
  </x:si>
  <x:si>
    <x:t xml:space="preserve">运输费35.75
＋燃油8.94
＝承运净额44.69
账单实收49.159（按既有收费规则）</x:t>
  </x:si>
  <x:si>
    <x:t xml:space="preserve">反推假设：41lb、Zone6（账单Zone5）。
标准运费58.42×61%≈35.64
＋假设折后附加费0.00
＋燃油(35.64＋0.00)×25.25%≈9.00
＝预估承运成本44.64
按既有收费规则折算→预付49.10；与原预付差-3.46。</x:t>
  </x:si>
  <x:si>
    <x:t xml:space="preserve">运输费46.39
−折扣14.84
＋Residential Delivery 3.22
＋DAS Residential 3.30
＋Add'l Handling-Dimension 19.25
＋燃油14.47
＝承运净额71.79
账单实收78.969（按既有收费规则）</x:t>
  </x:si>
  <x:si>
    <x:t xml:space="preserve">预付反推Zone6，最终Zone5；不代表分区错误，需查原邮编与合同。
试算偏差较大：缺原始报价/折扣/尺寸，不能强行归因。</x:t>
  </x:si>
  <x:si>
    <x:t xml:space="preserve">前50差额合计</x:t>
  </x:si>
  <x:si>
    <x:t xml:space="preserve">核验项目</x:t>
  </x:si>
  <x:si>
    <x:t xml:space="preserve">结果</x:t>
  </x:si>
  <x:si>
    <x:t xml:space="preserve">前50差额合计USD</x:t>
  </x:si>
  <x:si>
    <x:t xml:space="preserve">按基础表未舍入差额降序；显示2位小数。</x:t>
  </x:si>
  <x:si>
    <x:t xml:space="preserve">找到核对明细</x:t>
  </x:si>
  <x:si>
    <x:t xml:space="preserve">运输费、负折扣、其他附加费、燃油合计与承运净额逐票核对。</x:t>
  </x:si>
  <x:si>
    <x:t xml:space="preserve">缺核对明细</x:t>
  </x:si>
  <x:si>
    <x:t xml:space="preserve">仅保留原预付和实收；不推造费用和原因。</x:t>
  </x:si>
  <x:si>
    <x:t xml:space="preserve">预付试算接近（差≤0.15美元）</x:t>
  </x:si>
  <x:si>
    <x:t xml:space="preserve">共40票有试算；接近不等于证明实际报价规则。</x:t>
  </x:si>
  <x:si>
    <x:t xml:space="preserve">现有假设未还原预付</x:t>
  </x:si>
  <x:si>
    <x:t xml:space="preserve">需原始报价回包、尺寸及折扣条件；逐票列出偏差。</x:t>
  </x:si>
  <x:si>
    <x:t xml:space="preserve">7月13日无折扣、除数139批次</x:t>
  </x:si>
  <x:si>
    <x:t xml:space="preserve">16票基础运输费吻合官方零售价；优先查渠道或费率账户。</x:t>
  </x:si>
  <x:si>
    <x:t xml:space="preserve">吻合官方公开零售价</x:t>
  </x:si>
  <x:si>
    <x:t xml:space="preserve">按最终计费重量和账单Zone核对；零售价含燃油，明细另列燃油存在重复计入疑点，非已确认错收。</x:t>
  </x:si>
  <x:si>
    <x:t xml:space="preserve">预估≤50lb、实际&gt;50lb且有重量费</x:t>
  </x:si>
  <x:si>
    <x:t xml:space="preserve">重量门槛因素；不等于全部差额均由重量造成。</x:t>
  </x:si>
  <x:si>
    <x:t xml:space="preserve">预估≤110lb、实际&gt;110lb且有Oversize</x:t>
  </x:si>
  <x:si>
    <x:t xml:space="preserve">110lb门槛因素；需原始称重证据。</x:t>
  </x:si>
  <x:si>
    <x:t xml:space="preserve">实际重量不高于预估</x:t>
  </x:si>
  <x:si>
    <x:t xml:space="preserve">不能以增重解释此类记录的差额。</x:t>
  </x:si>
  <x:si>
    <x:t xml:space="preserve">尝试调整试算Zone</x:t>
  </x:si>
  <x:si>
    <x:t xml:space="preserve">9票尝试更接近金额的Zone；仅反推，部分仍未还原，不是9票已确认分区错误。</x:t>
  </x:si>
  <x:si>
    <x:t xml:space="preserve">分类关系</x:t>
  </x:si>
  <x:si>
    <x:t xml:space="preserve">上述原因可以重叠，数量不能直接相加。</x:t>
  </x:si>
  <x:si>
    <x:t xml:space="preserve">试算方法</x:t>
  </x:si>
  <x:si>
    <x:t xml:space="preserve">预估重量向上取整（距整数小于0.01lb视为kg舍入）；按标准运费假设折扣39%，重量/超大费假设折扣50%，燃油率从账单金额反推至0.25个百分点。</x:t>
  </x:si>
  <x:si>
    <x:t xml:space="preserve">分区选择</x:t>
  </x:si>
  <x:si>
    <x:t xml:space="preserve">先用账单Zone试算；偏差&gt;1美元且其他Zone能至少改善0.50美元时才另列候选。保留按账单Zone的试算金额于AC列，便于对比。</x:t>
  </x:si>
  <x:si>
    <x:t xml:space="preserve">明确限制</x:t>
  </x:si>
  <x:si>
    <x:t xml:space="preserve">原始报价尺寸、最低收费、住宅/偏远费、历史合同等未充分提供，未加入无证据的金额凑数；未还原的6票需继续查证。</x:t>
  </x:si>
  <x:si>
    <x:t xml:space="preserve">内部收费</x:t>
  </x:si>
  <x:si>
    <x:t xml:space="preserve">承运净额与账单实收分别列出；既有内部收费倍率不展示。此表含费率折扣分析，分享前请按用途选择列。</x:t>
  </x:si>
  <x:si>
    <x:t xml:space="preserve">基础来源</x:t>
  </x:si>
  <x:si>
    <x:t xml:space="preserve">盘库_前十票预付实收计算及差异说明.xlsx；保留已有基础表及全部工作表。</x:t>
  </x:si>
  <x:si>
    <x:t xml:space="preserve">核对来源</x:t>
  </x:si>
  <x:si>
    <x:t xml:space="preserve">bluetti 打单成本价_中文表头.xlsx，Data页；逐票说明AB列给出源表行号。</x:t>
  </x:si>
  <x:si>
    <x:t xml:space="preserve">官方标准费率</x:t>
  </x:si>
  <x:si>
    <x:t xml:space="preserve">https://images.fedex.com/content/dam/fedex/us-united-states/services/Service_Guide_2026.pdf（117—119、127—128页，当前为9月更新版，历史合同需复核）</x:t>
  </x:si>
  <x:si>
    <x:t xml:space="preserve">官方零售费率</x:t>
  </x:si>
  <x:si>
    <x:t xml:space="preserve">https://www.fedex.com/content/dam/fedex/us-united-states/services/FedEx_Retail_Rates_2026.pdf（70—71页）</x:t>
  </x:si>
  <x:si>
    <x:t xml:space="preserve">原始实际重量缺失</x:t>
  </x:si>
  <x:si>
    <x:t xml:space="preserve">873867357360与873599566482原始实际重量为空，仅保留计费重量，不据此推断实际增重。</x:t>
  </x:si>
</x:sst>
</file>

<file path=xl/styles.xml><?xml version="1.0" encoding="utf-8"?>
<x:styleSheet xmlns:x="http://schemas.openxmlformats.org/spreadsheetml/2006/main">
  <x:numFmts count="7">
    <x:numFmt numFmtId="26" formatCode="\$#,##0.00_);[Red]\(\$#,##0.00\)"/>
    <x:numFmt numFmtId="176" formatCode="\$#,##0.00;\-\$#,##0.00"/>
    <x:numFmt numFmtId="177" formatCode="0.###"/>
    <x:numFmt numFmtId="178" formatCode="0.000"/>
    <x:numFmt numFmtId="200" formatCode="@"/>
    <x:numFmt numFmtId="201" formatCode="0.00"/>
    <x:numFmt numFmtId="202" formatCode="0.00%"/>
  </x:numFmts>
  <x:fonts count="6">
    <x:font>
      <x:sz val="11"/>
      <x:color theme="1"/>
      <x:name val="等线"/>
      <x:family val="2"/>
      <x:scheme val="minor"/>
    </x:font>
    <x:font>
      <x:b/>
      <x:sz val="14"/>
      <x:name val="等线"/>
      <x:family val="3"/>
      <x:scheme val="minor"/>
    </x:font>
    <x:font>
      <x:b/>
      <x:sz val="14"/>
      <x:color theme="1"/>
      <x:name val="等线"/>
      <x:family val="3"/>
      <x:scheme val="minor"/>
    </x:font>
    <x:font>
      <x:b/>
      <x:sz val="14"/>
      <x:color indexed="8"/>
      <x:name val="等线"/>
      <x:family val="3"/>
      <x:scheme val="minor"/>
    </x:font>
    <x:font>
      <x:b/>
      <x:sz val="11"/>
      <x:color rgb="FFFFFFFF"/>
      <x:name val="等线"/>
      <x:family val="2"/>
      <x:scheme val="minor"/>
    </x:font>
    <x:font>
      <x:sz val="9"/>
      <x:name val="等线"/>
      <x:family val="3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0" borderId="0" xfId="0" applyFont="1"/>
    <x:xf numFmtId="176" fontId="2" fillId="0" borderId="0" xfId="0" applyNumberFormat="1" applyFont="1" applyAlignment="1">
      <x:alignment horizontal="center" vertical="center"/>
    </x:xf>
    <x:xf numFmtId="26" fontId="1" fillId="2" borderId="1" xfId="0" applyNumberFormat="1" applyFont="1" applyFill="1" applyBorder="1" applyAlignment="1">
      <x:alignment horizontal="center" vertical="center" wrapText="1"/>
    </x:xf>
    <x:xf numFmtId="26" fontId="2" fillId="0" borderId="0" xfId="0" applyNumberFormat="1" applyFont="1" applyAlignment="1">
      <x:alignment vertical="center"/>
    </x:xf>
    <x:xf numFmtId="26" fontId="3" fillId="0" borderId="0" xfId="0" applyNumberFormat="1" applyFont="1" applyAlignment="1">
      <x:alignment vertical="center"/>
    </x:xf>
    <x:xf numFmtId="26" fontId="2" fillId="0" borderId="0" xfId="0" applyNumberFormat="1" applyFont="1" applyAlignment="1">
      <x:alignment horizontal="center" vertical="center"/>
    </x:xf>
    <x:xf numFmtId="26" fontId="0" fillId="0" borderId="0" xfId="0" applyNumberFormat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49" fontId="2" fillId="0" borderId="0" xfId="0" applyNumberFormat="1" applyFont="1" applyFill="1" applyBorder="1" applyAlignment="1">
      <x:alignment horizontal="center" vertical="center"/>
    </x:xf>
    <x:xf numFmtId="49" fontId="3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178" fontId="0" fillId="0" borderId="0" xfId="0" applyNumberFormat="1" applyFont="1" applyFill="1" applyBorder="1"/>
    <x:xf numFmtId="49" fontId="1" fillId="2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wrapText="1"/>
    </x:xf>
    <x:xf numFmtId="49" fontId="4" fillId="6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/>
    <x:xf numFmtId="10" fontId="0" fillId="0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49" fontId="4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wrapText="1"/>
    </x:xf>
    <x:xf numFmtId="49" fontId="4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78" fontId="0" fillId="0" borderId="0" xfId="0" applyNumberFormat="1" applyFont="1" applyFill="1" applyBorder="1" applyAlignment="1">
      <x:alignment vertical="top" wrapText="1"/>
    </x:xf>
    <x:xf numFmtId="10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200" fontId="4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4" fillId="10" borderId="0" xfId="0" applyNumberFormat="1" applyFont="1" applyFill="1" applyBorder="1"/>
    <x:xf numFmtId="20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200" fontId="4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</x:cellXfs>
  <x:cellStyles count="1">
    <x:cellStyle name="常规" xfId="0"/>
  </x:cellStyles>
  <x:dxfs count="3"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bc2e9a8114729" /><Relationship Type="http://schemas.openxmlformats.org/officeDocument/2006/relationships/theme" Target="/xl/theme/theme1.xml" Id="R909d4b94b60b4101" /><Relationship Type="http://schemas.microsoft.com/office/2022/11/relationships/FeaturePropertyBag" Target="/xl/featurePropertyBag/featurePropertyBag.xml" Id="Rded1f42e09bd4762" /><Relationship Type="http://schemas.openxmlformats.org/officeDocument/2006/relationships/sharedStrings" Target="/xl/sharedStrings.xml" Id="Rdecf2739ba9a439f" /><Relationship Type="http://schemas.openxmlformats.org/officeDocument/2006/relationships/worksheet" Target="/xl/worksheets/sheet1.xml" Id="R3658233204a04743" /><Relationship Type="http://schemas.openxmlformats.org/officeDocument/2006/relationships/worksheet" Target="/xl/worksheets/sheet2.xml" Id="R740bcc19f3af4b57" /><Relationship Type="http://schemas.openxmlformats.org/officeDocument/2006/relationships/worksheet" Target="/xl/worksheets/sheet3.xml" Id="R286abe4d1e464e17" /><Relationship Type="http://schemas.openxmlformats.org/officeDocument/2006/relationships/worksheet" Target="/xl/worksheets/sheet4.xml" Id="R22fff3cc00cc4165" /><Relationship Type="http://schemas.openxmlformats.org/officeDocument/2006/relationships/worksheet" Target="/xl/worksheets/sheet5.xml" Id="R3bc1dfdcffa744ad" /><Relationship Type="http://schemas.openxmlformats.org/officeDocument/2006/relationships/worksheet" Target="/xl/worksheets/sheet6.xml" Id="Rcc8225233ad444d3" /><Relationship Type="http://schemas.openxmlformats.org/officeDocument/2006/relationships/worksheet" Target="/xl/worksheets/sheet7.xml" Id="R2199a652470f4616" /><Relationship Type="http://schemas.openxmlformats.org/officeDocument/2006/relationships/worksheet" Target="/xl/worksheets/sheet8.xml" Id="R171119c080da44b2" /><Relationship Type="http://schemas.openxmlformats.org/officeDocument/2006/relationships/worksheet" Target="/xl/worksheets/sheet9.xml" Id="R21948c0133204f3d" /><Relationship Type="http://schemas.openxmlformats.org/officeDocument/2006/relationships/worksheet" Target="/xl/worksheets/sheet10.xml" Id="R719c3c34efae49d7" /><Relationship Type="http://schemas.openxmlformats.org/officeDocument/2006/relationships/worksheet" Target="/xl/worksheets/sheet11.xml" Id="R9279cd8aef7545c2" /><Relationship Type="http://schemas.openxmlformats.org/officeDocument/2006/relationships/worksheet" Target="/xl/worksheets/sheet12.xml" Id="R7f97828771bd48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20" customWidth="1"/>
    <x:col min="2" max="2" width="14.375" customWidth="1"/>
    <x:col min="3" max="3" width="15.25" style="8" customWidth="1"/>
    <x:col min="4" max="4" width="13.75" style="8" customWidth="1"/>
    <x:col min="5" max="6" width="17.25" customWidth="1"/>
    <x:col min="7" max="7" width="25.625" customWidth="1"/>
    <x:col min="8" max="8" width="20.375" customWidth="1"/>
    <x:col min="9" max="12" width="9" customWidth="1"/>
    <x:col min="13" max="13" width="13" customWidth="1"/>
    <x:col min="14" max="14" width="9" customWidth="1"/>
    <x:col min="15" max="15" width="13" customWidth="1"/>
    <x:col min="16" max="16" width="9" customWidth="1"/>
    <x:col min="17" max="17" width="13" customWidth="1"/>
    <x:col min="18" max="18" width="11.75" customWidth="1"/>
    <x:col min="19" max="19" width="23.5" customWidth="1"/>
    <x:col min="20" max="20" width="23" customWidth="1"/>
    <x:col min="21" max="21" width="30" customWidth="1"/>
    <x:col min="22" max="22" width="23" customWidth="1"/>
    <x:col min="23" max="23" width="25.5" customWidth="1"/>
    <x:col min="24" max="24" width="27" customWidth="1"/>
  </x:cols>
  <x:sheetData>
    <x:row r="1" ht="42" customHeight="1">
      <x:c r="A1" s="19" t="s">
        <x:v>0</x:v>
      </x:c>
      <x:c r="B1" s="1" t="s">
        <x:v>1</x:v>
      </x:c>
      <x:c r="C1" s="4" t="s">
        <x:v>2</x:v>
      </x:c>
      <x:c r="D1" s="4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7" t="s">
        <x:v>22</x:v>
      </x:c>
      <x:c r="X1" s="17" t="s">
        <x:v>23</x:v>
      </x:c>
    </x:row>
    <x:row r="2" ht="18">
      <x:c r="A2" s="11" t="s">
        <x:v>24</x:v>
      </x:c>
      <x:c r="B2" s="3">
        <x:v>114.59</x:v>
      </x:c>
      <x:c r="C2" s="5">
        <x:v>308.55</x:v>
      </x:c>
      <x:c r="D2" s="5" t="n">
        <x:f t="shared" ref="D2" si="0">C2-B2</x:f>
        <x:v>193.96</x:v>
      </x:c>
      <x:c r="E2" t="s">
        <x:v>25</x:v>
      </x:c>
      <x:c r="F2" t="s">
        <x:v>26</x:v>
      </x:c>
      <x:c r="G2" t="s">
        <x:v>27</x:v>
      </x:c>
      <x:c r="H2" t="s">
        <x:v>28</x:v>
      </x:c>
      <x:c r="I2" s="15">
        <x:v>32</x:v>
      </x:c>
      <x:c r="J2" s="15">
        <x:v>22</x:v>
      </x:c>
      <x:c r="K2" s="15">
        <x:v>13</x:v>
      </x:c>
      <x:c r="L2" s="18">
        <x:v>116.4</x:v>
      </x:c>
      <x:c r="M2" t="s">
        <x:v>29</x:v>
      </x:c>
      <x:c r="N2" s="18">
        <x:v>117</x:v>
      </x:c>
      <x:c r="O2" t="s">
        <x:v>29</x:v>
      </x:c>
      <x:c r="P2" s="18">
        <x:v>101.41264060504368</x:v>
      </x:c>
      <x:c r="Q2" t="s">
        <x:v>29</x:v>
      </x:c>
      <x:c r="R2" t="s">
        <x:v>30</x:v>
      </x:c>
      <x:c r="S2" t="s">
        <x:v>31</x:v>
      </x:c>
      <x:c r="T2" t="s">
        <x:v>32</x:v>
      </x:c>
      <x:c r="U2" t="s">
        <x:v>33</x:v>
      </x:c>
      <x:c r="V2" t="s">
        <x:v>26</x:v>
      </x:c>
      <x:c r="W2" s="15">
        <x:v>1</x:v>
      </x:c>
      <x:c r="X2" s="16" t="s">
        <x:v>34</x:v>
      </x:c>
    </x:row>
    <x:row r="3" ht="18">
      <x:c r="A3" s="11" t="s">
        <x:v>35</x:v>
      </x:c>
      <x:c r="B3" s="3">
        <x:v>108.51</x:v>
      </x:c>
      <x:c r="C3" s="5">
        <x:v>270.52300000000002</x:v>
      </x:c>
      <x:c r="D3" s="5" t="n">
        <x:f t="shared" ref="D3:D66" si="1">C3-B3</x:f>
        <x:v>162.01300000000003</x:v>
      </x:c>
      <x:c r="E3" t="s">
        <x:v>36</x:v>
      </x:c>
      <x:c r="F3" t="s">
        <x:v>26</x:v>
      </x:c>
      <x:c r="G3" t="s">
        <x:v>37</x:v>
      </x:c>
      <x:c r="H3" t="s">
        <x:v>38</x:v>
      </x:c>
      <x:c r="I3" s="15">
        <x:v>71</x:v>
      </x:c>
      <x:c r="J3" s="15">
        <x:v>51</x:v>
      </x:c>
      <x:c r="K3" s="15">
        <x:v>51</x:v>
      </x:c>
      <x:c r="L3" s="18">
        <x:v>113.4</x:v>
      </x:c>
      <x:c r="M3" t="s">
        <x:v>29</x:v>
      </x:c>
      <x:c r="N3" s="18">
        <x:v>114</x:v>
      </x:c>
      <x:c r="O3" t="s">
        <x:v>29</x:v>
      </x:c>
      <x:c r="P3" s="18">
        <x:v>106.28485659932947</x:v>
      </x:c>
      <x:c r="Q3" t="s">
        <x:v>29</x:v>
      </x:c>
      <x:c r="R3" t="s">
        <x:v>39</x:v>
      </x:c>
      <x:c r="S3" t="s">
        <x:v>40</x:v>
      </x:c>
      <x:c r="T3" t="s">
        <x:v>32</x:v>
      </x:c>
      <x:c r="U3" t="s">
        <x:v>33</x:v>
      </x:c>
      <x:c r="V3" t="s">
        <x:v>26</x:v>
      </x:c>
      <x:c r="W3" s="15">
        <x:v>48.216999999999999</x:v>
      </x:c>
      <x:c r="X3" s="16" t="s">
        <x:v>41</x:v>
      </x:c>
    </x:row>
    <x:row r="4" ht="18">
      <x:c r="A4" s="11" t="s">
        <x:v>42</x:v>
      </x:c>
      <x:c r="B4" s="3">
        <x:v>95.69</x:v>
      </x:c>
      <x:c r="C4" s="5">
        <x:v>237.83099999999999</x:v>
      </x:c>
      <x:c r="D4" s="5">
        <x:f t="shared" si="1"/>
        <x:v>142.14099999999999</x:v>
      </x:c>
      <x:c r="E4" t="s">
        <x:v>43</x:v>
      </x:c>
      <x:c r="F4" t="s">
        <x:v>26</x:v>
      </x:c>
      <x:c r="G4" t="s">
        <x:v>44</x:v>
      </x:c>
      <x:c r="H4" t="s">
        <x:v>45</x:v>
      </x:c>
      <x:c r="I4" s="15">
        <x:v>19</x:v>
      </x:c>
      <x:c r="J4" s="15">
        <x:v>16</x:v>
      </x:c>
      <x:c r="K4" s="15">
        <x:v>16</x:v>
      </x:c>
      <x:c r="L4" s="18">
        <x:v>66.099999999999994</x:v>
      </x:c>
      <x:c r="M4" t="s">
        <x:v>29</x:v>
      </x:c>
      <x:c r="N4" s="18">
        <x:v>67</x:v>
      </x:c>
      <x:c r="O4" t="s">
        <x:v>29</x:v>
      </x:c>
      <x:c r="P4" s="18">
        <x:v>52.999127829244564</x:v>
      </x:c>
      <x:c r="Q4" t="s">
        <x:v>29</x:v>
      </x:c>
      <x:c r="R4" t="s">
        <x:v>46</x:v>
      </x:c>
      <x:c r="S4" t="s">
        <x:v>47</x:v>
      </x:c>
      <x:c r="T4" t="s">
        <x:v>32</x:v>
      </x:c>
      <x:c r="U4" t="s">
        <x:v>33</x:v>
      </x:c>
      <x:c r="V4" t="s">
        <x:v>26</x:v>
      </x:c>
      <x:c r="W4" s="15">
        <x:v>24.04</x:v>
      </x:c>
      <x:c r="X4" s="16" t="s">
        <x:v>48</x:v>
      </x:c>
    </x:row>
    <x:row r="5" ht="18">
      <x:c r="A5" s="11" t="s">
        <x:v>49</x:v>
      </x:c>
      <x:c r="B5" s="3">
        <x:v>31.24</x:v>
      </x:c>
      <x:c r="C5" s="5">
        <x:v>171.512</x:v>
      </x:c>
      <x:c r="D5" s="5">
        <x:f t="shared" si="1"/>
        <x:v>140.27199999999999</x:v>
      </x:c>
      <x:c r="E5" t="s">
        <x:v>50</x:v>
      </x:c>
      <x:c r="F5" t="s">
        <x:v>26</x:v>
      </x:c>
      <x:c r="G5" t="s">
        <x:v>51</x:v>
      </x:c>
      <x:c r="H5" t="s">
        <x:v>52</x:v>
      </x:c>
      <x:c r="I5" s="15"/>
      <x:c r="J5" s="15"/>
      <x:c r="K5" s="15"/>
      <x:c r="L5" s="18"/>
      <x:c r="N5" s="18"/>
      <x:c r="P5" s="18"/>
      <x:c r="V5" t="s">
        <x:v>53</x:v>
      </x:c>
      <x:c r="W5" s="15">
        <x:v>17.236999999999998</x:v>
      </x:c>
      <x:c r="X5" s="16" t="s">
        <x:v>54</x:v>
      </x:c>
    </x:row>
    <x:row r="6" ht="18">
      <x:c r="A6" s="11" t="s">
        <x:v>55</x:v>
      </x:c>
      <x:c r="B6" s="3">
        <x:v>23.53</x:v>
      </x:c>
      <x:c r="C6" s="5">
        <x:v>140.66800000000001</x:v>
      </x:c>
      <x:c r="D6" s="5">
        <x:f t="shared" si="1"/>
        <x:v>117.13800000000001</x:v>
      </x:c>
      <x:c r="E6" t="s">
        <x:v>56</x:v>
      </x:c>
      <x:c r="F6" t="s">
        <x:v>26</x:v>
      </x:c>
      <x:c r="G6" t="s">
        <x:v>57</x:v>
      </x:c>
      <x:c r="H6" t="s">
        <x:v>58</x:v>
      </x:c>
      <x:c r="I6" s="15">
        <x:v>23</x:v>
      </x:c>
      <x:c r="J6" s="15">
        <x:v>22</x:v>
      </x:c>
      <x:c r="K6" s="15">
        <x:v>17</x:v>
      </x:c>
      <x:c r="L6" s="18">
        <x:v>71.3</x:v>
      </x:c>
      <x:c r="M6" t="s">
        <x:v>29</x:v>
      </x:c>
      <x:c r="N6" s="18">
        <x:v>72</x:v>
      </x:c>
      <x:c r="O6" t="s">
        <x:v>29</x:v>
      </x:c>
      <x:c r="P6" s="18">
        <x:v>42.990141126051128</x:v>
      </x:c>
      <x:c r="Q6" t="s">
        <x:v>29</x:v>
      </x:c>
      <x:c r="R6" t="s">
        <x:v>59</x:v>
      </x:c>
      <x:c r="S6" t="s">
        <x:v>60</x:v>
      </x:c>
      <x:c r="T6" t="s">
        <x:v>32</x:v>
      </x:c>
      <x:c r="U6" t="s">
        <x:v>33</x:v>
      </x:c>
      <x:c r="V6" t="s">
        <x:v>26</x:v>
      </x:c>
      <x:c r="W6" s="15">
        <x:v>19.504000000000001</x:v>
      </x:c>
      <x:c r="X6" s="16" t="s">
        <x:v>61</x:v>
      </x:c>
    </x:row>
    <x:row r="7" ht="18">
      <x:c r="A7" s="11" t="s">
        <x:v>62</x:v>
      </x:c>
      <x:c r="B7" s="3">
        <x:v>88.7</x:v>
      </x:c>
      <x:c r="C7" s="5">
        <x:v>204.71</x:v>
      </x:c>
      <x:c r="D7" s="5">
        <x:f t="shared" si="1"/>
        <x:v>116.01</x:v>
      </x:c>
      <x:c r="E7" t="s">
        <x:v>63</x:v>
      </x:c>
      <x:c r="F7" t="s">
        <x:v>26</x:v>
      </x:c>
      <x:c r="G7" t="s">
        <x:v>64</x:v>
      </x:c>
      <x:c r="H7" t="s">
        <x:v>65</x:v>
      </x:c>
      <x:c r="I7" s="15">
        <x:v>48</x:v>
      </x:c>
      <x:c r="J7" s="15">
        <x:v>48</x:v>
      </x:c>
      <x:c r="K7" s="15">
        <x:v>36</x:v>
      </x:c>
      <x:c r="L7" s="18">
        <x:v>62.4</x:v>
      </x:c>
      <x:c r="M7" t="s">
        <x:v>29</x:v>
      </x:c>
      <x:c r="N7" s="18">
        <x:v>63</x:v>
      </x:c>
      <x:c r="O7" t="s">
        <x:v>29</x:v>
      </x:c>
      <x:c r="P7" s="18">
        <x:v>64.000194712269959</x:v>
      </x:c>
      <x:c r="Q7" t="s">
        <x:v>29</x:v>
      </x:c>
      <x:c r="R7" t="s">
        <x:v>66</x:v>
      </x:c>
      <x:c r="S7" t="s">
        <x:v>67</x:v>
      </x:c>
      <x:c r="T7" t="s">
        <x:v>32</x:v>
      </x:c>
      <x:c r="U7" t="s">
        <x:v>33</x:v>
      </x:c>
      <x:c r="V7" t="s">
        <x:v>26</x:v>
      </x:c>
      <x:c r="W7" s="15">
        <x:v>29.03</x:v>
      </x:c>
      <x:c r="X7" s="16" t="s">
        <x:v>68</x:v>
      </x:c>
    </x:row>
    <x:row r="8" ht="18">
      <x:c r="A8" s="11" t="s">
        <x:v>69</x:v>
      </x:c>
      <x:c r="B8" s="3">
        <x:v>71.650000000000006</x:v>
      </x:c>
      <x:c r="C8" s="5">
        <x:v>179.42099999999999</x:v>
      </x:c>
      <x:c r="D8" s="5">
        <x:f t="shared" si="1"/>
        <x:v>107.77099999999999</x:v>
      </x:c>
      <x:c r="E8" t="s">
        <x:v>70</x:v>
      </x:c>
      <x:c r="F8" t="s">
        <x:v>26</x:v>
      </x:c>
      <x:c r="G8" t="s">
        <x:v>71</x:v>
      </x:c>
      <x:c r="H8" t="s">
        <x:v>72</x:v>
      </x:c>
      <x:c r="I8" s="15">
        <x:v>22</x:v>
      </x:c>
      <x:c r="J8" s="15">
        <x:v>22</x:v>
      </x:c>
      <x:c r="K8" s="15">
        <x:v>17</x:v>
      </x:c>
      <x:c r="L8" s="18">
        <x:v>71.7</x:v>
      </x:c>
      <x:c r="M8" t="s">
        <x:v>29</x:v>
      </x:c>
      <x:c r="N8" s="18">
        <x:v>72</x:v>
      </x:c>
      <x:c r="O8" t="s">
        <x:v>29</x:v>
      </x:c>
      <x:c r="P8" s="18">
        <x:v>55.997414594958897</x:v>
      </x:c>
      <x:c r="Q8" t="s">
        <x:v>29</x:v>
      </x:c>
      <x:c r="R8" t="s">
        <x:v>73</x:v>
      </x:c>
      <x:c r="S8" t="s">
        <x:v>74</x:v>
      </x:c>
      <x:c r="T8" t="s">
        <x:v>32</x:v>
      </x:c>
      <x:c r="U8" t="s">
        <x:v>33</x:v>
      </x:c>
      <x:c r="V8" t="s">
        <x:v>26</x:v>
      </x:c>
      <x:c r="W8" s="15">
        <x:v>25.401</x:v>
      </x:c>
      <x:c r="X8" s="16" t="s">
        <x:v>75</x:v>
      </x:c>
    </x:row>
    <x:row r="9" ht="18">
      <x:c r="A9" s="11" t="s">
        <x:v>76</x:v>
      </x:c>
      <x:c r="B9" s="3">
        <x:v>62.65</x:v>
      </x:c>
      <x:c r="C9" s="5">
        <x:v>168.916</x:v>
      </x:c>
      <x:c r="D9" s="5">
        <x:f t="shared" si="1"/>
        <x:v>106.26599999999999</x:v>
      </x:c>
      <x:c r="E9" t="s">
        <x:v>50</x:v>
      </x:c>
      <x:c r="F9" t="s">
        <x:v>26</x:v>
      </x:c>
      <x:c r="G9" t="s">
        <x:v>77</x:v>
      </x:c>
      <x:c r="H9" t="s">
        <x:v>78</x:v>
      </x:c>
      <x:c r="I9" s="15">
        <x:v>20</x:v>
      </x:c>
      <x:c r="J9" s="15">
        <x:v>17</x:v>
      </x:c>
      <x:c r="K9" s="15">
        <x:v>13</x:v>
      </x:c>
      <x:c r="L9" s="18">
        <x:v>39.4</x:v>
      </x:c>
      <x:c r="M9" t="s">
        <x:v>29</x:v>
      </x:c>
      <x:c r="N9" s="18">
        <x:v>40</x:v>
      </x:c>
      <x:c r="O9" t="s">
        <x:v>29</x:v>
      </x:c>
      <x:c r="P9" s="18">
        <x:v>37.985647774454407</x:v>
      </x:c>
      <x:c r="Q9" t="s">
        <x:v>29</x:v>
      </x:c>
      <x:c r="R9" t="s">
        <x:v>79</x:v>
      </x:c>
      <x:c r="S9" t="s">
        <x:v>80</x:v>
      </x:c>
      <x:c r="T9" t="s">
        <x:v>32</x:v>
      </x:c>
      <x:c r="U9" t="s">
        <x:v>33</x:v>
      </x:c>
      <x:c r="V9" t="s">
        <x:v>26</x:v>
      </x:c>
      <x:c r="W9" s="15">
        <x:v>17.236999999999998</x:v>
      </x:c>
      <x:c r="X9" s="16" t="s">
        <x:v>54</x:v>
      </x:c>
    </x:row>
    <x:row r="10" ht="18">
      <x:c r="A10" s="11" t="s">
        <x:v>81</x:v>
      </x:c>
      <x:c r="B10" s="3">
        <x:v>26.2</x:v>
      </x:c>
      <x:c r="C10" s="5">
        <x:v>130.416</x:v>
      </x:c>
      <x:c r="D10" s="5">
        <x:f t="shared" si="1"/>
        <x:v>104.21599999999999</x:v>
      </x:c>
      <x:c r="E10" t="s">
        <x:v>82</x:v>
      </x:c>
      <x:c r="F10" t="s">
        <x:v>26</x:v>
      </x:c>
      <x:c r="G10" t="s">
        <x:v>83</x:v>
      </x:c>
      <x:c r="H10" t="s">
        <x:v>84</x:v>
      </x:c>
      <x:c r="I10" s="15">
        <x:v>15</x:v>
      </x:c>
      <x:c r="J10" s="15">
        <x:v>12</x:v>
      </x:c>
      <x:c r="K10" s="15">
        <x:v>12</x:v>
      </x:c>
      <x:c r="L10" s="18">
        <x:v>28.2</x:v>
      </x:c>
      <x:c r="M10" t="s">
        <x:v>29</x:v>
      </x:c>
      <x:c r="N10" s="18">
        <x:v>29</x:v>
      </x:c>
      <x:c r="O10" t="s">
        <x:v>29</x:v>
      </x:c>
      <x:c r="P10" s="18">
        <x:v>25.000420531765116</x:v>
      </x:c>
      <x:c r="Q10" t="s">
        <x:v>29</x:v>
      </x:c>
      <x:c r="R10" t="s">
        <x:v>85</x:v>
      </x:c>
      <x:c r="S10" t="s">
        <x:v>86</x:v>
      </x:c>
      <x:c r="T10" t="s">
        <x:v>32</x:v>
      </x:c>
      <x:c r="U10" t="s">
        <x:v>33</x:v>
      </x:c>
      <x:c r="V10" t="s">
        <x:v>26</x:v>
      </x:c>
      <x:c r="W10" s="15">
        <x:v>11.34</x:v>
      </x:c>
      <x:c r="X10" s="16" t="s">
        <x:v>87</x:v>
      </x:c>
    </x:row>
    <x:row r="11" ht="18">
      <x:c r="A11" s="11" t="s">
        <x:v>88</x:v>
      </x:c>
      <x:c r="B11" s="3">
        <x:v>23.79</x:v>
      </x:c>
      <x:c r="C11" s="5">
        <x:v>118.074</x:v>
      </x:c>
      <x:c r="D11" s="5">
        <x:f t="shared" si="1"/>
        <x:v>94.283999999999992</x:v>
      </x:c>
      <x:c r="E11" t="s">
        <x:v>89</x:v>
      </x:c>
      <x:c r="F11" t="s">
        <x:v>26</x:v>
      </x:c>
      <x:c r="G11" t="s">
        <x:v>90</x:v>
      </x:c>
      <x:c r="H11" t="s">
        <x:v>91</x:v>
      </x:c>
      <x:c r="I11" s="15">
        <x:v>30</x:v>
      </x:c>
      <x:c r="J11" s="15">
        <x:v>18</x:v>
      </x:c>
      <x:c r="K11" s="15">
        <x:v>8</x:v>
      </x:c>
      <x:c r="L11" s="18">
        <x:v>51.1</x:v>
      </x:c>
      <x:c r="M11" t="s">
        <x:v>29</x:v>
      </x:c>
      <x:c r="N11" s="18">
        <x:v>52</x:v>
      </x:c>
      <x:c r="O11" t="s">
        <x:v>29</x:v>
      </x:c>
      <x:c r="P11" s="18">
        <x:v>44.092452436975513</x:v>
      </x:c>
      <x:c r="Q11" t="s">
        <x:v>29</x:v>
      </x:c>
      <x:c r="R11" t="s">
        <x:v>92</x:v>
      </x:c>
      <x:c r="S11" t="s">
        <x:v>93</x:v>
      </x:c>
      <x:c r="T11" t="s">
        <x:v>32</x:v>
      </x:c>
      <x:c r="U11" t="s">
        <x:v>33</x:v>
      </x:c>
      <x:c r="V11" t="s">
        <x:v>26</x:v>
      </x:c>
      <x:c r="W11" s="15">
        <x:v>20</x:v>
      </x:c>
      <x:c r="X11" s="16" t="s">
        <x:v>94</x:v>
      </x:c>
    </x:row>
    <x:row r="12" ht="18">
      <x:c r="A12" s="11" t="s">
        <x:v>95</x:v>
      </x:c>
      <x:c r="B12" s="3">
        <x:v>23.84</x:v>
      </x:c>
      <x:c r="C12" s="5">
        <x:v>118.074</x:v>
      </x:c>
      <x:c r="D12" s="5">
        <x:f t="shared" si="1"/>
        <x:v>94.233999999999995</x:v>
      </x:c>
      <x:c r="E12" t="s">
        <x:v>89</x:v>
      </x:c>
      <x:c r="F12" t="s">
        <x:v>26</x:v>
      </x:c>
      <x:c r="G12" t="s">
        <x:v>96</x:v>
      </x:c>
      <x:c r="H12" t="s">
        <x:v>97</x:v>
      </x:c>
      <x:c r="I12" s="15">
        <x:v>30</x:v>
      </x:c>
      <x:c r="J12" s="15">
        <x:v>19</x:v>
      </x:c>
      <x:c r="K12" s="15">
        <x:v>8</x:v>
      </x:c>
      <x:c r="L12" s="18">
        <x:v>51.1</x:v>
      </x:c>
      <x:c r="M12" t="s">
        <x:v>29</x:v>
      </x:c>
      <x:c r="N12" s="18">
        <x:v>52</x:v>
      </x:c>
      <x:c r="O12" t="s">
        <x:v>29</x:v>
      </x:c>
      <x:c r="P12" s="18">
        <x:v>44.092452436975513</x:v>
      </x:c>
      <x:c r="Q12" t="s">
        <x:v>29</x:v>
      </x:c>
      <x:c r="R12" t="s">
        <x:v>92</x:v>
      </x:c>
      <x:c r="S12" t="s">
        <x:v>93</x:v>
      </x:c>
      <x:c r="T12" t="s">
        <x:v>32</x:v>
      </x:c>
      <x:c r="U12" t="s">
        <x:v>33</x:v>
      </x:c>
      <x:c r="V12" t="s">
        <x:v>26</x:v>
      </x:c>
      <x:c r="W12" s="15">
        <x:v>20</x:v>
      </x:c>
      <x:c r="X12" s="16" t="s">
        <x:v>94</x:v>
      </x:c>
    </x:row>
    <x:row r="13" ht="18">
      <x:c r="A13" s="11" t="s">
        <x:v>98</x:v>
      </x:c>
      <x:c r="B13" s="3">
        <x:v>36.44</x:v>
      </x:c>
      <x:c r="C13" s="5">
        <x:v>110.52800000000001</x:v>
      </x:c>
      <x:c r="D13" s="5">
        <x:f t="shared" si="1"/>
        <x:v>74.088000000000008</x:v>
      </x:c>
      <x:c r="E13" t="s">
        <x:v>99</x:v>
      </x:c>
      <x:c r="F13" t="s">
        <x:v>26</x:v>
      </x:c>
      <x:c r="G13" t="s">
        <x:v>100</x:v>
      </x:c>
      <x:c r="H13" t="s">
        <x:v>101</x:v>
      </x:c>
      <x:c r="I13" s="15">
        <x:v>28</x:v>
      </x:c>
      <x:c r="J13" s="15">
        <x:v>20</x:v>
      </x:c>
      <x:c r="K13" s="15">
        <x:v>19</x:v>
      </x:c>
      <x:c r="L13" s="18">
        <x:v>95.5</x:v>
      </x:c>
      <x:c r="M13" t="s">
        <x:v>29</x:v>
      </x:c>
      <x:c r="N13" s="18">
        <x:v>96</x:v>
      </x:c>
      <x:c r="O13" t="s">
        <x:v>29</x:v>
      </x:c>
      <x:c r="P13" s="18">
        <x:v>37.985647774454407</x:v>
      </x:c>
      <x:c r="Q13" t="s">
        <x:v>29</x:v>
      </x:c>
      <x:c r="R13" t="s">
        <x:v>102</x:v>
      </x:c>
      <x:c r="S13" t="s">
        <x:v>103</x:v>
      </x:c>
      <x:c r="T13" t="s">
        <x:v>32</x:v>
      </x:c>
      <x:c r="U13" t="s">
        <x:v>33</x:v>
      </x:c>
      <x:c r="V13" t="s">
        <x:v>26</x:v>
      </x:c>
      <x:c r="W13" s="15">
        <x:v>0</x:v>
      </x:c>
      <x:c r="X13" s="16" t="s">
        <x:v>104</x:v>
      </x:c>
    </x:row>
    <x:row r="14" ht="18">
      <x:c r="A14" s="11" t="s">
        <x:v>105</x:v>
      </x:c>
      <x:c r="B14" s="3">
        <x:v>57.47</x:v>
      </x:c>
      <x:c r="C14" s="5">
        <x:v>128.47999999999999</x:v>
      </x:c>
      <x:c r="D14" s="5">
        <x:f t="shared" si="1"/>
        <x:v>71.009999999999991</x:v>
      </x:c>
      <x:c r="E14" t="s">
        <x:v>43</x:v>
      </x:c>
      <x:c r="F14" t="s">
        <x:v>26</x:v>
      </x:c>
      <x:c r="G14" t="s">
        <x:v>106</x:v>
      </x:c>
      <x:c r="H14" t="s">
        <x:v>107</x:v>
      </x:c>
      <x:c r="I14" s="15">
        <x:v>48</x:v>
      </x:c>
      <x:c r="J14" s="15">
        <x:v>41</x:v>
      </x:c>
      <x:c r="K14" s="15">
        <x:v>38</x:v>
      </x:c>
      <x:c r="L14" s="18">
        <x:v>61.1</x:v>
      </x:c>
      <x:c r="M14" t="s">
        <x:v>29</x:v>
      </x:c>
      <x:c r="N14" s="18">
        <x:v>62</x:v>
      </x:c>
      <x:c r="O14" t="s">
        <x:v>29</x:v>
      </x:c>
      <x:c r="P14" s="18">
        <x:v>60.494844743530408</x:v>
      </x:c>
      <x:c r="Q14" t="s">
        <x:v>29</x:v>
      </x:c>
      <x:c r="R14" t="s">
        <x:v>92</x:v>
      </x:c>
      <x:c r="S14" t="s">
        <x:v>108</x:v>
      </x:c>
      <x:c r="T14" t="s">
        <x:v>32</x:v>
      </x:c>
      <x:c r="U14" t="s">
        <x:v>33</x:v>
      </x:c>
      <x:c r="V14" t="s">
        <x:v>26</x:v>
      </x:c>
      <x:c r="W14" s="15">
        <x:v>0</x:v>
      </x:c>
      <x:c r="X14" s="16" t="s">
        <x:v>109</x:v>
      </x:c>
    </x:row>
    <x:row r="15" ht="18">
      <x:c r="A15" s="11" t="s">
        <x:v>110</x:v>
      </x:c>
      <x:c r="B15" s="3">
        <x:v>19.12</x:v>
      </x:c>
      <x:c r="C15" s="5">
        <x:v>89.584000000000003</x:v>
      </x:c>
      <x:c r="D15" s="5">
        <x:f t="shared" si="1"/>
        <x:v>70.463999999999999</x:v>
      </x:c>
      <x:c r="F15" t="s">
        <x:v>53</x:v>
      </x:c>
      <x:c r="I15" s="15"/>
      <x:c r="J15" s="15"/>
      <x:c r="K15" s="15"/>
      <x:c r="L15" s="18"/>
      <x:c r="N15" s="18"/>
      <x:c r="P15" s="18"/>
      <x:c r="V15" t="s">
        <x:v>53</x:v>
      </x:c>
      <x:c r="W15" s="15">
        <x:v>3.629</x:v>
      </x:c>
      <x:c r="X15" s="16" t="s">
        <x:v>111</x:v>
      </x:c>
    </x:row>
    <x:row r="16" ht="18">
      <x:c r="A16" s="11" t="s">
        <x:v>112</x:v>
      </x:c>
      <x:c r="B16" s="3">
        <x:v>59.37</x:v>
      </x:c>
      <x:c r="C16" s="5">
        <x:v>120.637</x:v>
      </x:c>
      <x:c r="D16" s="5">
        <x:f t="shared" si="1"/>
        <x:v>61.267000000000003</x:v>
      </x:c>
      <x:c r="E16" t="s">
        <x:v>113</x:v>
      </x:c>
      <x:c r="F16" t="s">
        <x:v>26</x:v>
      </x:c>
      <x:c r="G16" t="s">
        <x:v>114</x:v>
      </x:c>
      <x:c r="H16" t="s">
        <x:v>115</x:v>
      </x:c>
      <x:c r="I16" s="15">
        <x:v>48</x:v>
      </x:c>
      <x:c r="J16" s="15">
        <x:v>46</x:v>
      </x:c>
      <x:c r="K16" s="15">
        <x:v>38</x:v>
      </x:c>
      <x:c r="L16" s="18">
        <x:v>56.8</x:v>
      </x:c>
      <x:c r="M16" t="s">
        <x:v>29</x:v>
      </x:c>
      <x:c r="N16" s="18">
        <x:v>57</x:v>
      </x:c>
      <x:c r="O16" t="s">
        <x:v>29</x:v>
      </x:c>
      <x:c r="P16" s="18">
        <x:v>63.889963581177518</x:v>
      </x:c>
      <x:c r="Q16" t="s">
        <x:v>29</x:v>
      </x:c>
      <x:c r="R16" t="s">
        <x:v>116</x:v>
      </x:c>
      <x:c r="S16" t="s">
        <x:v>117</x:v>
      </x:c>
      <x:c r="T16" t="s">
        <x:v>32</x:v>
      </x:c>
      <x:c r="U16" t="s">
        <x:v>33</x:v>
      </x:c>
      <x:c r="V16" t="s">
        <x:v>26</x:v>
      </x:c>
      <x:c r="W16" s="15">
        <x:v>28.984999999999999</x:v>
      </x:c>
      <x:c r="X16" s="16" t="s">
        <x:v>118</x:v>
      </x:c>
    </x:row>
    <x:row r="17" ht="18">
      <x:c r="A17" s="11" t="s">
        <x:v>119</x:v>
      </x:c>
      <x:c r="B17" s="3">
        <x:v>37.47</x:v>
      </x:c>
      <x:c r="C17" s="5">
        <x:v>93.126000000000005</x:v>
      </x:c>
      <x:c r="D17" s="5">
        <x:f t="shared" si="1"/>
        <x:v>55.656000000000006</x:v>
      </x:c>
      <x:c r="E17" t="s">
        <x:v>82</x:v>
      </x:c>
      <x:c r="F17" t="s">
        <x:v>26</x:v>
      </x:c>
      <x:c r="G17" t="s">
        <x:v>120</x:v>
      </x:c>
      <x:c r="H17" t="s">
        <x:v>121</x:v>
      </x:c>
      <x:c r="I17" s="15">
        <x:v>40</x:v>
      </x:c>
      <x:c r="J17" s="15">
        <x:v>40</x:v>
      </x:c>
      <x:c r="K17" s="15">
        <x:v>30</x:v>
      </x:c>
      <x:c r="L17" s="18">
        <x:v>27.6</x:v>
      </x:c>
      <x:c r="M17" t="s">
        <x:v>29</x:v>
      </x:c>
      <x:c r="N17" s="18">
        <x:v>28</x:v>
      </x:c>
      <x:c r="O17" t="s">
        <x:v>29</x:v>
      </x:c>
      <x:c r="P17" s="18">
        <x:v>28.660094084034085</x:v>
      </x:c>
      <x:c r="Q17" t="s">
        <x:v>29</x:v>
      </x:c>
      <x:c r="R17" t="s">
        <x:v>30</x:v>
      </x:c>
      <x:c r="S17" t="s">
        <x:v>122</x:v>
      </x:c>
      <x:c r="T17" t="s">
        <x:v>32</x:v>
      </x:c>
      <x:c r="U17" t="s">
        <x:v>33</x:v>
      </x:c>
      <x:c r="V17" t="s">
        <x:v>26</x:v>
      </x:c>
      <x:c r="W17" s="15">
        <x:v>13</x:v>
      </x:c>
      <x:c r="X17" s="16" t="s">
        <x:v>123</x:v>
      </x:c>
    </x:row>
    <x:row r="18" ht="18">
      <x:c r="A18" s="11" t="s">
        <x:v>124</x:v>
      </x:c>
      <x:c r="B18" s="3">
        <x:v>19.510000000000002</x:v>
      </x:c>
      <x:c r="C18" s="5">
        <x:v>71.016000000000005</x:v>
      </x:c>
      <x:c r="D18" s="5">
        <x:f t="shared" si="1"/>
        <x:v>51.506</x:v>
      </x:c>
      <x:c r="E18" t="s">
        <x:v>70</x:v>
      </x:c>
      <x:c r="F18" t="s">
        <x:v>26</x:v>
      </x:c>
      <x:c r="G18" t="s">
        <x:v>125</x:v>
      </x:c>
      <x:c r="H18" t="s">
        <x:v>126</x:v>
      </x:c>
      <x:c r="I18" s="15">
        <x:v>18</x:v>
      </x:c>
      <x:c r="J18" s="15">
        <x:v>15</x:v>
      </x:c>
      <x:c r="K18" s="15">
        <x:v>15</x:v>
      </x:c>
      <x:c r="L18" s="18">
        <x:v>65.7</x:v>
      </x:c>
      <x:c r="M18" t="s">
        <x:v>29</x:v>
      </x:c>
      <x:c r="N18" s="18">
        <x:v>66</x:v>
      </x:c>
      <x:c r="O18" t="s">
        <x:v>29</x:v>
      </x:c>
      <x:c r="P18" s="18">
        <x:v>22.994213945882731</x:v>
      </x:c>
      <x:c r="Q18" t="s">
        <x:v>29</x:v>
      </x:c>
      <x:c r="R18" t="s">
        <x:v>127</x:v>
      </x:c>
      <x:c r="S18" t="s">
        <x:v>128</x:v>
      </x:c>
      <x:c r="T18" t="s">
        <x:v>32</x:v>
      </x:c>
      <x:c r="U18" t="s">
        <x:v>33</x:v>
      </x:c>
      <x:c r="V18" t="s">
        <x:v>26</x:v>
      </x:c>
      <x:c r="W18" s="15">
        <x:v>10.433</x:v>
      </x:c>
      <x:c r="X18" s="16" t="s">
        <x:v>129</x:v>
      </x:c>
    </x:row>
    <x:row r="19" ht="18">
      <x:c r="A19" s="11" t="s">
        <x:v>130</x:v>
      </x:c>
      <x:c r="B19" s="3">
        <x:v>60.52</x:v>
      </x:c>
      <x:c r="C19" s="5">
        <x:v>111.79300000000001</x:v>
      </x:c>
      <x:c r="D19" s="5">
        <x:f t="shared" si="1"/>
        <x:v>51.273000000000003</x:v>
      </x:c>
      <x:c r="E19" t="s">
        <x:v>131</x:v>
      </x:c>
      <x:c r="F19" t="s">
        <x:v>26</x:v>
      </x:c>
      <x:c r="G19" t="s">
        <x:v>132</x:v>
      </x:c>
      <x:c r="H19" t="s">
        <x:v>133</x:v>
      </x:c>
      <x:c r="I19" s="15">
        <x:v>19</x:v>
      </x:c>
      <x:c r="J19" s="15">
        <x:v>19</x:v>
      </x:c>
      <x:c r="K19" s="15">
        <x:v>15</x:v>
      </x:c>
      <x:c r="L19" s="18">
        <x:v>63.1</x:v>
      </x:c>
      <x:c r="M19" t="s">
        <x:v>29</x:v>
      </x:c>
      <x:c r="N19" s="18">
        <x:v>64</x:v>
      </x:c>
      <x:c r="O19" t="s">
        <x:v>29</x:v>
      </x:c>
      <x:c r="P19" s="18">
        <x:v>42.990141126051128</x:v>
      </x:c>
      <x:c r="Q19" t="s">
        <x:v>29</x:v>
      </x:c>
      <x:c r="R19" t="s">
        <x:v>134</x:v>
      </x:c>
      <x:c r="S19" t="s">
        <x:v>135</x:v>
      </x:c>
      <x:c r="T19" t="s">
        <x:v>32</x:v>
      </x:c>
      <x:c r="U19" t="s">
        <x:v>33</x:v>
      </x:c>
      <x:c r="V19" t="s">
        <x:v>26</x:v>
      </x:c>
      <x:c r="W19" s="15">
        <x:v>19.504000000000001</x:v>
      </x:c>
      <x:c r="X19" s="16" t="s">
        <x:v>136</x:v>
      </x:c>
    </x:row>
    <x:row r="20" ht="18">
      <x:c r="A20" s="11" t="s">
        <x:v>137</x:v>
      </x:c>
      <x:c r="B20" s="3">
        <x:v>87.96</x:v>
      </x:c>
      <x:c r="C20" s="5">
        <x:v>138.97399999999999</x:v>
      </x:c>
      <x:c r="D20" s="5">
        <x:f t="shared" si="1"/>
        <x:v>51.013999999999996</x:v>
      </x:c>
      <x:c r="E20" t="s">
        <x:v>138</x:v>
      </x:c>
      <x:c r="F20" t="s">
        <x:v>26</x:v>
      </x:c>
      <x:c r="G20" t="s">
        <x:v>139</x:v>
      </x:c>
      <x:c r="H20" t="s">
        <x:v>140</x:v>
      </x:c>
      <x:c r="I20" s="15">
        <x:v>27</x:v>
      </x:c>
      <x:c r="J20" s="15">
        <x:v>22</x:v>
      </x:c>
      <x:c r="K20" s="15">
        <x:v>16</x:v>
      </x:c>
      <x:c r="L20" s="18"/>
      <x:c r="N20" s="18">
        <x:v>89</x:v>
      </x:c>
      <x:c r="O20" t="s">
        <x:v>29</x:v>
      </x:c>
      <x:c r="P20" s="18">
        <x:v>88.184904873951027</x:v>
      </x:c>
      <x:c r="Q20" t="s">
        <x:v>29</x:v>
      </x:c>
      <x:c r="R20" t="s">
        <x:v>59</x:v>
      </x:c>
      <x:c r="S20" t="s">
        <x:v>141</x:v>
      </x:c>
      <x:c r="T20" t="s">
        <x:v>32</x:v>
      </x:c>
      <x:c r="U20" t="s">
        <x:v>33</x:v>
      </x:c>
      <x:c r="V20" t="s">
        <x:v>26</x:v>
      </x:c>
      <x:c r="W20" s="15">
        <x:v>1</x:v>
      </x:c>
      <x:c r="X20" s="16" t="s">
        <x:v>142</x:v>
      </x:c>
    </x:row>
    <x:row r="21" ht="18">
      <x:c r="A21" s="11" t="s">
        <x:v>143</x:v>
      </x:c>
      <x:c r="B21" s="3">
        <x:v>26.2</x:v>
      </x:c>
      <x:c r="C21" s="5">
        <x:v>76.724999999999994</x:v>
      </x:c>
      <x:c r="D21" s="5">
        <x:f t="shared" si="1"/>
        <x:v>50.524999999999991</x:v>
      </x:c>
      <x:c r="E21" t="s">
        <x:v>82</x:v>
      </x:c>
      <x:c r="F21" t="s">
        <x:v>26</x:v>
      </x:c>
      <x:c r="G21" t="s">
        <x:v>144</x:v>
      </x:c>
      <x:c r="H21" t="s">
        <x:v>145</x:v>
      </x:c>
      <x:c r="I21" s="15">
        <x:v>18</x:v>
      </x:c>
      <x:c r="J21" s="15">
        <x:v>13</x:v>
      </x:c>
      <x:c r="K21" s="15">
        <x:v>12</x:v>
      </x:c>
      <x:c r="L21" s="18">
        <x:v>29</x:v>
      </x:c>
      <x:c r="M21" t="s">
        <x:v>29</x:v>
      </x:c>
      <x:c r="N21" s="18">
        <x:v>30</x:v>
      </x:c>
      <x:c r="O21" t="s">
        <x:v>29</x:v>
      </x:c>
      <x:c r="P21" s="18">
        <x:v>25.000420531765116</x:v>
      </x:c>
      <x:c r="Q21" t="s">
        <x:v>29</x:v>
      </x:c>
      <x:c r="R21" t="s">
        <x:v>146</x:v>
      </x:c>
      <x:c r="S21" t="s">
        <x:v>147</x:v>
      </x:c>
      <x:c r="T21" t="s">
        <x:v>32</x:v>
      </x:c>
      <x:c r="U21" t="s">
        <x:v>33</x:v>
      </x:c>
      <x:c r="V21" t="s">
        <x:v>26</x:v>
      </x:c>
      <x:c r="W21" s="15">
        <x:v>11.34</x:v>
      </x:c>
      <x:c r="X21" s="16" t="s">
        <x:v>87</x:v>
      </x:c>
    </x:row>
    <x:row r="22" ht="18">
      <x:c r="A22" s="11" t="s">
        <x:v>148</x:v>
      </x:c>
      <x:c r="B22" s="3">
        <x:v>23.61</x:v>
      </x:c>
      <x:c r="C22" s="5">
        <x:v>72.709999999999994</x:v>
      </x:c>
      <x:c r="D22" s="5">
        <x:f t="shared" si="1"/>
        <x:v>49.099999999999994</x:v>
      </x:c>
      <x:c r="E22" t="s">
        <x:v>149</x:v>
      </x:c>
      <x:c r="F22" t="s">
        <x:v>26</x:v>
      </x:c>
      <x:c r="G22" t="s">
        <x:v>150</x:v>
      </x:c>
      <x:c r="H22" t="s">
        <x:v>151</x:v>
      </x:c>
      <x:c r="I22" s="15">
        <x:v>16</x:v>
      </x:c>
      <x:c r="J22" s="15">
        <x:v>15</x:v>
      </x:c>
      <x:c r="K22" s="15">
        <x:v>12</x:v>
      </x:c>
      <x:c r="L22" s="18">
        <x:v>27.2</x:v>
      </x:c>
      <x:c r="M22" t="s">
        <x:v>29</x:v>
      </x:c>
      <x:c r="N22" s="18">
        <x:v>28</x:v>
      </x:c>
      <x:c r="O22" t="s">
        <x:v>29</x:v>
      </x:c>
      <x:c r="P22" s="18">
        <x:v>17.989720594286009</x:v>
      </x:c>
      <x:c r="Q22" t="s">
        <x:v>29</x:v>
      </x:c>
      <x:c r="R22" t="s">
        <x:v>46</x:v>
      </x:c>
      <x:c r="S22" t="s">
        <x:v>152</x:v>
      </x:c>
      <x:c r="T22" t="s">
        <x:v>32</x:v>
      </x:c>
      <x:c r="U22" t="s">
        <x:v>33</x:v>
      </x:c>
      <x:c r="V22" t="s">
        <x:v>26</x:v>
      </x:c>
      <x:c r="W22" s="15">
        <x:v>8.1649999999999991</x:v>
      </x:c>
      <x:c r="X22" s="16" t="s">
        <x:v>153</x:v>
      </x:c>
    </x:row>
    <x:row r="23" ht="18">
      <x:c r="A23" s="11" t="s">
        <x:v>154</x:v>
      </x:c>
      <x:c r="B23" s="3">
        <x:v>29.12</x:v>
      </x:c>
      <x:c r="C23" s="5">
        <x:v>76.724999999999994</x:v>
      </x:c>
      <x:c r="D23" s="5">
        <x:f t="shared" si="1"/>
        <x:v>47.60499999999999</x:v>
      </x:c>
      <x:c r="E23" t="s">
        <x:v>82</x:v>
      </x:c>
      <x:c r="F23" t="s">
        <x:v>26</x:v>
      </x:c>
      <x:c r="G23" t="s">
        <x:v>155</x:v>
      </x:c>
      <x:c r="H23" t="s">
        <x:v>156</x:v>
      </x:c>
      <x:c r="I23" s="15">
        <x:v>41</x:v>
      </x:c>
      <x:c r="J23" s="15">
        <x:v>41</x:v>
      </x:c>
      <x:c r="K23" s="15">
        <x:v>30</x:v>
      </x:c>
      <x:c r="L23" s="18">
        <x:v>29.7</x:v>
      </x:c>
      <x:c r="M23" t="s">
        <x:v>29</x:v>
      </x:c>
      <x:c r="N23" s="18">
        <x:v>30</x:v>
      </x:c>
      <x:c r="O23" t="s">
        <x:v>29</x:v>
      </x:c>
      <x:c r="P23" s="18">
        <x:v>27.182996927395404</x:v>
      </x:c>
      <x:c r="Q23" t="s">
        <x:v>29</x:v>
      </x:c>
      <x:c r="R23" t="s">
        <x:v>102</x:v>
      </x:c>
      <x:c r="S23" t="s">
        <x:v>157</x:v>
      </x:c>
      <x:c r="T23" t="s">
        <x:v>32</x:v>
      </x:c>
      <x:c r="U23" t="s">
        <x:v>33</x:v>
      </x:c>
      <x:c r="V23" t="s">
        <x:v>26</x:v>
      </x:c>
      <x:c r="W23" s="15">
        <x:v>12.337999999999999</x:v>
      </x:c>
      <x:c r="X23" s="16" t="s">
        <x:v>158</x:v>
      </x:c>
    </x:row>
    <x:row r="24" ht="18">
      <x:c r="A24" s="11" t="s">
        <x:v>159</x:v>
      </x:c>
      <x:c r="B24" s="3">
        <x:v>41.36</x:v>
      </x:c>
      <x:c r="C24" s="5">
        <x:v>88.869</x:v>
      </x:c>
      <x:c r="D24" s="5">
        <x:f t="shared" si="1"/>
        <x:v>47.509</x:v>
      </x:c>
      <x:c r="E24" t="s">
        <x:v>131</x:v>
      </x:c>
      <x:c r="F24" t="s">
        <x:v>26</x:v>
      </x:c>
      <x:c r="G24" t="s">
        <x:v>160</x:v>
      </x:c>
      <x:c r="H24" t="s">
        <x:v>161</x:v>
      </x:c>
      <x:c r="I24" s="15">
        <x:v>19</x:v>
      </x:c>
      <x:c r="J24" s="15">
        <x:v>19</x:v>
      </x:c>
      <x:c r="K24" s="15">
        <x:v>15</x:v>
      </x:c>
      <x:c r="L24" s="18">
        <x:v>62.6</x:v>
      </x:c>
      <x:c r="M24" t="s">
        <x:v>29</x:v>
      </x:c>
      <x:c r="N24" s="18">
        <x:v>63</x:v>
      </x:c>
      <x:c r="O24" t="s">
        <x:v>29</x:v>
      </x:c>
      <x:c r="P24" s="18">
        <x:v>42.990141126051128</x:v>
      </x:c>
      <x:c r="Q24" t="s">
        <x:v>29</x:v>
      </x:c>
      <x:c r="R24" t="s">
        <x:v>102</x:v>
      </x:c>
      <x:c r="S24" t="s">
        <x:v>162</x:v>
      </x:c>
      <x:c r="T24" t="s">
        <x:v>32</x:v>
      </x:c>
      <x:c r="U24" t="s">
        <x:v>33</x:v>
      </x:c>
      <x:c r="V24" t="s">
        <x:v>26</x:v>
      </x:c>
      <x:c r="W24" s="15">
        <x:v>19.504000000000001</x:v>
      </x:c>
      <x:c r="X24" s="16" t="s">
        <x:v>163</x:v>
      </x:c>
    </x:row>
    <x:row r="25" ht="18">
      <x:c r="A25" s="11" t="s">
        <x:v>164</x:v>
      </x:c>
      <x:c r="B25" s="3">
        <x:v>31.75</x:v>
      </x:c>
      <x:c r="C25" s="5">
        <x:v>75.48</x:v>
      </x:c>
      <x:c r="D25" s="5">
        <x:f t="shared" si="1"/>
        <x:v>43.730000000000004</x:v>
      </x:c>
      <x:c r="F25" t="s">
        <x:v>53</x:v>
      </x:c>
      <x:c r="I25" s="15">
        <x:v>33</x:v>
      </x:c>
      <x:c r="J25" s="15">
        <x:v>30</x:v>
      </x:c>
      <x:c r="K25" s="15">
        <x:v>25</x:v>
      </x:c>
      <x:c r="L25" s="18">
        <x:v>12.5</x:v>
      </x:c>
      <x:c r="M25" t="s">
        <x:v>29</x:v>
      </x:c>
      <x:c r="N25" s="18">
        <x:v>13</x:v>
      </x:c>
      <x:c r="O25" t="s">
        <x:v>29</x:v>
      </x:c>
      <x:c r="P25" s="18">
        <x:v>6.9886537112606186</x:v>
      </x:c>
      <x:c r="Q25" t="s">
        <x:v>29</x:v>
      </x:c>
      <x:c r="R25" t="s">
        <x:v>32</x:v>
      </x:c>
      <x:c r="S25" t="s">
        <x:v>33</x:v>
      </x:c>
      <x:c r="T25" t="s">
        <x:v>134</x:v>
      </x:c>
      <x:c r="U25" t="s">
        <x:v>165</x:v>
      </x:c>
      <x:c r="V25" t="s">
        <x:v>26</x:v>
      </x:c>
      <x:c r="W25" s="15"/>
      <x:c r="X25" s="16"/>
    </x:row>
    <x:row r="26" ht="18">
      <x:c r="A26" s="11" t="s">
        <x:v>166</x:v>
      </x:c>
      <x:c r="B26" s="3">
        <x:v>55.87</x:v>
      </x:c>
      <x:c r="C26" s="5">
        <x:v>99.539000000000001</x:v>
      </x:c>
      <x:c r="D26" s="5">
        <x:f t="shared" si="1"/>
        <x:v>43.669000000000004</x:v>
      </x:c>
      <x:c r="E26" t="s">
        <x:v>63</x:v>
      </x:c>
      <x:c r="F26" t="s">
        <x:v>26</x:v>
      </x:c>
      <x:c r="G26" t="s">
        <x:v>167</x:v>
      </x:c>
      <x:c r="H26" t="s">
        <x:v>168</x:v>
      </x:c>
      <x:c r="I26" s="15"/>
      <x:c r="J26" s="15"/>
      <x:c r="K26" s="15"/>
      <x:c r="L26" s="18"/>
      <x:c r="N26" s="18"/>
      <x:c r="P26" s="18"/>
      <x:c r="V26" t="s">
        <x:v>53</x:v>
      </x:c>
      <x:c r="W26" s="15">
        <x:v>21.771999999999998</x:v>
      </x:c>
      <x:c r="X26" s="16" t="s">
        <x:v>169</x:v>
      </x:c>
    </x:row>
    <x:row r="27" ht="18">
      <x:c r="A27" s="11" t="s">
        <x:v>170</x:v>
      </x:c>
      <x:c r="B27" s="3">
        <x:v>42.02</x:v>
      </x:c>
      <x:c r="C27" s="5">
        <x:v>84.403000000000006</x:v>
      </x:c>
      <x:c r="D27" s="5">
        <x:f t="shared" si="1"/>
        <x:v>42.383000000000003</x:v>
      </x:c>
      <x:c r="E27" t="s">
        <x:v>89</x:v>
      </x:c>
      <x:c r="F27" t="s">
        <x:v>26</x:v>
      </x:c>
      <x:c r="G27" t="s">
        <x:v>171</x:v>
      </x:c>
      <x:c r="H27" t="s">
        <x:v>172</x:v>
      </x:c>
      <x:c r="I27" s="15"/>
      <x:c r="J27" s="15"/>
      <x:c r="K27" s="15"/>
      <x:c r="L27" s="18"/>
      <x:c r="N27" s="18"/>
      <x:c r="P27" s="18"/>
      <x:c r="V27" t="s">
        <x:v>53</x:v>
      </x:c>
      <x:c r="W27" s="15">
        <x:v>0</x:v>
      </x:c>
      <x:c r="X27" s="16" t="s">
        <x:v>173</x:v>
      </x:c>
    </x:row>
    <x:row r="28" ht="18">
      <x:c r="A28" s="11" t="s">
        <x:v>174</x:v>
      </x:c>
      <x:c r="B28" s="3">
        <x:v>42.01</x:v>
      </x:c>
      <x:c r="C28" s="5">
        <x:v>84.381</x:v>
      </x:c>
      <x:c r="D28" s="5">
        <x:f t="shared" si="1"/>
        <x:v>42.371000000000002</x:v>
      </x:c>
      <x:c r="E28" t="s">
        <x:v>89</x:v>
      </x:c>
      <x:c r="F28" t="s">
        <x:v>26</x:v>
      </x:c>
      <x:c r="G28" t="s">
        <x:v>175</x:v>
      </x:c>
      <x:c r="H28" t="s">
        <x:v>176</x:v>
      </x:c>
      <x:c r="I28" s="15"/>
      <x:c r="J28" s="15"/>
      <x:c r="K28" s="15"/>
      <x:c r="L28" s="18"/>
      <x:c r="N28" s="18"/>
      <x:c r="P28" s="18"/>
      <x:c r="V28" t="s">
        <x:v>53</x:v>
      </x:c>
      <x:c r="W28" s="15">
        <x:v>19.731000000000002</x:v>
      </x:c>
      <x:c r="X28" s="16" t="s">
        <x:v>177</x:v>
      </x:c>
    </x:row>
    <x:row r="29" ht="18">
      <x:c r="A29" s="11" t="s">
        <x:v>178</x:v>
      </x:c>
      <x:c r="B29" s="3">
        <x:v>30.61</x:v>
      </x:c>
      <x:c r="C29" s="5">
        <x:v>72.808999999999997</x:v>
      </x:c>
      <x:c r="D29" s="5">
        <x:f t="shared" si="1"/>
        <x:v>42.198999999999998</x:v>
      </x:c>
      <x:c r="E29" t="s">
        <x:v>70</x:v>
      </x:c>
      <x:c r="F29" t="s">
        <x:v>26</x:v>
      </x:c>
      <x:c r="G29" t="s">
        <x:v>179</x:v>
      </x:c>
      <x:c r="H29" t="s">
        <x:v>180</x:v>
      </x:c>
      <x:c r="I29" s="15"/>
      <x:c r="J29" s="15"/>
      <x:c r="K29" s="15"/>
      <x:c r="L29" s="18"/>
      <x:c r="N29" s="18"/>
      <x:c r="P29" s="18"/>
      <x:c r="V29" t="s">
        <x:v>53</x:v>
      </x:c>
      <x:c r="W29" s="15">
        <x:v>21.771999999999998</x:v>
      </x:c>
      <x:c r="X29" s="16" t="s">
        <x:v>181</x:v>
      </x:c>
    </x:row>
    <x:row r="30" ht="18">
      <x:c r="A30" s="11" t="s">
        <x:v>182</x:v>
      </x:c>
      <x:c r="B30" s="3">
        <x:v>26.25</x:v>
      </x:c>
      <x:c r="C30" s="5">
        <x:v>68.177999999999997</x:v>
      </x:c>
      <x:c r="D30" s="5">
        <x:f t="shared" si="1"/>
        <x:v>41.927999999999997</x:v>
      </x:c>
      <x:c r="E30" t="s">
        <x:v>82</x:v>
      </x:c>
      <x:c r="F30" t="s">
        <x:v>26</x:v>
      </x:c>
      <x:c r="G30" t="s">
        <x:v>183</x:v>
      </x:c>
      <x:c r="H30" t="s">
        <x:v>184</x:v>
      </x:c>
      <x:c r="I30" s="15">
        <x:v>14</x:v>
      </x:c>
      <x:c r="J30" s="15">
        <x:v>12</x:v>
      </x:c>
      <x:c r="K30" s="15">
        <x:v>11</x:v>
      </x:c>
      <x:c r="L30" s="18">
        <x:v>25.8</x:v>
      </x:c>
      <x:c r="M30" t="s">
        <x:v>29</x:v>
      </x:c>
      <x:c r="N30" s="18">
        <x:v>26</x:v>
      </x:c>
      <x:c r="O30" t="s">
        <x:v>29</x:v>
      </x:c>
      <x:c r="P30" s="18">
        <x:v>25.000420531765116</x:v>
      </x:c>
      <x:c r="Q30" t="s">
        <x:v>29</x:v>
      </x:c>
      <x:c r="R30" t="s">
        <x:v>146</x:v>
      </x:c>
      <x:c r="S30" t="s">
        <x:v>185</x:v>
      </x:c>
      <x:c r="T30" t="s">
        <x:v>32</x:v>
      </x:c>
      <x:c r="U30" t="s">
        <x:v>33</x:v>
      </x:c>
      <x:c r="V30" t="s">
        <x:v>26</x:v>
      </x:c>
      <x:c r="W30" s="15">
        <x:v>11.34</x:v>
      </x:c>
      <x:c r="X30" s="16" t="s">
        <x:v>87</x:v>
      </x:c>
    </x:row>
    <x:row r="31" ht="18">
      <x:c r="A31" s="11" t="s">
        <x:v>186</x:v>
      </x:c>
      <x:c r="B31" s="3">
        <x:v>41.86</x:v>
      </x:c>
      <x:c r="C31" s="5">
        <x:v>83.71</x:v>
      </x:c>
      <x:c r="D31" s="5">
        <x:f t="shared" si="1"/>
        <x:v>41.849999999999994</x:v>
      </x:c>
      <x:c r="E31" t="s">
        <x:v>187</x:v>
      </x:c>
      <x:c r="F31" t="s">
        <x:v>26</x:v>
      </x:c>
      <x:c r="G31" t="s">
        <x:v>188</x:v>
      </x:c>
      <x:c r="H31" t="s">
        <x:v>189</x:v>
      </x:c>
      <x:c r="I31" s="15">
        <x:v>30</x:v>
      </x:c>
      <x:c r="J31" s="15">
        <x:v>18</x:v>
      </x:c>
      <x:c r="K31" s="15">
        <x:v>8</x:v>
      </x:c>
      <x:c r="L31" s="18">
        <x:v>50.8</x:v>
      </x:c>
      <x:c r="M31" t="s">
        <x:v>29</x:v>
      </x:c>
      <x:c r="N31" s="18">
        <x:v>51</x:v>
      </x:c>
      <x:c r="O31" t="s">
        <x:v>29</x:v>
      </x:c>
      <x:c r="P31" s="18">
        <x:v>44.092452436975513</x:v>
      </x:c>
      <x:c r="Q31" t="s">
        <x:v>29</x:v>
      </x:c>
      <x:c r="R31" t="s">
        <x:v>46</x:v>
      </x:c>
      <x:c r="S31" t="s">
        <x:v>190</x:v>
      </x:c>
      <x:c r="T31" t="s">
        <x:v>32</x:v>
      </x:c>
      <x:c r="U31" t="s">
        <x:v>33</x:v>
      </x:c>
      <x:c r="V31" t="s">
        <x:v>26</x:v>
      </x:c>
      <x:c r="W31" s="15">
        <x:v>20</x:v>
      </x:c>
      <x:c r="X31" s="16" t="s">
        <x:v>94</x:v>
      </x:c>
    </x:row>
    <x:row r="32" ht="18">
      <x:c r="A32" s="11" t="s">
        <x:v>191</x:v>
      </x:c>
      <x:c r="B32" s="3">
        <x:v>55.45</x:v>
      </x:c>
      <x:c r="C32" s="5">
        <x:v>96.602000000000004</x:v>
      </x:c>
      <x:c r="D32" s="5">
        <x:f t="shared" si="1"/>
        <x:v>41.152000000000001</x:v>
      </x:c>
      <x:c r="E32" t="s">
        <x:v>192</x:v>
      </x:c>
      <x:c r="F32" t="s">
        <x:v>26</x:v>
      </x:c>
      <x:c r="G32" t="s">
        <x:v>193</x:v>
      </x:c>
      <x:c r="H32" t="s">
        <x:v>194</x:v>
      </x:c>
      <x:c r="I32" s="15"/>
      <x:c r="J32" s="15"/>
      <x:c r="K32" s="15"/>
      <x:c r="L32" s="18"/>
      <x:c r="N32" s="18"/>
      <x:c r="P32" s="18"/>
      <x:c r="V32" t="s">
        <x:v>53</x:v>
      </x:c>
      <x:c r="W32" s="15">
        <x:v>1</x:v>
      </x:c>
      <x:c r="X32" s="16" t="s">
        <x:v>195</x:v>
      </x:c>
    </x:row>
    <x:row r="33" ht="18">
      <x:c r="A33" s="11" t="s">
        <x:v>196</x:v>
      </x:c>
      <x:c r="B33" s="3">
        <x:v>33.659999999999997</x:v>
      </x:c>
      <x:c r="C33" s="5">
        <x:v>74.613</x:v>
      </x:c>
      <x:c r="D33" s="5">
        <x:f t="shared" si="1"/>
        <x:v>40.953000000000003</x:v>
      </x:c>
      <x:c r="E33" t="s">
        <x:v>43</x:v>
      </x:c>
      <x:c r="F33" t="s">
        <x:v>26</x:v>
      </x:c>
      <x:c r="G33" t="s">
        <x:v>197</x:v>
      </x:c>
      <x:c r="H33" t="s">
        <x:v>198</x:v>
      </x:c>
      <x:c r="I33" s="15">
        <x:v>19</x:v>
      </x:c>
      <x:c r="J33" s="15">
        <x:v>16</x:v>
      </x:c>
      <x:c r="K33" s="15">
        <x:v>16</x:v>
      </x:c>
      <x:c r="L33" s="18">
        <x:v>65.400000000000006</x:v>
      </x:c>
      <x:c r="M33" t="s">
        <x:v>29</x:v>
      </x:c>
      <x:c r="N33" s="18">
        <x:v>66</x:v>
      </x:c>
      <x:c r="O33" t="s">
        <x:v>29</x:v>
      </x:c>
      <x:c r="P33" s="18">
        <x:v>42.990141126051128</x:v>
      </x:c>
      <x:c r="Q33" t="s">
        <x:v>29</x:v>
      </x:c>
      <x:c r="R33" t="s">
        <x:v>199</x:v>
      </x:c>
      <x:c r="S33" t="s">
        <x:v>200</x:v>
      </x:c>
      <x:c r="T33" t="s">
        <x:v>32</x:v>
      </x:c>
      <x:c r="U33" t="s">
        <x:v>33</x:v>
      </x:c>
      <x:c r="V33" t="s">
        <x:v>26</x:v>
      </x:c>
      <x:c r="W33" s="15">
        <x:v>19.504000000000001</x:v>
      </x:c>
      <x:c r="X33" s="16" t="s">
        <x:v>201</x:v>
      </x:c>
    </x:row>
    <x:row r="34" ht="18">
      <x:c r="A34" s="11" t="s">
        <x:v>202</x:v>
      </x:c>
      <x:c r="B34" s="3">
        <x:v>44.6</x:v>
      </x:c>
      <x:c r="C34" s="5">
        <x:v>84.347999999999999</x:v>
      </x:c>
      <x:c r="D34" s="5">
        <x:f t="shared" si="1"/>
        <x:v>39.747999999999998</x:v>
      </x:c>
      <x:c r="E34" t="s">
        <x:v>192</x:v>
      </x:c>
      <x:c r="F34" t="s">
        <x:v>26</x:v>
      </x:c>
      <x:c r="G34" t="s">
        <x:v>203</x:v>
      </x:c>
      <x:c r="H34" t="s">
        <x:v>204</x:v>
      </x:c>
      <x:c r="I34" s="15">
        <x:v>23</x:v>
      </x:c>
      <x:c r="J34" s="15">
        <x:v>19</x:v>
      </x:c>
      <x:c r="K34" s="15">
        <x:v>18</x:v>
      </x:c>
      <x:c r="L34" s="18">
        <x:v>52.5</x:v>
      </x:c>
      <x:c r="M34" t="s">
        <x:v>29</x:v>
      </x:c>
      <x:c r="N34" s="18">
        <x:v>53</x:v>
      </x:c>
      <x:c r="O34" t="s">
        <x:v>29</x:v>
      </x:c>
      <x:c r="P34" s="18">
        <x:v>48.501697680673068</x:v>
      </x:c>
      <x:c r="Q34" t="s">
        <x:v>29</x:v>
      </x:c>
      <x:c r="R34" t="s">
        <x:v>46</x:v>
      </x:c>
      <x:c r="S34" t="s">
        <x:v>205</x:v>
      </x:c>
      <x:c r="T34" t="s">
        <x:v>32</x:v>
      </x:c>
      <x:c r="U34" t="s">
        <x:v>33</x:v>
      </x:c>
      <x:c r="V34" t="s">
        <x:v>26</x:v>
      </x:c>
      <x:c r="W34" s="15">
        <x:v>1</x:v>
      </x:c>
      <x:c r="X34" s="16" t="s">
        <x:v>195</x:v>
      </x:c>
    </x:row>
    <x:row r="35" ht="18">
      <x:c r="A35" s="11" t="s">
        <x:v>206</x:v>
      </x:c>
      <x:c r="B35" s="3">
        <x:v>44.42</x:v>
      </x:c>
      <x:c r="C35" s="5">
        <x:v>84.128</x:v>
      </x:c>
      <x:c r="D35" s="5">
        <x:f t="shared" si="1"/>
        <x:v>39.707999999999998</x:v>
      </x:c>
      <x:c r="E35" t="s">
        <x:v>192</x:v>
      </x:c>
      <x:c r="F35" t="s">
        <x:v>26</x:v>
      </x:c>
      <x:c r="G35" t="s">
        <x:v>207</x:v>
      </x:c>
      <x:c r="H35" t="s">
        <x:v>208</x:v>
      </x:c>
      <x:c r="I35" s="15">
        <x:v>25</x:v>
      </x:c>
      <x:c r="J35" s="15">
        <x:v>21</x:v>
      </x:c>
      <x:c r="K35" s="15">
        <x:v>17</x:v>
      </x:c>
      <x:c r="L35" s="18">
        <x:v>55.3</x:v>
      </x:c>
      <x:c r="M35" t="s">
        <x:v>29</x:v>
      </x:c>
      <x:c r="N35" s="18">
        <x:v>56</x:v>
      </x:c>
      <x:c r="O35" t="s">
        <x:v>29</x:v>
      </x:c>
      <x:c r="P35" s="18">
        <x:v>47.619848631933557</x:v>
      </x:c>
      <x:c r="Q35" t="s">
        <x:v>29</x:v>
      </x:c>
      <x:c r="R35" t="s">
        <x:v>102</x:v>
      </x:c>
      <x:c r="S35" t="s">
        <x:v>209</x:v>
      </x:c>
      <x:c r="T35" t="s">
        <x:v>32</x:v>
      </x:c>
      <x:c r="U35" t="s">
        <x:v>33</x:v>
      </x:c>
      <x:c r="V35" t="s">
        <x:v>26</x:v>
      </x:c>
      <x:c r="W35" s="15">
        <x:v>1</x:v>
      </x:c>
      <x:c r="X35" s="16" t="s">
        <x:v>195</x:v>
      </x:c>
    </x:row>
    <x:row r="36" ht="18">
      <x:c r="A36" s="11" t="s">
        <x:v>210</x:v>
      </x:c>
      <x:c r="B36" s="3">
        <x:v>23.47</x:v>
      </x:c>
      <x:c r="C36" s="5">
        <x:v>62.710999999999999</x:v>
      </x:c>
      <x:c r="D36" s="5">
        <x:f t="shared" si="1"/>
        <x:v>39.241</x:v>
      </x:c>
      <x:c r="E36" t="s">
        <x:v>70</x:v>
      </x:c>
      <x:c r="F36" t="s">
        <x:v>26</x:v>
      </x:c>
      <x:c r="G36" t="s">
        <x:v>211</x:v>
      </x:c>
      <x:c r="H36" t="s">
        <x:v>212</x:v>
      </x:c>
      <x:c r="I36" s="15">
        <x:v>23</x:v>
      </x:c>
      <x:c r="J36" s="15">
        <x:v>22</x:v>
      </x:c>
      <x:c r="K36" s="15">
        <x:v>17</x:v>
      </x:c>
      <x:c r="L36" s="18">
        <x:v>73.7</x:v>
      </x:c>
      <x:c r="M36" t="s">
        <x:v>29</x:v>
      </x:c>
      <x:c r="N36" s="18">
        <x:v>74</x:v>
      </x:c>
      <x:c r="O36" t="s">
        <x:v>29</x:v>
      </x:c>
      <x:c r="P36" s="18">
        <x:v>42.990141126051128</x:v>
      </x:c>
      <x:c r="Q36" t="s">
        <x:v>29</x:v>
      </x:c>
      <x:c r="R36" t="s">
        <x:v>213</x:v>
      </x:c>
      <x:c r="S36" t="s">
        <x:v>214</x:v>
      </x:c>
      <x:c r="T36" t="s">
        <x:v>32</x:v>
      </x:c>
      <x:c r="U36" t="s">
        <x:v>33</x:v>
      </x:c>
      <x:c r="V36" t="s">
        <x:v>26</x:v>
      </x:c>
      <x:c r="W36" s="15">
        <x:v>19.504000000000001</x:v>
      </x:c>
      <x:c r="X36" s="16" t="s">
        <x:v>201</x:v>
      </x:c>
    </x:row>
    <x:row r="37" ht="18">
      <x:c r="A37" s="11" t="s">
        <x:v>215</x:v>
      </x:c>
      <x:c r="B37" s="3">
        <x:v>34.54</x:v>
      </x:c>
      <x:c r="C37" s="5">
        <x:v>71.995000000000005</x:v>
      </x:c>
      <x:c r="D37" s="5">
        <x:f t="shared" si="1"/>
        <x:v>37.455000000000005</x:v>
      </x:c>
      <x:c r="E37" t="s">
        <x:v>216</x:v>
      </x:c>
      <x:c r="F37" t="s">
        <x:v>26</x:v>
      </x:c>
      <x:c r="G37" t="s">
        <x:v>217</x:v>
      </x:c>
      <x:c r="H37" t="s">
        <x:v>218</x:v>
      </x:c>
      <x:c r="I37" s="15"/>
      <x:c r="J37" s="15"/>
      <x:c r="K37" s="15"/>
      <x:c r="L37" s="18"/>
      <x:c r="N37" s="18"/>
      <x:c r="P37" s="18"/>
      <x:c r="V37" t="s">
        <x:v>53</x:v>
      </x:c>
      <x:c r="W37" s="15">
        <x:v>20</x:v>
      </x:c>
      <x:c r="X37" s="16" t="s">
        <x:v>94</x:v>
      </x:c>
    </x:row>
    <x:row r="38" ht="18">
      <x:c r="A38" s="11" t="s">
        <x:v>219</x:v>
      </x:c>
      <x:c r="B38" s="3">
        <x:v>34.6</x:v>
      </x:c>
      <x:c r="C38" s="5">
        <x:v>71.686999999999998</x:v>
      </x:c>
      <x:c r="D38" s="5">
        <x:f t="shared" si="1"/>
        <x:v>37.086999999999996</x:v>
      </x:c>
      <x:c r="E38" t="s">
        <x:v>216</x:v>
      </x:c>
      <x:c r="F38" t="s">
        <x:v>26</x:v>
      </x:c>
      <x:c r="G38" t="s">
        <x:v>220</x:v>
      </x:c>
      <x:c r="H38" t="s">
        <x:v>221</x:v>
      </x:c>
      <x:c r="I38" s="15">
        <x:v>30</x:v>
      </x:c>
      <x:c r="J38" s="15">
        <x:v>18</x:v>
      </x:c>
      <x:c r="K38" s="15">
        <x:v>7</x:v>
      </x:c>
      <x:c r="L38" s="18">
        <x:v>50.8</x:v>
      </x:c>
      <x:c r="M38" t="s">
        <x:v>29</x:v>
      </x:c>
      <x:c r="N38" s="18">
        <x:v>51</x:v>
      </x:c>
      <x:c r="O38" t="s">
        <x:v>29</x:v>
      </x:c>
      <x:c r="P38" s="18">
        <x:v>44.092452436975513</x:v>
      </x:c>
      <x:c r="Q38" t="s">
        <x:v>29</x:v>
      </x:c>
      <x:c r="R38" t="s">
        <x:v>39</x:v>
      </x:c>
      <x:c r="S38" t="s">
        <x:v>222</x:v>
      </x:c>
      <x:c r="T38" t="s">
        <x:v>32</x:v>
      </x:c>
      <x:c r="U38" t="s">
        <x:v>33</x:v>
      </x:c>
      <x:c r="V38" t="s">
        <x:v>26</x:v>
      </x:c>
      <x:c r="W38" s="15">
        <x:v>20</x:v>
      </x:c>
      <x:c r="X38" s="16" t="s">
        <x:v>94</x:v>
      </x:c>
    </x:row>
    <x:row r="39" ht="18">
      <x:c r="A39" s="11" t="s">
        <x:v>223</x:v>
      </x:c>
      <x:c r="B39" s="3">
        <x:v>30.61</x:v>
      </x:c>
      <x:c r="C39" s="5">
        <x:v>67.165999999999997</x:v>
      </x:c>
      <x:c r="D39" s="5">
        <x:f t="shared" si="1"/>
        <x:v>36.555999999999997</x:v>
      </x:c>
      <x:c r="E39" t="s">
        <x:v>63</x:v>
      </x:c>
      <x:c r="F39" t="s">
        <x:v>26</x:v>
      </x:c>
      <x:c r="G39" t="s">
        <x:v>224</x:v>
      </x:c>
      <x:c r="H39" t="s">
        <x:v>225</x:v>
      </x:c>
      <x:c r="I39" s="15">
        <x:v>19</x:v>
      </x:c>
      <x:c r="J39" s="15">
        <x:v>17</x:v>
      </x:c>
      <x:c r="K39" s="15">
        <x:v>14</x:v>
      </x:c>
      <x:c r="L39" s="18">
        <x:v>59.1</x:v>
      </x:c>
      <x:c r="M39" t="s">
        <x:v>29</x:v>
      </x:c>
      <x:c r="N39" s="18">
        <x:v>60</x:v>
      </x:c>
      <x:c r="O39" t="s">
        <x:v>29</x:v>
      </x:c>
      <x:c r="P39" s="18">
        <x:v>47.994634477647843</x:v>
      </x:c>
      <x:c r="Q39" t="s">
        <x:v>29</x:v>
      </x:c>
      <x:c r="R39" t="s">
        <x:v>226</x:v>
      </x:c>
      <x:c r="S39" t="s">
        <x:v>227</x:v>
      </x:c>
      <x:c r="T39" t="s">
        <x:v>32</x:v>
      </x:c>
      <x:c r="U39" t="s">
        <x:v>33</x:v>
      </x:c>
      <x:c r="V39" t="s">
        <x:v>26</x:v>
      </x:c>
      <x:c r="W39" s="15">
        <x:v>21.771999999999998</x:v>
      </x:c>
      <x:c r="X39" s="16" t="s">
        <x:v>169</x:v>
      </x:c>
    </x:row>
    <x:row r="40" ht="18">
      <x:c r="A40" s="11" t="s">
        <x:v>228</x:v>
      </x:c>
      <x:c r="B40" s="3">
        <x:v>36.700000000000003</x:v>
      </x:c>
      <x:c r="C40" s="5">
        <x:v>71.972999999999999</x:v>
      </x:c>
      <x:c r="D40" s="5">
        <x:f t="shared" si="1"/>
        <x:v>35.272999999999996</x:v>
      </x:c>
      <x:c r="E40" t="s">
        <x:v>192</x:v>
      </x:c>
      <x:c r="F40" t="s">
        <x:v>26</x:v>
      </x:c>
      <x:c r="G40" t="s">
        <x:v>229</x:v>
      </x:c>
      <x:c r="H40" t="s">
        <x:v>230</x:v>
      </x:c>
      <x:c r="I40" s="15"/>
      <x:c r="J40" s="15"/>
      <x:c r="K40" s="15"/>
      <x:c r="L40" s="18"/>
      <x:c r="N40" s="18"/>
      <x:c r="P40" s="18"/>
      <x:c r="V40" t="s">
        <x:v>53</x:v>
      </x:c>
      <x:c r="W40" s="15">
        <x:v>1</x:v>
      </x:c>
      <x:c r="X40" s="16" t="s">
        <x:v>231</x:v>
      </x:c>
    </x:row>
    <x:row r="41" ht="18">
      <x:c r="A41" s="11" t="s">
        <x:v>232</x:v>
      </x:c>
      <x:c r="B41" s="3">
        <x:v>36.630000000000003</x:v>
      </x:c>
      <x:c r="C41" s="5">
        <x:v>71.543999999999997</x:v>
      </x:c>
      <x:c r="D41" s="5">
        <x:f t="shared" si="1"/>
        <x:v>34.913999999999994</x:v>
      </x:c>
      <x:c r="E41" t="s">
        <x:v>216</x:v>
      </x:c>
      <x:c r="F41" t="s">
        <x:v>26</x:v>
      </x:c>
      <x:c r="G41" t="s">
        <x:v>233</x:v>
      </x:c>
      <x:c r="H41" t="s">
        <x:v>234</x:v>
      </x:c>
      <x:c r="I41" s="15">
        <x:v>76</x:v>
      </x:c>
      <x:c r="J41" s="15">
        <x:v>46</x:v>
      </x:c>
      <x:c r="K41" s="15">
        <x:v>20</x:v>
      </x:c>
      <x:c r="L41" s="18">
        <x:v>51</x:v>
      </x:c>
      <x:c r="M41" t="s">
        <x:v>29</x:v>
      </x:c>
      <x:c r="N41" s="18">
        <x:v>51</x:v>
      </x:c>
      <x:c r="O41" t="s">
        <x:v>29</x:v>
      </x:c>
      <x:c r="P41" s="18">
        <x:v>47.399386369748676</x:v>
      </x:c>
      <x:c r="Q41" t="s">
        <x:v>29</x:v>
      </x:c>
      <x:c r="R41" t="s">
        <x:v>73</x:v>
      </x:c>
      <x:c r="S41" t="s">
        <x:v>235</x:v>
      </x:c>
      <x:c r="T41" t="s">
        <x:v>32</x:v>
      </x:c>
      <x:c r="U41" t="s">
        <x:v>33</x:v>
      </x:c>
      <x:c r="V41" t="s">
        <x:v>26</x:v>
      </x:c>
      <x:c r="W41" s="15">
        <x:v>21.5</x:v>
      </x:c>
      <x:c r="X41" s="16" t="s">
        <x:v>236</x:v>
      </x:c>
    </x:row>
    <x:row r="42" ht="18">
      <x:c r="A42" s="11" t="s">
        <x:v>237</x:v>
      </x:c>
      <x:c r="B42" s="3">
        <x:v>37.69</x:v>
      </x:c>
      <x:c r="C42" s="5">
        <x:v>72.138000000000005</x:v>
      </x:c>
      <x:c r="D42" s="5">
        <x:f t="shared" si="1"/>
        <x:v>34.448000000000008</x:v>
      </x:c>
      <x:c r="F42" t="s">
        <x:v>26</x:v>
      </x:c>
      <x:c r="H42" t="s">
        <x:v>238</x:v>
      </x:c>
      <x:c r="I42" s="15">
        <x:v>30</x:v>
      </x:c>
      <x:c r="J42" s="15">
        <x:v>19</x:v>
      </x:c>
      <x:c r="K42" s="15">
        <x:v>8</x:v>
      </x:c>
      <x:c r="L42" s="18">
        <x:v>51.1</x:v>
      </x:c>
      <x:c r="M42" t="s">
        <x:v>29</x:v>
      </x:c>
      <x:c r="N42" s="18">
        <x:v>52</x:v>
      </x:c>
      <x:c r="O42" t="s">
        <x:v>29</x:v>
      </x:c>
      <x:c r="P42" s="18">
        <x:v>44.092452436975513</x:v>
      </x:c>
      <x:c r="Q42" t="s">
        <x:v>29</x:v>
      </x:c>
      <x:c r="R42" t="s">
        <x:v>239</x:v>
      </x:c>
      <x:c r="S42" t="s">
        <x:v>240</x:v>
      </x:c>
      <x:c r="T42" t="s">
        <x:v>32</x:v>
      </x:c>
      <x:c r="U42" t="s">
        <x:v>33</x:v>
      </x:c>
      <x:c r="V42" t="s">
        <x:v>26</x:v>
      </x:c>
      <x:c r="W42" s="15">
        <x:v>20</x:v>
      </x:c>
      <x:c r="X42" s="16" t="s">
        <x:v>94</x:v>
      </x:c>
    </x:row>
    <x:row r="43" ht="18">
      <x:c r="A43" s="11" t="s">
        <x:v>241</x:v>
      </x:c>
      <x:c r="B43" s="3">
        <x:v>22.58</x:v>
      </x:c>
      <x:c r="C43" s="5">
        <x:v>55.363</x:v>
      </x:c>
      <x:c r="D43" s="5">
        <x:f t="shared" si="1"/>
        <x:v>32.783000000000001</x:v>
      </x:c>
      <x:c r="E43" t="s">
        <x:v>82</x:v>
      </x:c>
      <x:c r="F43" t="s">
        <x:v>26</x:v>
      </x:c>
      <x:c r="G43" t="s">
        <x:v>242</x:v>
      </x:c>
      <x:c r="H43" t="s">
        <x:v>243</x:v>
      </x:c>
      <x:c r="I43" s="15">
        <x:v>16</x:v>
      </x:c>
      <x:c r="J43" s="15">
        <x:v>16</x:v>
      </x:c>
      <x:c r="K43" s="15">
        <x:v>12</x:v>
      </x:c>
      <x:c r="L43" s="18">
        <x:v>29.7</x:v>
      </x:c>
      <x:c r="M43" t="s">
        <x:v>29</x:v>
      </x:c>
      <x:c r="N43" s="18">
        <x:v>30</x:v>
      </x:c>
      <x:c r="O43" t="s">
        <x:v>29</x:v>
      </x:c>
      <x:c r="P43" s="18">
        <x:v>25.353160151260919</x:v>
      </x:c>
      <x:c r="Q43" t="s">
        <x:v>29</x:v>
      </x:c>
      <x:c r="R43" t="s">
        <x:v>39</x:v>
      </x:c>
      <x:c r="S43" t="s">
        <x:v>244</x:v>
      </x:c>
      <x:c r="T43" t="s">
        <x:v>32</x:v>
      </x:c>
      <x:c r="U43" t="s">
        <x:v>33</x:v>
      </x:c>
      <x:c r="V43" t="s">
        <x:v>26</x:v>
      </x:c>
      <x:c r="W43" s="15">
        <x:v>1</x:v>
      </x:c>
      <x:c r="X43" s="16" t="s">
        <x:v>245</x:v>
      </x:c>
    </x:row>
    <x:row r="44" ht="18">
      <x:c r="A44" s="11" t="s">
        <x:v>246</x:v>
      </x:c>
      <x:c r="B44" s="3">
        <x:v>23.88</x:v>
      </x:c>
      <x:c r="C44" s="5">
        <x:v>56.243000000000002</x:v>
      </x:c>
      <x:c r="D44" s="5">
        <x:f t="shared" si="1"/>
        <x:v>32.363</x:v>
      </x:c>
      <x:c r="E44" t="s">
        <x:v>187</x:v>
      </x:c>
      <x:c r="F44" t="s">
        <x:v>26</x:v>
      </x:c>
      <x:c r="G44" t="s">
        <x:v>247</x:v>
      </x:c>
      <x:c r="H44" t="s">
        <x:v>248</x:v>
      </x:c>
      <x:c r="I44" s="15">
        <x:v>31</x:v>
      </x:c>
      <x:c r="J44" s="15">
        <x:v>19</x:v>
      </x:c>
      <x:c r="K44" s="15">
        <x:v>8</x:v>
      </x:c>
      <x:c r="L44" s="18">
        <x:v>51.3</x:v>
      </x:c>
      <x:c r="M44" t="s">
        <x:v>29</x:v>
      </x:c>
      <x:c r="N44" s="18">
        <x:v>52</x:v>
      </x:c>
      <x:c r="O44" t="s">
        <x:v>29</x:v>
      </x:c>
      <x:c r="P44" s="18">
        <x:v>44.092452436975513</x:v>
      </x:c>
      <x:c r="Q44" t="s">
        <x:v>29</x:v>
      </x:c>
      <x:c r="R44" t="s">
        <x:v>92</x:v>
      </x:c>
      <x:c r="S44" t="s">
        <x:v>249</x:v>
      </x:c>
      <x:c r="T44" t="s">
        <x:v>32</x:v>
      </x:c>
      <x:c r="U44" t="s">
        <x:v>33</x:v>
      </x:c>
      <x:c r="V44" t="s">
        <x:v>26</x:v>
      </x:c>
      <x:c r="W44" s="15">
        <x:v>20</x:v>
      </x:c>
      <x:c r="X44" s="16" t="s">
        <x:v>94</x:v>
      </x:c>
    </x:row>
    <x:row r="45" ht="18">
      <x:c r="A45" s="11" t="s">
        <x:v>250</x:v>
      </x:c>
      <x:c r="B45" s="3">
        <x:v>73.150000000000006</x:v>
      </x:c>
      <x:c r="C45" s="5">
        <x:v>104.544</x:v>
      </x:c>
      <x:c r="D45" s="5">
        <x:f t="shared" si="1"/>
        <x:v>31.393999999999991</x:v>
      </x:c>
      <x:c r="E45" t="s">
        <x:v>138</x:v>
      </x:c>
      <x:c r="F45" t="s">
        <x:v>26</x:v>
      </x:c>
      <x:c r="G45" t="s">
        <x:v>251</x:v>
      </x:c>
      <x:c r="H45" t="s">
        <x:v>252</x:v>
      </x:c>
      <x:c r="I45" s="15">
        <x:v>27</x:v>
      </x:c>
      <x:c r="J45" s="15">
        <x:v>22</x:v>
      </x:c>
      <x:c r="K45" s="15">
        <x:v>17</x:v>
      </x:c>
      <x:c r="L45" s="18">
        <x:v>99.9</x:v>
      </x:c>
      <x:c r="M45" t="s">
        <x:v>29</x:v>
      </x:c>
      <x:c r="N45" s="18">
        <x:v>100</x:v>
      </x:c>
      <x:c r="O45" t="s">
        <x:v>29</x:v>
      </x:c>
      <x:c r="P45" s="18">
        <x:v>59.987781540505189</x:v>
      </x:c>
      <x:c r="Q45" t="s">
        <x:v>29</x:v>
      </x:c>
      <x:c r="R45" t="s">
        <x:v>39</x:v>
      </x:c>
      <x:c r="S45" t="s">
        <x:v>253</x:v>
      </x:c>
      <x:c r="T45" t="s">
        <x:v>32</x:v>
      </x:c>
      <x:c r="U45" t="s">
        <x:v>33</x:v>
      </x:c>
      <x:c r="V45" t="s">
        <x:v>26</x:v>
      </x:c>
      <x:c r="W45" s="15">
        <x:v>27.216000000000001</x:v>
      </x:c>
      <x:c r="X45" s="16" t="s">
        <x:v>254</x:v>
      </x:c>
    </x:row>
    <x:row r="46" ht="18">
      <x:c r="A46" s="11" t="s">
        <x:v>255</x:v>
      </x:c>
      <x:c r="B46" s="3">
        <x:v>23.02</x:v>
      </x:c>
      <x:c r="C46" s="5">
        <x:v>53.933</x:v>
      </x:c>
      <x:c r="D46" s="5">
        <x:f t="shared" si="1"/>
        <x:v>30.913</x:v>
      </x:c>
      <x:c r="E46" t="s">
        <x:v>82</x:v>
      </x:c>
      <x:c r="F46" t="s">
        <x:v>26</x:v>
      </x:c>
      <x:c r="G46" t="s">
        <x:v>256</x:v>
      </x:c>
      <x:c r="H46" t="s">
        <x:v>257</x:v>
      </x:c>
      <x:c r="I46" s="15">
        <x:v>16</x:v>
      </x:c>
      <x:c r="J46" s="15">
        <x:v>16</x:v>
      </x:c>
      <x:c r="K46" s="15">
        <x:v>12</x:v>
      </x:c>
      <x:c r="L46" s="18">
        <x:v>28.4</x:v>
      </x:c>
      <x:c r="M46" t="s">
        <x:v>29</x:v>
      </x:c>
      <x:c r="N46" s="18">
        <x:v>29</x:v>
      </x:c>
      <x:c r="O46" t="s">
        <x:v>29</x:v>
      </x:c>
      <x:c r="P46" s="18">
        <x:v>26.455471462185308</x:v>
      </x:c>
      <x:c r="Q46" t="s">
        <x:v>29</x:v>
      </x:c>
      <x:c r="R46" t="s">
        <x:v>199</x:v>
      </x:c>
      <x:c r="S46" t="s">
        <x:v>258</x:v>
      </x:c>
      <x:c r="T46" t="s">
        <x:v>32</x:v>
      </x:c>
      <x:c r="U46" t="s">
        <x:v>33</x:v>
      </x:c>
      <x:c r="V46" t="s">
        <x:v>26</x:v>
      </x:c>
      <x:c r="W46" s="15">
        <x:v>1</x:v>
      </x:c>
      <x:c r="X46" s="16" t="s">
        <x:v>245</x:v>
      </x:c>
    </x:row>
    <x:row r="47" ht="18">
      <x:c r="A47" s="11" t="s">
        <x:v>259</x:v>
      </x:c>
      <x:c r="B47" s="3">
        <x:v>21.67</x:v>
      </x:c>
      <x:c r="C47" s="5">
        <x:v>51.216000000000001</x:v>
      </x:c>
      <x:c r="D47" s="5">
        <x:f t="shared" si="1"/>
        <x:v>29.545999999999999</x:v>
      </x:c>
      <x:c r="E47" t="s">
        <x:v>82</x:v>
      </x:c>
      <x:c r="F47" t="s">
        <x:v>26</x:v>
      </x:c>
      <x:c r="G47" t="s">
        <x:v>260</x:v>
      </x:c>
      <x:c r="H47" t="s">
        <x:v>261</x:v>
      </x:c>
      <x:c r="I47" s="15">
        <x:v>15</x:v>
      </x:c>
      <x:c r="J47" s="15">
        <x:v>13</x:v>
      </x:c>
      <x:c r="K47" s="15">
        <x:v>11</x:v>
      </x:c>
      <x:c r="L47" s="18">
        <x:v>26.4</x:v>
      </x:c>
      <x:c r="M47" t="s">
        <x:v>29</x:v>
      </x:c>
      <x:c r="N47" s="18">
        <x:v>27</x:v>
      </x:c>
      <x:c r="O47" t="s">
        <x:v>29</x:v>
      </x:c>
      <x:c r="P47" s="18">
        <x:v>25.000420531765116</x:v>
      </x:c>
      <x:c r="Q47" t="s">
        <x:v>29</x:v>
      </x:c>
      <x:c r="R47" t="s">
        <x:v>92</x:v>
      </x:c>
      <x:c r="S47" t="s">
        <x:v>262</x:v>
      </x:c>
      <x:c r="T47" t="s">
        <x:v>32</x:v>
      </x:c>
      <x:c r="U47" t="s">
        <x:v>33</x:v>
      </x:c>
      <x:c r="V47" t="s">
        <x:v>26</x:v>
      </x:c>
      <x:c r="W47" s="15">
        <x:v>11.34</x:v>
      </x:c>
      <x:c r="X47" s="16" t="s">
        <x:v>87</x:v>
      </x:c>
    </x:row>
    <x:row r="48" ht="18">
      <x:c r="A48" s="11" t="s">
        <x:v>263</x:v>
      </x:c>
      <x:c r="B48" s="3">
        <x:v>23.15</x:v>
      </x:c>
      <x:c r="C48" s="5">
        <x:v>52.14</x:v>
      </x:c>
      <x:c r="D48" s="5">
        <x:f t="shared" si="1"/>
        <x:v>28.990000000000002</x:v>
      </x:c>
      <x:c r="E48" t="s">
        <x:v>82</x:v>
      </x:c>
      <x:c r="F48" t="s">
        <x:v>26</x:v>
      </x:c>
      <x:c r="G48" t="s">
        <x:v>264</x:v>
      </x:c>
      <x:c r="H48" t="s">
        <x:v>265</x:v>
      </x:c>
      <x:c r="I48" s="15"/>
      <x:c r="J48" s="15"/>
      <x:c r="K48" s="15"/>
      <x:c r="L48" s="18"/>
      <x:c r="N48" s="18"/>
      <x:c r="P48" s="18"/>
      <x:c r="V48" t="s">
        <x:v>53</x:v>
      </x:c>
      <x:c r="W48" s="15">
        <x:v>1</x:v>
      </x:c>
      <x:c r="X48" s="16" t="s">
        <x:v>245</x:v>
      </x:c>
    </x:row>
    <x:row r="49" ht="18">
      <x:c r="A49" s="11" t="s">
        <x:v>266</x:v>
      </x:c>
      <x:c r="B49" s="3">
        <x:v>113.73</x:v>
      </x:c>
      <x:c r="C49" s="5">
        <x:v>142.64400000000001</x:v>
      </x:c>
      <x:c r="D49" s="5">
        <x:f t="shared" si="1"/>
        <x:v>28.914000000000001</x:v>
      </x:c>
      <x:c r="F49" t="s">
        <x:v>53</x:v>
      </x:c>
      <x:c r="I49" s="15">
        <x:v>69</x:v>
      </x:c>
      <x:c r="J49" s="15">
        <x:v>51</x:v>
      </x:c>
      <x:c r="K49" s="15">
        <x:v>51</x:v>
      </x:c>
      <x:c r="L49" s="18">
        <x:v>97.7</x:v>
      </x:c>
      <x:c r="M49" t="s">
        <x:v>29</x:v>
      </x:c>
      <x:c r="N49" s="18">
        <x:v>98</x:v>
      </x:c>
      <x:c r="O49" t="s">
        <x:v>29</x:v>
      </x:c>
      <x:c r="P49" s="18">
        <x:v>65.984355071933862</x:v>
      </x:c>
      <x:c r="Q49" t="s">
        <x:v>29</x:v>
      </x:c>
      <x:c r="R49" t="s">
        <x:v>32</x:v>
      </x:c>
      <x:c r="S49" t="s">
        <x:v>33</x:v>
      </x:c>
      <x:c r="T49" t="s">
        <x:v>66</x:v>
      </x:c>
      <x:c r="U49" t="s">
        <x:v>267</x:v>
      </x:c>
      <x:c r="V49" t="s">
        <x:v>26</x:v>
      </x:c>
      <x:c r="W49" s="15"/>
      <x:c r="X49" s="16"/>
    </x:row>
    <x:row r="50" ht="18">
      <x:c r="A50" s="11" t="s">
        <x:v>268</x:v>
      </x:c>
      <x:c r="B50" s="3">
        <x:v>21.9</x:v>
      </x:c>
      <x:c r="C50" s="5">
        <x:v>49.158999999999999</x:v>
      </x:c>
      <x:c r="D50" s="5">
        <x:f t="shared" si="1"/>
        <x:v>27.259</x:v>
      </x:c>
      <x:c r="E50" t="s">
        <x:v>82</x:v>
      </x:c>
      <x:c r="F50" t="s">
        <x:v>26</x:v>
      </x:c>
      <x:c r="G50" t="s">
        <x:v>269</x:v>
      </x:c>
      <x:c r="H50" t="s">
        <x:v>270</x:v>
      </x:c>
      <x:c r="I50" s="15">
        <x:v>41</x:v>
      </x:c>
      <x:c r="J50" s="15">
        <x:v>41</x:v>
      </x:c>
      <x:c r="K50" s="15">
        <x:v>28</x:v>
      </x:c>
      <x:c r="L50" s="18">
        <x:v>29.7</x:v>
      </x:c>
      <x:c r="M50" t="s">
        <x:v>29</x:v>
      </x:c>
      <x:c r="N50" s="18">
        <x:v>30</x:v>
      </x:c>
      <x:c r="O50" t="s">
        <x:v>29</x:v>
      </x:c>
      <x:c r="P50" s="18">
        <x:v>27.182996927395404</x:v>
      </x:c>
      <x:c r="Q50" t="s">
        <x:v>29</x:v>
      </x:c>
      <x:c r="R50" t="s">
        <x:v>59</x:v>
      </x:c>
      <x:c r="S50" t="s">
        <x:v>271</x:v>
      </x:c>
      <x:c r="T50" t="s">
        <x:v>32</x:v>
      </x:c>
      <x:c r="U50" t="s">
        <x:v>33</x:v>
      </x:c>
      <x:c r="V50" t="s">
        <x:v>26</x:v>
      </x:c>
      <x:c r="W50" s="15">
        <x:v>12.337999999999999</x:v>
      </x:c>
      <x:c r="X50" s="16" t="s">
        <x:v>158</x:v>
      </x:c>
    </x:row>
    <x:row r="51" ht="18">
      <x:c r="A51" s="11" t="s">
        <x:v>272</x:v>
      </x:c>
      <x:c r="B51" s="3">
        <x:v>52.56</x:v>
      </x:c>
      <x:c r="C51" s="5">
        <x:v>78.968999999999994</x:v>
      </x:c>
      <x:c r="D51" s="5">
        <x:f t="shared" si="1"/>
        <x:v>26.408999999999992</x:v>
      </x:c>
      <x:c r="F51" t="s">
        <x:v>53</x:v>
      </x:c>
      <x:c r="I51" s="15">
        <x:v>35</x:v>
      </x:c>
      <x:c r="J51" s="15">
        <x:v>33</x:v>
      </x:c>
      <x:c r="K51" s="15">
        <x:v>5</x:v>
      </x:c>
      <x:c r="L51" s="18"/>
      <x:c r="N51" s="18">
        <x:v>41</x:v>
      </x:c>
      <x:c r="O51" t="s">
        <x:v>29</x:v>
      </x:c>
      <x:c r="P51" s="18">
        <x:v>41.005980766387232</x:v>
      </x:c>
      <x:c r="Q51" t="s">
        <x:v>29</x:v>
      </x:c>
      <x:c r="R51" t="s">
        <x:v>46</x:v>
      </x:c>
      <x:c r="S51" t="s">
        <x:v>273</x:v>
      </x:c>
      <x:c r="T51" t="s">
        <x:v>213</x:v>
      </x:c>
      <x:c r="U51" t="s">
        <x:v>274</x:v>
      </x:c>
      <x:c r="V51" t="s">
        <x:v>26</x:v>
      </x:c>
      <x:c r="W51" s="15">
        <x:v>18.600000000000001</x:v>
      </x:c>
      <x:c r="X51" s="16" t="s">
        <x:v>275</x:v>
      </x:c>
    </x:row>
    <x:row r="52" ht="18">
      <x:c r="A52" s="11" t="s">
        <x:v>276</x:v>
      </x:c>
      <x:c r="B52" s="3">
        <x:v>24.44</x:v>
      </x:c>
      <x:c r="C52" s="5">
        <x:v>49.94</x:v>
      </x:c>
      <x:c r="D52" s="5">
        <x:f t="shared" si="1"/>
        <x:v>25.499999999999996</x:v>
      </x:c>
      <x:c r="E52" t="s">
        <x:v>149</x:v>
      </x:c>
      <x:c r="F52" t="s">
        <x:v>26</x:v>
      </x:c>
      <x:c r="G52" t="s">
        <x:v>277</x:v>
      </x:c>
      <x:c r="H52" t="s">
        <x:v>278</x:v>
      </x:c>
      <x:c r="I52" s="15">
        <x:v>15</x:v>
      </x:c>
      <x:c r="J52" s="15">
        <x:v>15</x:v>
      </x:c>
      <x:c r="K52" s="15">
        <x:v>11</x:v>
      </x:c>
      <x:c r="L52" s="18">
        <x:v>25.7</x:v>
      </x:c>
      <x:c r="M52" t="s">
        <x:v>29</x:v>
      </x:c>
      <x:c r="N52" s="18">
        <x:v>26</x:v>
      </x:c>
      <x:c r="O52" t="s">
        <x:v>29</x:v>
      </x:c>
      <x:c r="P52" s="18">
        <x:v>22.487150742857512</x:v>
      </x:c>
      <x:c r="Q52" t="s">
        <x:v>29</x:v>
      </x:c>
      <x:c r="R52" t="s">
        <x:v>102</x:v>
      </x:c>
      <x:c r="S52" t="s">
        <x:v>279</x:v>
      </x:c>
      <x:c r="T52" t="s">
        <x:v>32</x:v>
      </x:c>
      <x:c r="U52" t="s">
        <x:v>33</x:v>
      </x:c>
      <x:c r="V52" t="s">
        <x:v>26</x:v>
      </x:c>
      <x:c r="W52" s="15">
        <x:v>1</x:v>
      </x:c>
      <x:c r="X52" s="16" t="s">
        <x:v>280</x:v>
      </x:c>
    </x:row>
    <x:row r="53" ht="18">
      <x:c r="A53" s="11" t="s">
        <x:v>281</x:v>
      </x:c>
      <x:c r="B53" s="3">
        <x:v>25.79</x:v>
      </x:c>
      <x:c r="C53" s="5">
        <x:v>50.423999999999999</x:v>
      </x:c>
      <x:c r="D53" s="5">
        <x:f t="shared" si="1"/>
        <x:v>24.634</x:v>
      </x:c>
      <x:c r="E53" t="s">
        <x:v>282</x:v>
      </x:c>
      <x:c r="F53" t="s">
        <x:v>26</x:v>
      </x:c>
      <x:c r="G53" t="s">
        <x:v>283</x:v>
      </x:c>
      <x:c r="H53" t="s">
        <x:v>284</x:v>
      </x:c>
      <x:c r="I53" s="15"/>
      <x:c r="J53" s="15"/>
      <x:c r="K53" s="15"/>
      <x:c r="L53" s="18"/>
      <x:c r="N53" s="18"/>
      <x:c r="P53" s="18"/>
      <x:c r="V53" t="s">
        <x:v>53</x:v>
      </x:c>
      <x:c r="W53" s="15">
        <x:v>1</x:v>
      </x:c>
      <x:c r="X53" s="16" t="s">
        <x:v>285</x:v>
      </x:c>
    </x:row>
    <x:row r="54" ht="18">
      <x:c r="A54" s="11" t="s">
        <x:v>286</x:v>
      </x:c>
      <x:c r="B54" s="3">
        <x:v>19.690000000000001</x:v>
      </x:c>
      <x:c r="C54" s="5">
        <x:v>44.209000000000003</x:v>
      </x:c>
      <x:c r="D54" s="5">
        <x:f t="shared" si="1"/>
        <x:v>24.519000000000002</x:v>
      </x:c>
      <x:c r="E54" t="s">
        <x:v>287</x:v>
      </x:c>
      <x:c r="F54" t="s">
        <x:v>26</x:v>
      </x:c>
      <x:c r="G54" t="s">
        <x:v>288</x:v>
      </x:c>
      <x:c r="H54" t="s">
        <x:v>289</x:v>
      </x:c>
      <x:c r="I54" s="15">
        <x:v>17</x:v>
      </x:c>
      <x:c r="J54" s="15">
        <x:v>13</x:v>
      </x:c>
      <x:c r="K54" s="15">
        <x:v>10</x:v>
      </x:c>
      <x:c r="L54" s="18">
        <x:v>13</x:v>
      </x:c>
      <x:c r="M54" t="s">
        <x:v>29</x:v>
      </x:c>
      <x:c r="N54" s="18">
        <x:v>16</x:v>
      </x:c>
      <x:c r="O54" t="s">
        <x:v>29</x:v>
      </x:c>
      <x:c r="P54" s="18">
        <x:v>9.9869404769749544</x:v>
      </x:c>
      <x:c r="Q54" t="s">
        <x:v>29</x:v>
      </x:c>
      <x:c r="R54" t="s">
        <x:v>290</x:v>
      </x:c>
      <x:c r="S54" t="s">
        <x:v>291</x:v>
      </x:c>
      <x:c r="T54" t="s">
        <x:v>32</x:v>
      </x:c>
      <x:c r="U54" t="s">
        <x:v>33</x:v>
      </x:c>
      <x:c r="V54" t="s">
        <x:v>26</x:v>
      </x:c>
      <x:c r="W54" s="15">
        <x:v>4.5359999999999996</x:v>
      </x:c>
      <x:c r="X54" s="16" t="s">
        <x:v>292</x:v>
      </x:c>
    </x:row>
    <x:row r="55" ht="18">
      <x:c r="A55" s="11" t="s">
        <x:v>293</x:v>
      </x:c>
      <x:c r="B55" s="3">
        <x:v>20.190000000000001</x:v>
      </x:c>
      <x:c r="C55" s="5">
        <x:v>43.01</x:v>
      </x:c>
      <x:c r="D55" s="5">
        <x:f t="shared" si="1"/>
        <x:v>22.819999999999997</x:v>
      </x:c>
      <x:c r="E55" t="s">
        <x:v>282</x:v>
      </x:c>
      <x:c r="F55" t="s">
        <x:v>26</x:v>
      </x:c>
      <x:c r="G55" t="s">
        <x:v>294</x:v>
      </x:c>
      <x:c r="H55" t="s">
        <x:v>295</x:v>
      </x:c>
      <x:c r="I55" s="15">
        <x:v>39</x:v>
      </x:c>
      <x:c r="J55" s="15">
        <x:v>29</x:v>
      </x:c>
      <x:c r="K55" s="15">
        <x:v>5</x:v>
      </x:c>
      <x:c r="L55" s="18">
        <x:v>35.200000000000003</x:v>
      </x:c>
      <x:c r="M55" t="s">
        <x:v>29</x:v>
      </x:c>
      <x:c r="N55" s="18">
        <x:v>40</x:v>
      </x:c>
      <x:c r="O55" t="s">
        <x:v>29</x:v>
      </x:c>
      <x:c r="P55" s="18">
        <x:v>30.864716705882859</x:v>
      </x:c>
      <x:c r="Q55" t="s">
        <x:v>29</x:v>
      </x:c>
      <x:c r="R55" t="s">
        <x:v>92</x:v>
      </x:c>
      <x:c r="S55" t="s">
        <x:v>296</x:v>
      </x:c>
      <x:c r="T55" t="s">
        <x:v>32</x:v>
      </x:c>
      <x:c r="U55" t="s">
        <x:v>33</x:v>
      </x:c>
      <x:c r="V55" t="s">
        <x:v>26</x:v>
      </x:c>
      <x:c r="W55" s="15">
        <x:v>1</x:v>
      </x:c>
      <x:c r="X55" s="16" t="s">
        <x:v>285</x:v>
      </x:c>
    </x:row>
    <x:row r="56" ht="18">
      <x:c r="A56" s="11" t="s">
        <x:v>297</x:v>
      </x:c>
      <x:c r="B56" s="3">
        <x:v>59.67</x:v>
      </x:c>
      <x:c r="C56" s="5">
        <x:v>82.313000000000002</x:v>
      </x:c>
      <x:c r="D56" s="5">
        <x:f t="shared" si="1"/>
        <x:v>22.643000000000001</x:v>
      </x:c>
      <x:c r="E56" t="s">
        <x:v>192</x:v>
      </x:c>
      <x:c r="F56" t="s">
        <x:v>26</x:v>
      </x:c>
      <x:c r="G56" t="s">
        <x:v>298</x:v>
      </x:c>
      <x:c r="H56" t="s">
        <x:v>299</x:v>
      </x:c>
      <x:c r="I56" s="15">
        <x:v>28</x:v>
      </x:c>
      <x:c r="J56" s="15">
        <x:v>25</x:v>
      </x:c>
      <x:c r="K56" s="15">
        <x:v>21</x:v>
      </x:c>
      <x:c r="L56" s="18">
        <x:v>67.099999999999994</x:v>
      </x:c>
      <x:c r="M56" t="s">
        <x:v>29</x:v>
      </x:c>
      <x:c r="N56" s="18">
        <x:v>89</x:v>
      </x:c>
      <x:c r="O56" t="s">
        <x:v>29</x:v>
      </x:c>
      <x:c r="P56" s="18">
        <x:v>64.992274892101904</x:v>
      </x:c>
      <x:c r="Q56" t="s">
        <x:v>29</x:v>
      </x:c>
      <x:c r="R56" t="s">
        <x:v>300</x:v>
      </x:c>
      <x:c r="S56" t="s">
        <x:v>301</x:v>
      </x:c>
      <x:c r="T56" t="s">
        <x:v>32</x:v>
      </x:c>
      <x:c r="U56" t="s">
        <x:v>33</x:v>
      </x:c>
      <x:c r="V56" t="s">
        <x:v>26</x:v>
      </x:c>
      <x:c r="W56" s="15">
        <x:v>29.484000000000002</x:v>
      </x:c>
      <x:c r="X56" s="16" t="s">
        <x:v>302</x:v>
      </x:c>
    </x:row>
    <x:row r="57" ht="18">
      <x:c r="A57" s="11" t="s">
        <x:v>303</x:v>
      </x:c>
      <x:c r="B57" s="3">
        <x:v>149.24</x:v>
      </x:c>
      <x:c r="C57" s="5">
        <x:v>171.77600000000001</x:v>
      </x:c>
      <x:c r="D57" s="5">
        <x:f t="shared" si="1"/>
        <x:v>22.536000000000001</x:v>
      </x:c>
      <x:c r="E57" t="s">
        <x:v>43</x:v>
      </x:c>
      <x:c r="F57" t="s">
        <x:v>26</x:v>
      </x:c>
      <x:c r="G57" t="s">
        <x:v>304</x:v>
      </x:c>
      <x:c r="H57" t="s">
        <x:v>305</x:v>
      </x:c>
      <x:c r="I57" s="15">
        <x:v>49</x:v>
      </x:c>
      <x:c r="J57" s="15">
        <x:v>40</x:v>
      </x:c>
      <x:c r="K57" s="15">
        <x:v>39</x:v>
      </x:c>
      <x:c r="L57" s="18">
        <x:v>64.900000000000006</x:v>
      </x:c>
      <x:c r="M57" t="s">
        <x:v>29</x:v>
      </x:c>
      <x:c r="N57" s="18">
        <x:v>65</x:v>
      </x:c>
      <x:c r="O57" t="s">
        <x:v>29</x:v>
      </x:c>
      <x:c r="P57" s="18">
        <x:v>66.138678655463266</x:v>
      </x:c>
      <x:c r="Q57" t="s">
        <x:v>29</x:v>
      </x:c>
      <x:c r="R57" t="s">
        <x:v>39</x:v>
      </x:c>
      <x:c r="S57" t="s">
        <x:v>306</x:v>
      </x:c>
      <x:c r="T57" t="s">
        <x:v>32</x:v>
      </x:c>
      <x:c r="U57" t="s">
        <x:v>33</x:v>
      </x:c>
      <x:c r="V57" t="s">
        <x:v>26</x:v>
      </x:c>
      <x:c r="W57" s="15" t="s">
        <x:v>307</x:v>
      </x:c>
      <x:c r="X57" s="16" t="s">
        <x:v>308</x:v>
      </x:c>
    </x:row>
    <x:row r="58" ht="18">
      <x:c r="A58" s="11" t="s">
        <x:v>309</x:v>
      </x:c>
      <x:c r="B58" s="3">
        <x:v>35.03</x:v>
      </x:c>
      <x:c r="C58" s="5">
        <x:v>57.453000000000003</x:v>
      </x:c>
      <x:c r="D58" s="5">
        <x:f t="shared" si="1"/>
        <x:v>22.423000000000002</x:v>
      </x:c>
      <x:c r="E58" t="s">
        <x:v>82</x:v>
      </x:c>
      <x:c r="F58" t="s">
        <x:v>26</x:v>
      </x:c>
      <x:c r="G58" t="s">
        <x:v>310</x:v>
      </x:c>
      <x:c r="H58" t="s">
        <x:v>311</x:v>
      </x:c>
      <x:c r="I58" s="15">
        <x:v>23</x:v>
      </x:c>
      <x:c r="J58" s="15">
        <x:v>22</x:v>
      </x:c>
      <x:c r="K58" s="15">
        <x:v>17</x:v>
      </x:c>
      <x:c r="L58" s="18">
        <x:v>37.799999999999997</x:v>
      </x:c>
      <x:c r="M58" t="s">
        <x:v>29</x:v>
      </x:c>
      <x:c r="N58" s="18">
        <x:v>52</x:v>
      </x:c>
      <x:c r="O58" t="s">
        <x:v>29</x:v>
      </x:c>
      <x:c r="P58" s="18">
        <x:v>26.455471462185308</x:v>
      </x:c>
      <x:c r="Q58" t="s">
        <x:v>29</x:v>
      </x:c>
      <x:c r="R58" t="s">
        <x:v>46</x:v>
      </x:c>
      <x:c r="S58" t="s">
        <x:v>312</x:v>
      </x:c>
      <x:c r="T58" t="s">
        <x:v>32</x:v>
      </x:c>
      <x:c r="U58" t="s">
        <x:v>33</x:v>
      </x:c>
      <x:c r="V58" t="s">
        <x:v>26</x:v>
      </x:c>
      <x:c r="W58" s="15">
        <x:v>1</x:v>
      </x:c>
      <x:c r="X58" s="16" t="s">
        <x:v>245</x:v>
      </x:c>
    </x:row>
    <x:row r="59" ht="18">
      <x:c r="A59" s="11" t="s">
        <x:v>313</x:v>
      </x:c>
      <x:c r="B59" s="3">
        <x:v>24.39</x:v>
      </x:c>
      <x:c r="C59" s="5">
        <x:v>46.683999999999997</x:v>
      </x:c>
      <x:c r="D59" s="5">
        <x:f t="shared" si="1"/>
        <x:v>22.293999999999997</x:v>
      </x:c>
      <x:c r="E59" t="s">
        <x:v>149</x:v>
      </x:c>
      <x:c r="F59" t="s">
        <x:v>26</x:v>
      </x:c>
      <x:c r="G59" t="s">
        <x:v>314</x:v>
      </x:c>
      <x:c r="H59" t="s">
        <x:v>315</x:v>
      </x:c>
      <x:c r="I59" s="15">
        <x:v>16</x:v>
      </x:c>
      <x:c r="J59" s="15">
        <x:v>16</x:v>
      </x:c>
      <x:c r="K59" s="15">
        <x:v>12</x:v>
      </x:c>
      <x:c r="L59" s="18">
        <x:v>26.8</x:v>
      </x:c>
      <x:c r="M59" t="s">
        <x:v>29</x:v>
      </x:c>
      <x:c r="N59" s="18">
        <x:v>27</x:v>
      </x:c>
      <x:c r="O59" t="s">
        <x:v>29</x:v>
      </x:c>
      <x:c r="P59" s="18">
        <x:v>22.487150742857512</x:v>
      </x:c>
      <x:c r="Q59" t="s">
        <x:v>29</x:v>
      </x:c>
      <x:c r="R59" t="s">
        <x:v>102</x:v>
      </x:c>
      <x:c r="S59" t="s">
        <x:v>316</x:v>
      </x:c>
      <x:c r="T59" t="s">
        <x:v>32</x:v>
      </x:c>
      <x:c r="U59" t="s">
        <x:v>33</x:v>
      </x:c>
      <x:c r="V59" t="s">
        <x:v>26</x:v>
      </x:c>
      <x:c r="W59" s="15">
        <x:v>10.206</x:v>
      </x:c>
      <x:c r="X59" s="16" t="s">
        <x:v>317</x:v>
      </x:c>
    </x:row>
    <x:row r="60" ht="18">
      <x:c r="A60" s="11" t="s">
        <x:v>318</x:v>
      </x:c>
      <x:c r="B60" s="3">
        <x:v>11.82</x:v>
      </x:c>
      <x:c r="C60" s="5">
        <x:v>33.92</x:v>
      </x:c>
      <x:c r="D60" s="5">
        <x:f t="shared" si="1"/>
        <x:v>22.1</x:v>
      </x:c>
      <x:c r="E60" t="s">
        <x:v>319</x:v>
      </x:c>
      <x:c r="F60" t="s">
        <x:v>26</x:v>
      </x:c>
      <x:c r="G60" t="s">
        <x:v>320</x:v>
      </x:c>
      <x:c r="H60" t="s">
        <x:v>321</x:v>
      </x:c>
      <x:c r="I60" s="15"/>
      <x:c r="J60" s="15"/>
      <x:c r="K60" s="15"/>
      <x:c r="L60" s="18"/>
      <x:c r="N60" s="18"/>
      <x:c r="P60" s="18"/>
      <x:c r="V60" t="s">
        <x:v>53</x:v>
      </x:c>
      <x:c r="W60" s="15">
        <x:v>1</x:v>
      </x:c>
      <x:c r="X60" s="16" t="s">
        <x:v>322</x:v>
      </x:c>
    </x:row>
    <x:row r="61" ht="18">
      <x:c r="A61" s="11" t="s">
        <x:v>323</x:v>
      </x:c>
      <x:c r="B61" s="3">
        <x:v>70.66</x:v>
      </x:c>
      <x:c r="C61" s="5">
        <x:v>92.444000000000003</x:v>
      </x:c>
      <x:c r="D61" s="5">
        <x:f t="shared" si="1"/>
        <x:v>21.784000000000006</x:v>
      </x:c>
      <x:c r="E61" t="s">
        <x:v>324</x:v>
      </x:c>
      <x:c r="F61" t="s">
        <x:v>26</x:v>
      </x:c>
      <x:c r="G61" t="s">
        <x:v>325</x:v>
      </x:c>
      <x:c r="H61" t="s">
        <x:v>326</x:v>
      </x:c>
      <x:c r="I61" s="15"/>
      <x:c r="J61" s="15"/>
      <x:c r="K61" s="15"/>
      <x:c r="L61" s="18"/>
      <x:c r="N61" s="18"/>
      <x:c r="P61" s="18"/>
      <x:c r="V61" t="s">
        <x:v>53</x:v>
      </x:c>
      <x:c r="W61" s="15">
        <x:v>1</x:v>
      </x:c>
      <x:c r="X61" s="16" t="s">
        <x:v>327</x:v>
      </x:c>
    </x:row>
    <x:row r="62" ht="18">
      <x:c r="A62" s="11" t="s">
        <x:v>328</x:v>
      </x:c>
      <x:c r="B62" s="3">
        <x:v>74.260000000000005</x:v>
      </x:c>
      <x:c r="C62" s="5">
        <x:v>95.204999999999998</x:v>
      </x:c>
      <x:c r="D62" s="5">
        <x:f t="shared" si="1"/>
        <x:v>20.944999999999993</x:v>
      </x:c>
      <x:c r="E62" t="s">
        <x:v>99</x:v>
      </x:c>
      <x:c r="F62" t="s">
        <x:v>26</x:v>
      </x:c>
      <x:c r="G62" t="s">
        <x:v>329</x:v>
      </x:c>
      <x:c r="I62" s="15">
        <x:v>27</x:v>
      </x:c>
      <x:c r="J62" s="15">
        <x:v>20</x:v>
      </x:c>
      <x:c r="K62" s="15">
        <x:v>20</x:v>
      </x:c>
      <x:c r="L62" s="18">
        <x:v>100</x:v>
      </x:c>
      <x:c r="M62" t="s">
        <x:v>29</x:v>
      </x:c>
      <x:c r="N62" s="18">
        <x:v>101</x:v>
      </x:c>
      <x:c r="O62" t="s">
        <x:v>29</x:v>
      </x:c>
      <x:c r="P62" s="18">
        <x:v>83.775659630253472</x:v>
      </x:c>
      <x:c r="Q62" t="s">
        <x:v>29</x:v>
      </x:c>
      <x:c r="R62" t="s">
        <x:v>92</x:v>
      </x:c>
      <x:c r="S62" t="s">
        <x:v>296</x:v>
      </x:c>
      <x:c r="T62" t="s">
        <x:v>32</x:v>
      </x:c>
      <x:c r="U62" t="s">
        <x:v>33</x:v>
      </x:c>
      <x:c r="V62" t="s">
        <x:v>26</x:v>
      </x:c>
      <x:c r="W62" s="15">
        <x:v>1</x:v>
      </x:c>
      <x:c r="X62" s="16" t="s">
        <x:v>330</x:v>
      </x:c>
    </x:row>
    <x:row r="63" ht="18">
      <x:c r="A63" s="11" t="s">
        <x:v>331</x:v>
      </x:c>
      <x:c r="B63" s="3">
        <x:v>74.260000000000005</x:v>
      </x:c>
      <x:c r="C63" s="5">
        <x:v>94.765000000000001</x:v>
      </x:c>
      <x:c r="D63" s="5">
        <x:f t="shared" si="1"/>
        <x:v>20.504999999999995</x:v>
      </x:c>
      <x:c r="E63" t="s">
        <x:v>99</x:v>
      </x:c>
      <x:c r="F63" t="s">
        <x:v>26</x:v>
      </x:c>
      <x:c r="G63" t="s">
        <x:v>332</x:v>
      </x:c>
      <x:c r="H63" t="s">
        <x:v>295</x:v>
      </x:c>
      <x:c r="I63" s="15">
        <x:v>27</x:v>
      </x:c>
      <x:c r="J63" s="15">
        <x:v>20</x:v>
      </x:c>
      <x:c r="K63" s="15">
        <x:v>20</x:v>
      </x:c>
      <x:c r="L63" s="18">
        <x:v>99.7</x:v>
      </x:c>
      <x:c r="M63" t="s">
        <x:v>29</x:v>
      </x:c>
      <x:c r="N63" s="18">
        <x:v>100</x:v>
      </x:c>
      <x:c r="O63" t="s">
        <x:v>29</x:v>
      </x:c>
      <x:c r="P63" s="18">
        <x:v>83.775659630253472</x:v>
      </x:c>
      <x:c r="Q63" t="s">
        <x:v>29</x:v>
      </x:c>
      <x:c r="R63" t="s">
        <x:v>92</x:v>
      </x:c>
      <x:c r="S63" t="s">
        <x:v>296</x:v>
      </x:c>
      <x:c r="T63" t="s">
        <x:v>32</x:v>
      </x:c>
      <x:c r="U63" t="s">
        <x:v>33</x:v>
      </x:c>
      <x:c r="V63" t="s">
        <x:v>26</x:v>
      </x:c>
      <x:c r="W63" s="15">
        <x:v>1</x:v>
      </x:c>
      <x:c r="X63" s="16" t="s">
        <x:v>330</x:v>
      </x:c>
    </x:row>
    <x:row r="64" ht="18">
      <x:c r="A64" s="11" t="s">
        <x:v>333</x:v>
      </x:c>
      <x:c r="B64" s="3">
        <x:v>74.260000000000005</x:v>
      </x:c>
      <x:c r="C64" s="5">
        <x:v>94.765000000000001</x:v>
      </x:c>
      <x:c r="D64" s="5">
        <x:f t="shared" si="1"/>
        <x:v>20.504999999999995</x:v>
      </x:c>
      <x:c r="E64" t="s">
        <x:v>99</x:v>
      </x:c>
      <x:c r="F64" t="s">
        <x:v>26</x:v>
      </x:c>
      <x:c r="G64" t="s">
        <x:v>334</x:v>
      </x:c>
      <x:c r="I64" s="15">
        <x:v>27</x:v>
      </x:c>
      <x:c r="J64" s="15">
        <x:v>21</x:v>
      </x:c>
      <x:c r="K64" s="15">
        <x:v>20</x:v>
      </x:c>
      <x:c r="L64" s="18">
        <x:v>99.6</x:v>
      </x:c>
      <x:c r="M64" t="s">
        <x:v>29</x:v>
      </x:c>
      <x:c r="N64" s="18">
        <x:v>100</x:v>
      </x:c>
      <x:c r="O64" t="s">
        <x:v>29</x:v>
      </x:c>
      <x:c r="P64" s="18">
        <x:v>83.775659630253472</x:v>
      </x:c>
      <x:c r="Q64" t="s">
        <x:v>29</x:v>
      </x:c>
      <x:c r="R64" t="s">
        <x:v>92</x:v>
      </x:c>
      <x:c r="S64" t="s">
        <x:v>296</x:v>
      </x:c>
      <x:c r="T64" t="s">
        <x:v>32</x:v>
      </x:c>
      <x:c r="U64" t="s">
        <x:v>33</x:v>
      </x:c>
      <x:c r="V64" t="s">
        <x:v>26</x:v>
      </x:c>
      <x:c r="W64" s="15">
        <x:v>1</x:v>
      </x:c>
      <x:c r="X64" s="16" t="s">
        <x:v>330</x:v>
      </x:c>
    </x:row>
    <x:row r="65" ht="18">
      <x:c r="A65" s="11" t="s">
        <x:v>335</x:v>
      </x:c>
      <x:c r="B65" s="3">
        <x:v>22.56</x:v>
      </x:c>
      <x:c r="C65" s="5">
        <x:v>42.030999999999999</x:v>
      </x:c>
      <x:c r="D65" s="5">
        <x:f t="shared" si="1"/>
        <x:v>19.471</x:v>
      </x:c>
      <x:c r="E65" t="s">
        <x:v>336</x:v>
      </x:c>
      <x:c r="F65" t="s">
        <x:v>26</x:v>
      </x:c>
      <x:c r="G65" t="s">
        <x:v>337</x:v>
      </x:c>
      <x:c r="H65" t="s">
        <x:v>338</x:v>
      </x:c>
      <x:c r="I65" s="15">
        <x:v>64</x:v>
      </x:c>
      <x:c r="J65" s="15">
        <x:v>56</x:v>
      </x:c>
      <x:c r="K65" s="15">
        <x:v>28</x:v>
      </x:c>
      <x:c r="L65" s="18">
        <x:v>43.5</x:v>
      </x:c>
      <x:c r="M65" t="s">
        <x:v>29</x:v>
      </x:c>
      <x:c r="N65" s="18">
        <x:v>44</x:v>
      </x:c>
      <x:c r="O65" t="s">
        <x:v>29</x:v>
      </x:c>
      <x:c r="P65" s="18">
        <x:v>39.991854360336795</x:v>
      </x:c>
      <x:c r="Q65" t="s">
        <x:v>29</x:v>
      </x:c>
      <x:c r="R65" t="s">
        <x:v>213</x:v>
      </x:c>
      <x:c r="S65" t="s">
        <x:v>339</x:v>
      </x:c>
      <x:c r="T65" t="s">
        <x:v>32</x:v>
      </x:c>
      <x:c r="U65" t="s">
        <x:v>33</x:v>
      </x:c>
      <x:c r="V65" t="s">
        <x:v>26</x:v>
      </x:c>
      <x:c r="W65" s="15">
        <x:v>0</x:v>
      </x:c>
      <x:c r="X65" s="16" t="s">
        <x:v>104</x:v>
      </x:c>
    </x:row>
    <x:row r="66" ht="18">
      <x:c r="A66" s="11" t="s">
        <x:v>340</x:v>
      </x:c>
      <x:c r="B66" s="3">
        <x:v>20.38</x:v>
      </x:c>
      <x:c r="C66" s="5">
        <x:v>39.588999999999999</x:v>
      </x:c>
      <x:c r="D66" s="5">
        <x:f t="shared" si="1"/>
        <x:v>19.209</x:v>
      </x:c>
      <x:c r="E66" t="s">
        <x:v>82</x:v>
      </x:c>
      <x:c r="F66" t="s">
        <x:v>26</x:v>
      </x:c>
      <x:c r="G66" t="s">
        <x:v>341</x:v>
      </x:c>
      <x:c r="H66" t="s">
        <x:v>342</x:v>
      </x:c>
      <x:c r="I66" s="15">
        <x:v>15</x:v>
      </x:c>
      <x:c r="J66" s="15">
        <x:v>15</x:v>
      </x:c>
      <x:c r="K66" s="15">
        <x:v>11</x:v>
      </x:c>
      <x:c r="L66" s="18">
        <x:v>27</x:v>
      </x:c>
      <x:c r="M66" t="s">
        <x:v>29</x:v>
      </x:c>
      <x:c r="N66" s="18">
        <x:v>27</x:v>
      </x:c>
      <x:c r="O66" t="s">
        <x:v>29</x:v>
      </x:c>
      <x:c r="P66" s="18">
        <x:v>33.069339327731633</x:v>
      </x:c>
      <x:c r="Q66" t="s">
        <x:v>29</x:v>
      </x:c>
      <x:c r="R66" t="s">
        <x:v>116</x:v>
      </x:c>
      <x:c r="S66" t="s">
        <x:v>343</x:v>
      </x:c>
      <x:c r="T66" t="s">
        <x:v>32</x:v>
      </x:c>
      <x:c r="U66" t="s">
        <x:v>33</x:v>
      </x:c>
      <x:c r="V66" t="s">
        <x:v>26</x:v>
      </x:c>
      <x:c r="W66" s="15">
        <x:v>15</x:v>
      </x:c>
      <x:c r="X66" s="16" t="s">
        <x:v>344</x:v>
      </x:c>
    </x:row>
    <x:row r="67" ht="18">
      <x:c r="A67" s="11" t="s">
        <x:v>345</x:v>
      </x:c>
      <x:c r="B67" s="3">
        <x:v>36.51</x:v>
      </x:c>
      <x:c r="C67" s="5">
        <x:v>55.594000000000001</x:v>
      </x:c>
      <x:c r="D67" s="5" t="n">
        <x:f t="shared" ref="D67:D130" si="2">C67-B67</x:f>
        <x:v>19.084000000000003</x:v>
      </x:c>
      <x:c r="E67" t="s">
        <x:v>50</x:v>
      </x:c>
      <x:c r="F67" t="s">
        <x:v>26</x:v>
      </x:c>
      <x:c r="G67" t="s">
        <x:v>346</x:v>
      </x:c>
      <x:c r="H67" t="s">
        <x:v>347</x:v>
      </x:c>
      <x:c r="I67" s="15">
        <x:v>17</x:v>
      </x:c>
      <x:c r="J67" s="15">
        <x:v>17</x:v>
      </x:c>
      <x:c r="K67" s="15">
        <x:v>16</x:v>
      </x:c>
      <x:c r="L67" s="18">
        <x:v>39.200000000000003</x:v>
      </x:c>
      <x:c r="M67" t="s">
        <x:v>29</x:v>
      </x:c>
      <x:c r="N67" s="18">
        <x:v>40</x:v>
      </x:c>
      <x:c r="O67" t="s">
        <x:v>29</x:v>
      </x:c>
      <x:c r="P67" s="18">
        <x:v>37.985647774454407</x:v>
      </x:c>
      <x:c r="Q67" t="s">
        <x:v>29</x:v>
      </x:c>
      <x:c r="R67" t="s">
        <x:v>46</x:v>
      </x:c>
      <x:c r="S67" t="s">
        <x:v>348</x:v>
      </x:c>
      <x:c r="T67" t="s">
        <x:v>32</x:v>
      </x:c>
      <x:c r="U67" t="s">
        <x:v>33</x:v>
      </x:c>
      <x:c r="V67" t="s">
        <x:v>26</x:v>
      </x:c>
      <x:c r="W67" s="15">
        <x:v>17.236999999999998</x:v>
      </x:c>
      <x:c r="X67" s="16" t="s">
        <x:v>54</x:v>
      </x:c>
    </x:row>
    <x:row r="68" ht="18">
      <x:c r="A68" s="11" t="s">
        <x:v>349</x:v>
      </x:c>
      <x:c r="B68" s="3">
        <x:v>22.55</x:v>
      </x:c>
      <x:c r="C68" s="5">
        <x:v>40.645000000000003</x:v>
      </x:c>
      <x:c r="D68" s="5">
        <x:f t="shared" si="2"/>
        <x:v>18.095000000000002</x:v>
      </x:c>
      <x:c r="E68" t="s">
        <x:v>287</x:v>
      </x:c>
      <x:c r="F68" t="s">
        <x:v>26</x:v>
      </x:c>
      <x:c r="G68" t="s">
        <x:v>350</x:v>
      </x:c>
      <x:c r="H68" t="s">
        <x:v>351</x:v>
      </x:c>
      <x:c r="I68" s="15">
        <x:v>15</x:v>
      </x:c>
      <x:c r="J68" s="15">
        <x:v>11</x:v>
      </x:c>
      <x:c r="K68" s="15">
        <x:v>11</x:v>
      </x:c>
      <x:c r="L68" s="18">
        <x:v>13.1</x:v>
      </x:c>
      <x:c r="M68" t="s">
        <x:v>29</x:v>
      </x:c>
      <x:c r="N68" s="18">
        <x:v>13</x:v>
      </x:c>
      <x:c r="O68" t="s">
        <x:v>29</x:v>
      </x:c>
      <x:c r="P68" s="18">
        <x:v>17.636980974790205</x:v>
      </x:c>
      <x:c r="Q68" t="s">
        <x:v>29</x:v>
      </x:c>
      <x:c r="R68" t="s">
        <x:v>66</x:v>
      </x:c>
      <x:c r="S68" t="s">
        <x:v>352</x:v>
      </x:c>
      <x:c r="T68" t="s">
        <x:v>32</x:v>
      </x:c>
      <x:c r="U68" t="s">
        <x:v>33</x:v>
      </x:c>
      <x:c r="V68" t="s">
        <x:v>26</x:v>
      </x:c>
      <x:c r="W68" s="15">
        <x:v>8</x:v>
      </x:c>
      <x:c r="X68" s="16" t="s">
        <x:v>353</x:v>
      </x:c>
    </x:row>
    <x:row r="69" ht="18">
      <x:c r="A69" s="11" t="s">
        <x:v>354</x:v>
      </x:c>
      <x:c r="B69" s="3">
        <x:v>46.71</x:v>
      </x:c>
      <x:c r="C69" s="5">
        <x:v>64.174000000000007</x:v>
      </x:c>
      <x:c r="D69" s="5">
        <x:f t="shared" si="2"/>
        <x:v>17.464000000000006</x:v>
      </x:c>
      <x:c r="E69" t="s">
        <x:v>50</x:v>
      </x:c>
      <x:c r="F69" t="s">
        <x:v>26</x:v>
      </x:c>
      <x:c r="G69" t="s">
        <x:v>355</x:v>
      </x:c>
      <x:c r="H69" t="s">
        <x:v>356</x:v>
      </x:c>
      <x:c r="I69" s="15">
        <x:v>46</x:v>
      </x:c>
      <x:c r="J69" s="15">
        <x:v>45</x:v>
      </x:c>
      <x:c r="K69" s="15">
        <x:v>34</x:v>
      </x:c>
      <x:c r="L69" s="18">
        <x:v>38.799999999999997</x:v>
      </x:c>
      <x:c r="M69" t="s">
        <x:v>29</x:v>
      </x:c>
      <x:c r="N69" s="18">
        <x:v>39</x:v>
      </x:c>
      <x:c r="O69" t="s">
        <x:v>29</x:v>
      </x:c>
      <x:c r="P69" s="18">
        <x:v>16.534669663865817</x:v>
      </x:c>
      <x:c r="Q69" t="s">
        <x:v>29</x:v>
      </x:c>
      <x:c r="R69" t="s">
        <x:v>357</x:v>
      </x:c>
      <x:c r="S69" t="s">
        <x:v>358</x:v>
      </x:c>
      <x:c r="T69" t="s">
        <x:v>32</x:v>
      </x:c>
      <x:c r="U69" t="s">
        <x:v>33</x:v>
      </x:c>
      <x:c r="V69" t="s">
        <x:v>26</x:v>
      </x:c>
      <x:c r="W69" s="15">
        <x:v>7.5</x:v>
      </x:c>
      <x:c r="X69" s="16" t="s">
        <x:v>359</x:v>
      </x:c>
    </x:row>
    <x:row r="70" ht="18">
      <x:c r="A70" s="11" t="s">
        <x:v>360</x:v>
      </x:c>
      <x:c r="B70" s="3">
        <x:v>27.46</x:v>
      </x:c>
      <x:c r="C70" s="5">
        <x:v>44.692999999999998</x:v>
      </x:c>
      <x:c r="D70" s="5">
        <x:f t="shared" si="2"/>
        <x:v>17.232999999999997</x:v>
      </x:c>
      <x:c r="E70" t="s">
        <x:v>82</x:v>
      </x:c>
      <x:c r="F70" t="s">
        <x:v>26</x:v>
      </x:c>
      <x:c r="G70" t="s">
        <x:v>361</x:v>
      </x:c>
      <x:c r="H70" t="s">
        <x:v>362</x:v>
      </x:c>
      <x:c r="I70" s="15"/>
      <x:c r="J70" s="15"/>
      <x:c r="K70" s="15"/>
      <x:c r="L70" s="18"/>
      <x:c r="N70" s="18"/>
      <x:c r="P70" s="18"/>
      <x:c r="V70" t="s">
        <x:v>53</x:v>
      </x:c>
      <x:c r="W70" s="15">
        <x:v>1</x:v>
      </x:c>
      <x:c r="X70" s="16" t="s">
        <x:v>245</x:v>
      </x:c>
    </x:row>
    <x:row r="71" ht="18">
      <x:c r="A71" s="11" t="s">
        <x:v>363</x:v>
      </x:c>
      <x:c r="B71" s="3">
        <x:v>24.48</x:v>
      </x:c>
      <x:c r="C71" s="5">
        <x:v>41.03</x:v>
      </x:c>
      <x:c r="D71" s="5">
        <x:f t="shared" si="2"/>
        <x:v>16.55</x:v>
      </x:c>
      <x:c r="E71" t="s">
        <x:v>50</x:v>
      </x:c>
      <x:c r="F71" t="s">
        <x:v>26</x:v>
      </x:c>
      <x:c r="G71" t="s">
        <x:v>364</x:v>
      </x:c>
      <x:c r="H71" t="s">
        <x:v>365</x:v>
      </x:c>
      <x:c r="I71" s="15">
        <x:v>19</x:v>
      </x:c>
      <x:c r="J71" s="15">
        <x:v>17</x:v>
      </x:c>
      <x:c r="K71" s="15">
        <x:v>13</x:v>
      </x:c>
      <x:c r="L71" s="18">
        <x:v>42.1</x:v>
      </x:c>
      <x:c r="M71" t="s">
        <x:v>29</x:v>
      </x:c>
      <x:c r="N71" s="18">
        <x:v>43</x:v>
      </x:c>
      <x:c r="O71" t="s">
        <x:v>29</x:v>
      </x:c>
      <x:c r="P71" s="18">
        <x:v>22.994213945882731</x:v>
      </x:c>
      <x:c r="Q71" t="s">
        <x:v>29</x:v>
      </x:c>
      <x:c r="R71" t="s">
        <x:v>102</x:v>
      </x:c>
      <x:c r="S71" t="s">
        <x:v>366</x:v>
      </x:c>
      <x:c r="T71" t="s">
        <x:v>32</x:v>
      </x:c>
      <x:c r="U71" t="s">
        <x:v>33</x:v>
      </x:c>
      <x:c r="V71" t="s">
        <x:v>26</x:v>
      </x:c>
      <x:c r="W71" s="15">
        <x:v>10.433</x:v>
      </x:c>
      <x:c r="X71" s="16" t="s">
        <x:v>367</x:v>
      </x:c>
    </x:row>
    <x:row r="72" ht="18">
      <x:c r="A72" s="11" t="s">
        <x:v>368</x:v>
      </x:c>
      <x:c r="B72" s="3">
        <x:v>46.44</x:v>
      </x:c>
      <x:c r="C72" s="5">
        <x:v>62.853999999999999</x:v>
      </x:c>
      <x:c r="D72" s="5">
        <x:f t="shared" si="2"/>
        <x:v>16.414000000000001</x:v>
      </x:c>
      <x:c r="E72" t="s">
        <x:v>369</x:v>
      </x:c>
      <x:c r="F72" t="s">
        <x:v>26</x:v>
      </x:c>
      <x:c r="G72" t="s">
        <x:v>370</x:v>
      </x:c>
      <x:c r="H72" t="s">
        <x:v>371</x:v>
      </x:c>
      <x:c r="I72" s="15">
        <x:v>32</x:v>
      </x:c>
      <x:c r="J72" s="15">
        <x:v>30</x:v>
      </x:c>
      <x:c r="K72" s="15">
        <x:v>25</x:v>
      </x:c>
      <x:c r="L72" s="18">
        <x:v>12</x:v>
      </x:c>
      <x:c r="M72" t="s">
        <x:v>29</x:v>
      </x:c>
      <x:c r="N72" s="18">
        <x:v>12</x:v>
      </x:c>
      <x:c r="O72" t="s">
        <x:v>29</x:v>
      </x:c>
      <x:c r="P72" s="18">
        <x:v>11.023113109243878</x:v>
      </x:c>
      <x:c r="Q72" t="s">
        <x:v>29</x:v>
      </x:c>
      <x:c r="R72" t="s">
        <x:v>79</x:v>
      </x:c>
      <x:c r="S72" t="s">
        <x:v>372</x:v>
      </x:c>
      <x:c r="T72" t="s">
        <x:v>32</x:v>
      </x:c>
      <x:c r="U72" t="s">
        <x:v>33</x:v>
      </x:c>
      <x:c r="V72" t="s">
        <x:v>26</x:v>
      </x:c>
      <x:c r="W72" s="15" t="s">
        <x:v>373</x:v>
      </x:c>
      <x:c r="X72" s="16" t="s">
        <x:v>374</x:v>
      </x:c>
    </x:row>
    <x:row r="73" ht="18">
      <x:c r="A73" s="11" t="s">
        <x:v>375</x:v>
      </x:c>
      <x:c r="B73" s="3">
        <x:v>20.86</x:v>
      </x:c>
      <x:c r="C73" s="5">
        <x:v>37.18</x:v>
      </x:c>
      <x:c r="D73" s="5">
        <x:f t="shared" si="2"/>
        <x:v>16.32</x:v>
      </x:c>
      <x:c r="E73" t="s">
        <x:v>376</x:v>
      </x:c>
      <x:c r="F73" t="s">
        <x:v>26</x:v>
      </x:c>
      <x:c r="G73" t="s">
        <x:v>377</x:v>
      </x:c>
      <x:c r="H73" t="s">
        <x:v>378</x:v>
      </x:c>
      <x:c r="I73" s="15">
        <x:v>27</x:v>
      </x:c>
      <x:c r="J73" s="15">
        <x:v>20</x:v>
      </x:c>
      <x:c r="K73" s="15">
        <x:v>16</x:v>
      </x:c>
      <x:c r="L73" s="18"/>
      <x:c r="N73" s="18">
        <x:v>52</x:v>
      </x:c>
      <x:c r="O73" t="s">
        <x:v>29</x:v>
      </x:c>
      <x:c r="P73" s="18">
        <x:v>22.994213945882731</x:v>
      </x:c>
      <x:c r="Q73" t="s">
        <x:v>29</x:v>
      </x:c>
      <x:c r="R73" t="s">
        <x:v>92</x:v>
      </x:c>
      <x:c r="S73" t="s">
        <x:v>379</x:v>
      </x:c>
      <x:c r="T73" t="s">
        <x:v>32</x:v>
      </x:c>
      <x:c r="U73" t="s">
        <x:v>33</x:v>
      </x:c>
      <x:c r="V73" t="s">
        <x:v>26</x:v>
      </x:c>
      <x:c r="W73" s="15">
        <x:v>10.433</x:v>
      </x:c>
      <x:c r="X73" s="16" t="s">
        <x:v>380</x:v>
      </x:c>
    </x:row>
    <x:row r="74" ht="18">
      <x:c r="A74" s="11" t="s">
        <x:v>381</x:v>
      </x:c>
      <x:c r="B74" s="3">
        <x:v>110.61</x:v>
      </x:c>
      <x:c r="C74" s="5">
        <x:v>126.91800000000001</x:v>
      </x:c>
      <x:c r="D74" s="5">
        <x:f t="shared" si="2"/>
        <x:v>16.308000000000007</x:v>
      </x:c>
      <x:c r="E74" t="s">
        <x:v>138</x:v>
      </x:c>
      <x:c r="F74" t="s">
        <x:v>26</x:v>
      </x:c>
      <x:c r="G74" t="s">
        <x:v>382</x:v>
      </x:c>
      <x:c r="H74" t="s">
        <x:v>383</x:v>
      </x:c>
      <x:c r="I74" s="15">
        <x:v>27</x:v>
      </x:c>
      <x:c r="J74" s="15">
        <x:v>22</x:v>
      </x:c>
      <x:c r="K74" s="15">
        <x:v>16</x:v>
      </x:c>
      <x:c r="L74" s="18">
        <x:v>99.8</x:v>
      </x:c>
      <x:c r="M74" t="s">
        <x:v>29</x:v>
      </x:c>
      <x:c r="N74" s="18">
        <x:v>100</x:v>
      </x:c>
      <x:c r="O74" t="s">
        <x:v>29</x:v>
      </x:c>
      <x:c r="P74" s="18">
        <x:v>79.98370872067359</x:v>
      </x:c>
      <x:c r="Q74" t="s">
        <x:v>29</x:v>
      </x:c>
      <x:c r="R74" t="s">
        <x:v>46</x:v>
      </x:c>
      <x:c r="S74" t="s">
        <x:v>384</x:v>
      </x:c>
      <x:c r="T74" t="s">
        <x:v>32</x:v>
      </x:c>
      <x:c r="U74" t="s">
        <x:v>33</x:v>
      </x:c>
      <x:c r="V74" t="s">
        <x:v>26</x:v>
      </x:c>
      <x:c r="W74" s="15">
        <x:v>25.401</x:v>
      </x:c>
      <x:c r="X74" s="16" t="s">
        <x:v>385</x:v>
      </x:c>
    </x:row>
    <x:row r="75" ht="18">
      <x:c r="A75" s="11" t="s">
        <x:v>386</x:v>
      </x:c>
      <x:c r="B75" s="3">
        <x:v>27.26</x:v>
      </x:c>
      <x:c r="C75" s="5">
        <x:v>42.856000000000002</x:v>
      </x:c>
      <x:c r="D75" s="5">
        <x:f t="shared" si="2"/>
        <x:v>15.596</x:v>
      </x:c>
      <x:c r="E75" t="s">
        <x:v>387</x:v>
      </x:c>
      <x:c r="F75" t="s">
        <x:v>26</x:v>
      </x:c>
      <x:c r="G75" t="s">
        <x:v>388</x:v>
      </x:c>
      <x:c r="H75" t="s">
        <x:v>389</x:v>
      </x:c>
      <x:c r="I75" s="15">
        <x:v>74</x:v>
      </x:c>
      <x:c r="J75" s="15">
        <x:v>48</x:v>
      </x:c>
      <x:c r="K75" s="15">
        <x:v>20</x:v>
      </x:c>
      <x:c r="L75" s="18">
        <x:v>46.3</x:v>
      </x:c>
      <x:c r="M75" t="s">
        <x:v>29</x:v>
      </x:c>
      <x:c r="N75" s="18">
        <x:v>47</x:v>
      </x:c>
      <x:c r="O75" t="s">
        <x:v>29</x:v>
      </x:c>
      <x:c r="P75" s="18">
        <x:v>5.9965735314286706</x:v>
      </x:c>
      <x:c r="Q75" t="s">
        <x:v>29</x:v>
      </x:c>
      <x:c r="R75" t="s">
        <x:v>146</x:v>
      </x:c>
      <x:c r="S75" t="s">
        <x:v>390</x:v>
      </x:c>
      <x:c r="T75" t="s">
        <x:v>32</x:v>
      </x:c>
      <x:c r="U75" t="s">
        <x:v>33</x:v>
      </x:c>
      <x:c r="V75" t="s">
        <x:v>26</x:v>
      </x:c>
      <x:c r="W75" s="15">
        <x:v>0</x:v>
      </x:c>
      <x:c r="X75" s="16" t="s">
        <x:v>104</x:v>
      </x:c>
    </x:row>
    <x:row r="76" ht="18">
      <x:c r="A76" s="11" t="s">
        <x:v>391</x:v>
      </x:c>
      <x:c r="B76" s="3">
        <x:v>74.12</x:v>
      </x:c>
      <x:c r="C76" s="5">
        <x:v>89.638999999999996</x:v>
      </x:c>
      <x:c r="D76" s="5">
        <x:f t="shared" si="2"/>
        <x:v>15.518999999999991</x:v>
      </x:c>
      <x:c r="E76" t="s">
        <x:v>99</x:v>
      </x:c>
      <x:c r="F76" t="s">
        <x:v>26</x:v>
      </x:c>
      <x:c r="G76" t="s">
        <x:v>392</x:v>
      </x:c>
      <x:c r="H76" t="s">
        <x:v>393</x:v>
      </x:c>
      <x:c r="I76" s="15">
        <x:v>28</x:v>
      </x:c>
      <x:c r="J76" s="15">
        <x:v>20</x:v>
      </x:c>
      <x:c r="K76" s="15">
        <x:v>20</x:v>
      </x:c>
      <x:c r="L76" s="18">
        <x:v>95.5</x:v>
      </x:c>
      <x:c r="M76" t="s">
        <x:v>29</x:v>
      </x:c>
      <x:c r="N76" s="18">
        <x:v>96</x:v>
      </x:c>
      <x:c r="O76" t="s">
        <x:v>29</x:v>
      </x:c>
      <x:c r="P76" s="18">
        <x:v>83.996121892438353</x:v>
      </x:c>
      <x:c r="Q76" t="s">
        <x:v>29</x:v>
      </x:c>
      <x:c r="R76" t="s">
        <x:v>213</x:v>
      </x:c>
      <x:c r="S76" t="s">
        <x:v>394</x:v>
      </x:c>
      <x:c r="T76" t="s">
        <x:v>32</x:v>
      </x:c>
      <x:c r="U76" t="s">
        <x:v>33</x:v>
      </x:c>
      <x:c r="V76" t="s">
        <x:v>26</x:v>
      </x:c>
      <x:c r="W76" s="15">
        <x:v>0</x:v>
      </x:c>
      <x:c r="X76" s="16" t="s">
        <x:v>395</x:v>
      </x:c>
    </x:row>
    <x:row r="77" ht="18">
      <x:c r="A77" s="11" t="s">
        <x:v>396</x:v>
      </x:c>
      <x:c r="B77" s="3">
        <x:v>103.39</x:v>
      </x:c>
      <x:c r="C77" s="5">
        <x:v>117.90900000000001</x:v>
      </x:c>
      <x:c r="D77" s="5">
        <x:f t="shared" si="2"/>
        <x:v>14.519000000000005</x:v>
      </x:c>
      <x:c r="E77" t="s">
        <x:v>138</x:v>
      </x:c>
      <x:c r="F77" t="s">
        <x:v>26</x:v>
      </x:c>
      <x:c r="G77" t="s">
        <x:v>397</x:v>
      </x:c>
      <x:c r="H77" t="s">
        <x:v>398</x:v>
      </x:c>
      <x:c r="I77" s="15"/>
      <x:c r="J77" s="15"/>
      <x:c r="K77" s="15"/>
      <x:c r="L77" s="18"/>
      <x:c r="N77" s="18"/>
      <x:c r="P77" s="18"/>
      <x:c r="V77" t="s">
        <x:v>53</x:v>
      </x:c>
      <x:c r="W77" s="15">
        <x:v>1</x:v>
      </x:c>
      <x:c r="X77" s="16" t="s">
        <x:v>142</x:v>
      </x:c>
    </x:row>
    <x:row r="78" ht="18">
      <x:c r="A78" s="11" t="s">
        <x:v>399</x:v>
      </x:c>
      <x:c r="B78" s="3">
        <x:v>32.22</x:v>
      </x:c>
      <x:c r="C78" s="5">
        <x:v>46.683999999999997</x:v>
      </x:c>
      <x:c r="D78" s="5">
        <x:f t="shared" si="2"/>
        <x:v>14.463999999999999</x:v>
      </x:c>
      <x:c r="E78" t="s">
        <x:v>82</x:v>
      </x:c>
      <x:c r="F78" t="s">
        <x:v>26</x:v>
      </x:c>
      <x:c r="G78" t="s">
        <x:v>400</x:v>
      </x:c>
      <x:c r="H78" t="s">
        <x:v>401</x:v>
      </x:c>
      <x:c r="I78" s="15">
        <x:v>16</x:v>
      </x:c>
      <x:c r="J78" s="15">
        <x:v>13</x:v>
      </x:c>
      <x:c r="K78" s="15">
        <x:v>11</x:v>
      </x:c>
      <x:c r="L78" s="18">
        <x:v>27</x:v>
      </x:c>
      <x:c r="M78" t="s">
        <x:v>29</x:v>
      </x:c>
      <x:c r="N78" s="18">
        <x:v>27</x:v>
      </x:c>
      <x:c r="O78" t="s">
        <x:v>29</x:v>
      </x:c>
      <x:c r="P78" s="18">
        <x:v>25.000420531765116</x:v>
      </x:c>
      <x:c r="Q78" t="s">
        <x:v>29</x:v>
      </x:c>
      <x:c r="R78" t="s">
        <x:v>134</x:v>
      </x:c>
      <x:c r="S78" t="s">
        <x:v>402</x:v>
      </x:c>
      <x:c r="T78" t="s">
        <x:v>32</x:v>
      </x:c>
      <x:c r="U78" t="s">
        <x:v>33</x:v>
      </x:c>
      <x:c r="V78" t="s">
        <x:v>26</x:v>
      </x:c>
      <x:c r="W78" s="15">
        <x:v>11.34</x:v>
      </x:c>
      <x:c r="X78" s="16" t="s">
        <x:v>87</x:v>
      </x:c>
    </x:row>
    <x:row r="79" ht="18">
      <x:c r="A79" s="11" t="s">
        <x:v>403</x:v>
      </x:c>
      <x:c r="B79" s="3">
        <x:v>18.829999999999998</x:v>
      </x:c>
      <x:c r="C79" s="5">
        <x:v>33.176000000000002</x:v>
      </x:c>
      <x:c r="D79" s="5">
        <x:f t="shared" si="2"/>
        <x:v>14.346000000000004</x:v>
      </x:c>
      <x:c r="E79" t="s">
        <x:v>404</x:v>
      </x:c>
      <x:c r="F79" t="s">
        <x:v>26</x:v>
      </x:c>
      <x:c r="G79" t="s">
        <x:v>405</x:v>
      </x:c>
      <x:c r="H79" t="s">
        <x:v>406</x:v>
      </x:c>
      <x:c r="I79" s="15">
        <x:v>22</x:v>
      </x:c>
      <x:c r="J79" s="15">
        <x:v>16</x:v>
      </x:c>
      <x:c r="K79" s="15">
        <x:v>16</x:v>
      </x:c>
      <x:c r="L79" s="18">
        <x:v>18.100000000000001</x:v>
      </x:c>
      <x:c r="M79" t="s">
        <x:v>29</x:v>
      </x:c>
      <x:c r="N79" s="18">
        <x:v>34</x:v>
      </x:c>
      <x:c r="O79" t="s">
        <x:v>29</x:v>
      </x:c>
      <x:c r="P79" s="18">
        <x:v>10.141264060504367</x:v>
      </x:c>
      <x:c r="Q79" t="s">
        <x:v>29</x:v>
      </x:c>
      <x:c r="R79" t="s">
        <x:v>102</x:v>
      </x:c>
      <x:c r="S79" t="s">
        <x:v>407</x:v>
      </x:c>
      <x:c r="T79" t="s">
        <x:v>32</x:v>
      </x:c>
      <x:c r="U79" t="s">
        <x:v>33</x:v>
      </x:c>
      <x:c r="V79" t="s">
        <x:v>26</x:v>
      </x:c>
      <x:c r="W79" s="15">
        <x:v>1</x:v>
      </x:c>
      <x:c r="X79" s="16" t="s">
        <x:v>408</x:v>
      </x:c>
    </x:row>
    <x:row r="80" ht="18">
      <x:c r="A80" s="11" t="s">
        <x:v>409</x:v>
      </x:c>
      <x:c r="B80" s="3">
        <x:v>69.45</x:v>
      </x:c>
      <x:c r="C80" s="5">
        <x:v>82.863</x:v>
      </x:c>
      <x:c r="D80" s="5">
        <x:f t="shared" si="2"/>
        <x:v>13.412999999999997</x:v>
      </x:c>
      <x:c r="E80" t="s">
        <x:v>192</x:v>
      </x:c>
      <x:c r="F80" t="s">
        <x:v>26</x:v>
      </x:c>
      <x:c r="G80" t="s">
        <x:v>410</x:v>
      </x:c>
      <x:c r="H80" t="s">
        <x:v>411</x:v>
      </x:c>
      <x:c r="I80" s="15">
        <x:v>28</x:v>
      </x:c>
      <x:c r="J80" s="15">
        <x:v>25</x:v>
      </x:c>
      <x:c r="K80" s="15">
        <x:v>20</x:v>
      </x:c>
      <x:c r="L80" s="18">
        <x:v>61.3</x:v>
      </x:c>
      <x:c r="M80" t="s">
        <x:v>29</x:v>
      </x:c>
      <x:c r="N80" s="18">
        <x:v>85</x:v>
      </x:c>
      <x:c r="O80" t="s">
        <x:v>29</x:v>
      </x:c>
      <x:c r="P80" s="18">
        <x:v>60.979861720337134</x:v>
      </x:c>
      <x:c r="Q80" t="s">
        <x:v>29</x:v>
      </x:c>
      <x:c r="R80" t="s">
        <x:v>412</x:v>
      </x:c>
      <x:c r="S80" t="s">
        <x:v>413</x:v>
      </x:c>
      <x:c r="T80" t="s">
        <x:v>32</x:v>
      </x:c>
      <x:c r="U80" t="s">
        <x:v>33</x:v>
      </x:c>
      <x:c r="V80" t="s">
        <x:v>26</x:v>
      </x:c>
      <x:c r="W80" s="15">
        <x:v>0</x:v>
      </x:c>
      <x:c r="X80" s="16" t="s">
        <x:v>104</x:v>
      </x:c>
    </x:row>
    <x:row r="81" ht="18">
      <x:c r="A81" s="11" t="s">
        <x:v>414</x:v>
      </x:c>
      <x:c r="B81" s="3">
        <x:v>63.63</x:v>
      </x:c>
      <x:c r="C81" s="5">
        <x:v>76.872</x:v>
      </x:c>
      <x:c r="D81" s="5">
        <x:f t="shared" si="2"/>
        <x:v>13.241999999999997</x:v>
      </x:c>
      <x:c r="F81" t="s">
        <x:v>53</x:v>
      </x:c>
      <x:c r="I81" s="15">
        <x:v>64</x:v>
      </x:c>
      <x:c r="J81" s="15">
        <x:v>56</x:v>
      </x:c>
      <x:c r="K81" s="15">
        <x:v>46</x:v>
      </x:c>
      <x:c r="L81" s="18">
        <x:v>56.2</x:v>
      </x:c>
      <x:c r="M81" t="s">
        <x:v>29</x:v>
      </x:c>
      <x:c r="N81" s="18">
        <x:v>61</x:v>
      </x:c>
      <x:c r="O81" t="s">
        <x:v>29</x:v>
      </x:c>
      <x:c r="P81" s="18">
        <x:v>37.985647774454407</x:v>
      </x:c>
      <x:c r="Q81" t="s">
        <x:v>29</x:v>
      </x:c>
      <x:c r="R81" t="s">
        <x:v>32</x:v>
      </x:c>
      <x:c r="S81" t="s">
        <x:v>33</x:v>
      </x:c>
      <x:c r="T81" t="s">
        <x:v>412</x:v>
      </x:c>
      <x:c r="U81" t="s">
        <x:v>415</x:v>
      </x:c>
      <x:c r="V81" t="s">
        <x:v>26</x:v>
      </x:c>
      <x:c r="W81" s="15"/>
      <x:c r="X81" s="16"/>
    </x:row>
    <x:row r="82" ht="18">
      <x:c r="A82" s="11" t="s">
        <x:v>416</x:v>
      </x:c>
      <x:c r="B82" s="3">
        <x:v>85.53</x:v>
      </x:c>
      <x:c r="C82" s="5">
        <x:v>98.691999999999993</x:v>
      </x:c>
      <x:c r="D82" s="5">
        <x:f t="shared" si="2"/>
        <x:v>13.161999999999992</x:v>
      </x:c>
      <x:c r="E82" t="s">
        <x:v>138</x:v>
      </x:c>
      <x:c r="F82" t="s">
        <x:v>26</x:v>
      </x:c>
      <x:c r="G82" t="s">
        <x:v>417</x:v>
      </x:c>
      <x:c r="H82" t="s">
        <x:v>418</x:v>
      </x:c>
      <x:c r="I82" s="15">
        <x:v>27</x:v>
      </x:c>
      <x:c r="J82" s="15">
        <x:v>22</x:v>
      </x:c>
      <x:c r="K82" s="15">
        <x:v>16</x:v>
      </x:c>
      <x:c r="L82" s="18">
        <x:v>100.5</x:v>
      </x:c>
      <x:c r="M82" t="s">
        <x:v>29</x:v>
      </x:c>
      <x:c r="N82" s="18">
        <x:v>101</x:v>
      </x:c>
      <x:c r="O82" t="s">
        <x:v>29</x:v>
      </x:c>
      <x:c r="P82" s="18">
        <x:v>85.980282252102256</x:v>
      </x:c>
      <x:c r="Q82" t="s">
        <x:v>29</x:v>
      </x:c>
      <x:c r="R82" t="s">
        <x:v>419</x:v>
      </x:c>
      <x:c r="S82" t="s">
        <x:v>420</x:v>
      </x:c>
      <x:c r="T82" t="s">
        <x:v>32</x:v>
      </x:c>
      <x:c r="U82" t="s">
        <x:v>33</x:v>
      </x:c>
      <x:c r="V82" t="s">
        <x:v>26</x:v>
      </x:c>
      <x:c r="W82" s="15">
        <x:v>1</x:v>
      </x:c>
      <x:c r="X82" s="16" t="s">
        <x:v>142</x:v>
      </x:c>
    </x:row>
    <x:row r="83" ht="18">
      <x:c r="A83" s="11" t="s">
        <x:v>421</x:v>
      </x:c>
      <x:c r="B83" s="3">
        <x:v>51.15</x:v>
      </x:c>
      <x:c r="C83" s="5">
        <x:v>64.308000000000007</x:v>
      </x:c>
      <x:c r="D83" s="5">
        <x:f t="shared" si="2"/>
        <x:v>13.158000000000008</x:v>
      </x:c>
      <x:c r="F83" t="s">
        <x:v>53</x:v>
      </x:c>
      <x:c r="I83" s="15">
        <x:v>41</x:v>
      </x:c>
      <x:c r="J83" s="15">
        <x:v>41</x:v>
      </x:c>
      <x:c r="K83" s="15">
        <x:v>30</x:v>
      </x:c>
      <x:c r="L83" s="18">
        <x:v>29.8</x:v>
      </x:c>
      <x:c r="M83" t="s">
        <x:v>29</x:v>
      </x:c>
      <x:c r="N83" s="18">
        <x:v>30</x:v>
      </x:c>
      <x:c r="O83" t="s">
        <x:v>29</x:v>
      </x:c>
      <x:c r="P83" s="18">
        <x:v>20.988007360000342</x:v>
      </x:c>
      <x:c r="Q83" t="s">
        <x:v>29</x:v>
      </x:c>
      <x:c r="R83" t="s">
        <x:v>32</x:v>
      </x:c>
      <x:c r="S83" t="s">
        <x:v>33</x:v>
      </x:c>
      <x:c r="T83" t="s">
        <x:v>422</x:v>
      </x:c>
      <x:c r="U83" t="s">
        <x:v>423</x:v>
      </x:c>
      <x:c r="V83" t="s">
        <x:v>26</x:v>
      </x:c>
      <x:c r="W83" s="15"/>
      <x:c r="X83" s="16"/>
    </x:row>
    <x:row r="84" ht="18">
      <x:c r="A84" s="11" t="s">
        <x:v>424</x:v>
      </x:c>
      <x:c r="B84" s="3">
        <x:v>33.29</x:v>
      </x:c>
      <x:c r="C84" s="5">
        <x:v>46.343000000000004</x:v>
      </x:c>
      <x:c r="D84" s="5">
        <x:f t="shared" si="2"/>
        <x:v>13.053000000000004</x:v>
      </x:c>
      <x:c r="E84" t="s">
        <x:v>149</x:v>
      </x:c>
      <x:c r="F84" t="s">
        <x:v>26</x:v>
      </x:c>
      <x:c r="G84" t="s">
        <x:v>425</x:v>
      </x:c>
      <x:c r="H84" t="s">
        <x:v>426</x:v>
      </x:c>
      <x:c r="I84" s="15">
        <x:v>15</x:v>
      </x:c>
      <x:c r="J84" s="15">
        <x:v>15</x:v>
      </x:c>
      <x:c r="K84" s="15">
        <x:v>11</x:v>
      </x:c>
      <x:c r="L84" s="18">
        <x:v>25.6</x:v>
      </x:c>
      <x:c r="M84" t="s">
        <x:v>29</x:v>
      </x:c>
      <x:c r="N84" s="18">
        <x:v>26</x:v>
      </x:c>
      <x:c r="O84" t="s">
        <x:v>29</x:v>
      </x:c>
      <x:c r="P84" s="18">
        <x:v>16.997640414454061</x:v>
      </x:c>
      <x:c r="Q84" t="s">
        <x:v>29</x:v>
      </x:c>
      <x:c r="R84" t="s">
        <x:v>427</x:v>
      </x:c>
      <x:c r="S84" t="s">
        <x:v>428</x:v>
      </x:c>
      <x:c r="T84" t="s">
        <x:v>32</x:v>
      </x:c>
      <x:c r="U84" t="s">
        <x:v>33</x:v>
      </x:c>
      <x:c r="V84" t="s">
        <x:v>26</x:v>
      </x:c>
      <x:c r="W84" s="15">
        <x:v>7.7110000000000003</x:v>
      </x:c>
      <x:c r="X84" s="16" t="s">
        <x:v>429</x:v>
      </x:c>
    </x:row>
    <x:row r="85" ht="18">
      <x:c r="A85" s="11" t="s">
        <x:v>430</x:v>
      </x:c>
      <x:c r="B85" s="3">
        <x:v>88.81</x:v>
      </x:c>
      <x:c r="C85" s="5">
        <x:v>101.816</x:v>
      </x:c>
      <x:c r="D85" s="5">
        <x:f t="shared" si="2"/>
        <x:v>13.006</x:v>
      </x:c>
      <x:c r="E85" t="s">
        <x:v>99</x:v>
      </x:c>
      <x:c r="F85" t="s">
        <x:v>26</x:v>
      </x:c>
      <x:c r="G85" t="s">
        <x:v>431</x:v>
      </x:c>
      <x:c r="I85" s="15">
        <x:v>27</x:v>
      </x:c>
      <x:c r="J85" s="15">
        <x:v>20</x:v>
      </x:c>
      <x:c r="K85" s="15">
        <x:v>20</x:v>
      </x:c>
      <x:c r="L85" s="18">
        <x:v>97.7</x:v>
      </x:c>
      <x:c r="M85" t="s">
        <x:v>29</x:v>
      </x:c>
      <x:c r="N85" s="18">
        <x:v>98</x:v>
      </x:c>
      <x:c r="O85" t="s">
        <x:v>29</x:v>
      </x:c>
      <x:c r="P85" s="18">
        <x:v>83.775659630253472</x:v>
      </x:c>
      <x:c r="Q85" t="s">
        <x:v>29</x:v>
      </x:c>
      <x:c r="R85" t="s">
        <x:v>199</x:v>
      </x:c>
      <x:c r="S85" t="s">
        <x:v>432</x:v>
      </x:c>
      <x:c r="T85" t="s">
        <x:v>32</x:v>
      </x:c>
      <x:c r="U85" t="s">
        <x:v>33</x:v>
      </x:c>
      <x:c r="V85" t="s">
        <x:v>26</x:v>
      </x:c>
      <x:c r="W85" s="15">
        <x:v>1</x:v>
      </x:c>
      <x:c r="X85" s="16" t="s">
        <x:v>433</x:v>
      </x:c>
    </x:row>
    <x:row r="86" ht="18">
      <x:c r="A86" s="11" t="s">
        <x:v>434</x:v>
      </x:c>
      <x:c r="B86" s="3">
        <x:v>18.64</x:v>
      </x:c>
      <x:c r="C86" s="5">
        <x:v>31.437999999999999</x:v>
      </x:c>
      <x:c r="D86" s="5">
        <x:f t="shared" si="2"/>
        <x:v>12.797999999999998</x:v>
      </x:c>
      <x:c r="E86" t="s">
        <x:v>50</x:v>
      </x:c>
      <x:c r="F86" t="s">
        <x:v>26</x:v>
      </x:c>
      <x:c r="G86" t="s">
        <x:v>435</x:v>
      </x:c>
      <x:c r="H86" t="s">
        <x:v>436</x:v>
      </x:c>
      <x:c r="I86" s="15">
        <x:v>18</x:v>
      </x:c>
      <x:c r="J86" s="15">
        <x:v>16</x:v>
      </x:c>
      <x:c r="K86" s="15">
        <x:v>12</x:v>
      </x:c>
      <x:c r="L86" s="18">
        <x:v>39.5</x:v>
      </x:c>
      <x:c r="M86" t="s">
        <x:v>29</x:v>
      </x:c>
      <x:c r="N86" s="18">
        <x:v>40</x:v>
      </x:c>
      <x:c r="O86" t="s">
        <x:v>29</x:v>
      </x:c>
      <x:c r="P86" s="18">
        <x:v>16.997640414454061</x:v>
      </x:c>
      <x:c r="Q86" t="s">
        <x:v>29</x:v>
      </x:c>
      <x:c r="R86" t="s">
        <x:v>199</x:v>
      </x:c>
      <x:c r="S86" t="s">
        <x:v>437</x:v>
      </x:c>
      <x:c r="T86" t="s">
        <x:v>32</x:v>
      </x:c>
      <x:c r="U86" t="s">
        <x:v>33</x:v>
      </x:c>
      <x:c r="V86" t="s">
        <x:v>26</x:v>
      </x:c>
      <x:c r="W86" s="15">
        <x:v>5.4429999999999996</x:v>
      </x:c>
      <x:c r="X86" s="16" t="s">
        <x:v>438</x:v>
      </x:c>
    </x:row>
    <x:row r="87" ht="18">
      <x:c r="A87" s="11" t="s">
        <x:v>439</x:v>
      </x:c>
      <x:c r="B87" s="3">
        <x:v>49.04</x:v>
      </x:c>
      <x:c r="C87" s="5">
        <x:v>61.811999999999998</x:v>
      </x:c>
      <x:c r="D87" s="5">
        <x:f t="shared" si="2"/>
        <x:v>12.771999999999998</x:v>
      </x:c>
      <x:c r="F87" t="s">
        <x:v>53</x:v>
      </x:c>
      <x:c r="I87" s="15">
        <x:v>46</x:v>
      </x:c>
      <x:c r="J87" s="15">
        <x:v>43</x:v>
      </x:c>
      <x:c r="K87" s="15">
        <x:v>33</x:v>
      </x:c>
      <x:c r="L87" s="18">
        <x:v>42.1</x:v>
      </x:c>
      <x:c r="M87" t="s">
        <x:v>29</x:v>
      </x:c>
      <x:c r="N87" s="18">
        <x:v>43</x:v>
      </x:c>
      <x:c r="O87" t="s">
        <x:v>29</x:v>
      </x:c>
      <x:c r="P87" s="18">
        <x:v>31.989074243025733</x:v>
      </x:c>
      <x:c r="Q87" t="s">
        <x:v>29</x:v>
      </x:c>
      <x:c r="R87" t="s">
        <x:v>32</x:v>
      </x:c>
      <x:c r="S87" t="s">
        <x:v>33</x:v>
      </x:c>
      <x:c r="T87" t="s">
        <x:v>46</x:v>
      </x:c>
      <x:c r="U87" t="s">
        <x:v>440</x:v>
      </x:c>
      <x:c r="V87" t="s">
        <x:v>26</x:v>
      </x:c>
      <x:c r="W87" s="15"/>
      <x:c r="X87" s="16"/>
    </x:row>
    <x:row r="88" ht="18">
      <x:c r="A88" s="11" t="s">
        <x:v>441</x:v>
      </x:c>
      <x:c r="B88" s="3">
        <x:v>100.59</x:v>
      </x:c>
      <x:c r="C88" s="5">
        <x:v>113.245</x:v>
      </x:c>
      <x:c r="D88" s="5">
        <x:f t="shared" si="2"/>
        <x:v>12.655000000000001</x:v>
      </x:c>
      <x:c r="E88" t="s">
        <x:v>99</x:v>
      </x:c>
      <x:c r="F88" t="s">
        <x:v>26</x:v>
      </x:c>
      <x:c r="G88" t="s">
        <x:v>442</x:v>
      </x:c>
      <x:c r="H88" t="s">
        <x:v>443</x:v>
      </x:c>
      <x:c r="I88" s="15">
        <x:v>27</x:v>
      </x:c>
      <x:c r="J88" s="15">
        <x:v>20</x:v>
      </x:c>
      <x:c r="K88" s="15">
        <x:v>20</x:v>
      </x:c>
      <x:c r="L88" s="18">
        <x:v>98.1</x:v>
      </x:c>
      <x:c r="M88" t="s">
        <x:v>29</x:v>
      </x:c>
      <x:c r="N88" s="18">
        <x:v>99</x:v>
      </x:c>
      <x:c r="O88" t="s">
        <x:v>29</x:v>
      </x:c>
      <x:c r="P88" s="18">
        <x:v>83.775659630253472</x:v>
      </x:c>
      <x:c r="Q88" t="s">
        <x:v>29</x:v>
      </x:c>
      <x:c r="R88" t="s">
        <x:v>239</x:v>
      </x:c>
      <x:c r="S88" t="s">
        <x:v>444</x:v>
      </x:c>
      <x:c r="T88" t="s">
        <x:v>32</x:v>
      </x:c>
      <x:c r="U88" t="s">
        <x:v>33</x:v>
      </x:c>
      <x:c r="V88" t="s">
        <x:v>26</x:v>
      </x:c>
      <x:c r="W88" s="15">
        <x:v>1</x:v>
      </x:c>
      <x:c r="X88" s="16" t="s">
        <x:v>433</x:v>
      </x:c>
    </x:row>
    <x:row r="89" ht="18">
      <x:c r="A89" s="11" t="s">
        <x:v>445</x:v>
      </x:c>
      <x:c r="B89" s="3">
        <x:v>91.33</x:v>
      </x:c>
      <x:c r="C89" s="5">
        <x:v>103.675</x:v>
      </x:c>
      <x:c r="D89" s="5">
        <x:f t="shared" si="2"/>
        <x:v>12.344999999999999</x:v>
      </x:c>
      <x:c r="E89" t="s">
        <x:v>138</x:v>
      </x:c>
      <x:c r="F89" t="s">
        <x:v>26</x:v>
      </x:c>
      <x:c r="G89" t="s">
        <x:v>446</x:v>
      </x:c>
      <x:c r="H89" t="s">
        <x:v>446</x:v>
      </x:c>
      <x:c r="I89" s="15"/>
      <x:c r="J89" s="15"/>
      <x:c r="K89" s="15"/>
      <x:c r="L89" s="18"/>
      <x:c r="N89" s="18"/>
      <x:c r="P89" s="18"/>
      <x:c r="V89" t="s">
        <x:v>53</x:v>
      </x:c>
      <x:c r="W89" s="15">
        <x:v>39.009</x:v>
      </x:c>
      <x:c r="X89" s="16" t="s">
        <x:v>447</x:v>
      </x:c>
    </x:row>
    <x:row r="90" ht="18">
      <x:c r="A90" s="11" t="s">
        <x:v>448</x:v>
      </x:c>
      <x:c r="B90" s="3">
        <x:v>43.92</x:v>
      </x:c>
      <x:c r="C90" s="5">
        <x:v>56.243000000000002</x:v>
      </x:c>
      <x:c r="D90" s="5">
        <x:f t="shared" si="2"/>
        <x:v>12.323</x:v>
      </x:c>
      <x:c r="E90" t="s">
        <x:v>50</x:v>
      </x:c>
      <x:c r="F90" t="s">
        <x:v>26</x:v>
      </x:c>
      <x:c r="G90" t="s">
        <x:v>449</x:v>
      </x:c>
      <x:c r="H90" t="s">
        <x:v>450</x:v>
      </x:c>
      <x:c r="I90" s="15">
        <x:v>26</x:v>
      </x:c>
      <x:c r="J90" s="15">
        <x:v>19</x:v>
      </x:c>
      <x:c r="K90" s="15">
        <x:v>14</x:v>
      </x:c>
      <x:c r="L90" s="18">
        <x:v>49.2</x:v>
      </x:c>
      <x:c r="M90" t="s">
        <x:v>29</x:v>
      </x:c>
      <x:c r="N90" s="18">
        <x:v>50</x:v>
      </x:c>
      <x:c r="O90" t="s">
        <x:v>29</x:v>
      </x:c>
      <x:c r="P90" s="18">
        <x:v>35.273961949580411</x:v>
      </x:c>
      <x:c r="Q90" t="s">
        <x:v>29</x:v>
      </x:c>
      <x:c r="R90" t="s">
        <x:v>134</x:v>
      </x:c>
      <x:c r="S90" t="s">
        <x:v>451</x:v>
      </x:c>
      <x:c r="T90" t="s">
        <x:v>32</x:v>
      </x:c>
      <x:c r="U90" t="s">
        <x:v>33</x:v>
      </x:c>
      <x:c r="V90" t="s">
        <x:v>26</x:v>
      </x:c>
      <x:c r="W90" s="15">
        <x:v>1</x:v>
      </x:c>
      <x:c r="X90" s="16" t="s">
        <x:v>452</x:v>
      </x:c>
    </x:row>
    <x:row r="91" ht="18">
      <x:c r="A91" s="11" t="s">
        <x:v>453</x:v>
      </x:c>
      <x:c r="B91" s="3">
        <x:v>16.170000000000002</x:v>
      </x:c>
      <x:c r="C91" s="5">
        <x:v>28.204000000000001</x:v>
      </x:c>
      <x:c r="D91" s="5">
        <x:f t="shared" si="2"/>
        <x:v>12.033999999999999</x:v>
      </x:c>
      <x:c r="E91" t="s">
        <x:v>454</x:v>
      </x:c>
      <x:c r="F91" t="s">
        <x:v>26</x:v>
      </x:c>
      <x:c r="G91" t="s">
        <x:v>455</x:v>
      </x:c>
      <x:c r="H91" t="s">
        <x:v>456</x:v>
      </x:c>
      <x:c r="I91" s="15">
        <x:v>13</x:v>
      </x:c>
      <x:c r="J91" s="15">
        <x:v>9</x:v>
      </x:c>
      <x:c r="K91" s="15">
        <x:v>9</x:v>
      </x:c>
      <x:c r="L91" s="18">
        <x:v>9.1999999999999993</x:v>
      </x:c>
      <x:c r="M91" t="s">
        <x:v>29</x:v>
      </x:c>
      <x:c r="N91" s="18">
        <x:v>10</x:v>
      </x:c>
      <x:c r="O91" t="s">
        <x:v>29</x:v>
      </x:c>
      <x:c r="P91" s="18">
        <x:v>3.5053499687395537</x:v>
      </x:c>
      <x:c r="Q91" t="s">
        <x:v>29</x:v>
      </x:c>
      <x:c r="R91" t="s">
        <x:v>199</x:v>
      </x:c>
      <x:c r="S91" t="s">
        <x:v>432</x:v>
      </x:c>
      <x:c r="T91" t="s">
        <x:v>32</x:v>
      </x:c>
      <x:c r="U91" t="s">
        <x:v>33</x:v>
      </x:c>
      <x:c r="V91" t="s">
        <x:v>26</x:v>
      </x:c>
      <x:c r="W91" s="15">
        <x:v>1</x:v>
      </x:c>
      <x:c r="X91" s="16" t="s">
        <x:v>457</x:v>
      </x:c>
    </x:row>
    <x:row r="92" ht="18">
      <x:c r="A92" s="11" t="s">
        <x:v>458</x:v>
      </x:c>
      <x:c r="B92" s="3">
        <x:v>110.77</x:v>
      </x:c>
      <x:c r="C92" s="5">
        <x:v>122.595</x:v>
      </x:c>
      <x:c r="D92" s="5">
        <x:f t="shared" si="2"/>
        <x:v>11.825000000000003</x:v>
      </x:c>
      <x:c r="E92" t="s">
        <x:v>459</x:v>
      </x:c>
      <x:c r="F92" t="s">
        <x:v>26</x:v>
      </x:c>
      <x:c r="G92" t="s">
        <x:v>460</x:v>
      </x:c>
      <x:c r="H92" t="s">
        <x:v>461</x:v>
      </x:c>
      <x:c r="I92" s="15">
        <x:v>66</x:v>
      </x:c>
      <x:c r="J92" s="15">
        <x:v>56</x:v>
      </x:c>
      <x:c r="K92" s="15">
        <x:v>41</x:v>
      </x:c>
      <x:c r="L92" s="18">
        <x:v>77.599999999999994</x:v>
      </x:c>
      <x:c r="M92" t="s">
        <x:v>29</x:v>
      </x:c>
      <x:c r="N92" s="18">
        <x:v>78</x:v>
      </x:c>
      <x:c r="O92" t="s">
        <x:v>29</x:v>
      </x:c>
      <x:c r="P92" s="18">
        <x:v>61.993988126387578</x:v>
      </x:c>
      <x:c r="Q92" t="s">
        <x:v>29</x:v>
      </x:c>
      <x:c r="R92" t="s">
        <x:v>134</x:v>
      </x:c>
      <x:c r="S92" t="s">
        <x:v>462</x:v>
      </x:c>
      <x:c r="T92" t="s">
        <x:v>32</x:v>
      </x:c>
      <x:c r="U92" t="s">
        <x:v>33</x:v>
      </x:c>
      <x:c r="V92" t="s">
        <x:v>26</x:v>
      </x:c>
      <x:c r="W92" s="15">
        <x:v>0</x:v>
      </x:c>
      <x:c r="X92" s="16" t="s">
        <x:v>104</x:v>
      </x:c>
    </x:row>
    <x:row r="93" ht="18">
      <x:c r="A93" s="11" t="s">
        <x:v>463</x:v>
      </x:c>
      <x:c r="B93" s="3">
        <x:v>76.989999999999995</x:v>
      </x:c>
      <x:c r="C93" s="5">
        <x:v>88.363</x:v>
      </x:c>
      <x:c r="D93" s="5">
        <x:f t="shared" si="2"/>
        <x:v>11.373000000000005</x:v>
      </x:c>
      <x:c r="E93" t="s">
        <x:v>138</x:v>
      </x:c>
      <x:c r="F93" t="s">
        <x:v>26</x:v>
      </x:c>
      <x:c r="G93" t="s">
        <x:v>464</x:v>
      </x:c>
      <x:c r="H93" t="s">
        <x:v>465</x:v>
      </x:c>
      <x:c r="I93" s="15">
        <x:v>26</x:v>
      </x:c>
      <x:c r="J93" s="15">
        <x:v>22</x:v>
      </x:c>
      <x:c r="K93" s="15">
        <x:v>16</x:v>
      </x:c>
      <x:c r="L93" s="18">
        <x:v>94.7</x:v>
      </x:c>
      <x:c r="M93" t="s">
        <x:v>29</x:v>
      </x:c>
      <x:c r="N93" s="18">
        <x:v>95</x:v>
      </x:c>
      <x:c r="O93" t="s">
        <x:v>29</x:v>
      </x:c>
      <x:c r="P93" s="18">
        <x:v>85.980282252102256</x:v>
      </x:c>
      <x:c r="Q93" t="s">
        <x:v>29</x:v>
      </x:c>
      <x:c r="R93" t="s">
        <x:v>59</x:v>
      </x:c>
      <x:c r="S93" t="s">
        <x:v>466</x:v>
      </x:c>
      <x:c r="T93" t="s">
        <x:v>32</x:v>
      </x:c>
      <x:c r="U93" t="s">
        <x:v>33</x:v>
      </x:c>
      <x:c r="V93" t="s">
        <x:v>26</x:v>
      </x:c>
      <x:c r="W93" s="15">
        <x:v>39.009</x:v>
      </x:c>
      <x:c r="X93" s="16" t="s">
        <x:v>447</x:v>
      </x:c>
    </x:row>
    <x:row r="94" ht="18">
      <x:c r="A94" s="11" t="s">
        <x:v>467</x:v>
      </x:c>
      <x:c r="B94" s="3">
        <x:v>102.43</x:v>
      </x:c>
      <x:c r="C94" s="5">
        <x:v>113.748</x:v>
      </x:c>
      <x:c r="D94" s="5">
        <x:f t="shared" si="2"/>
        <x:v>11.317999999999998</x:v>
      </x:c>
      <x:c r="F94" t="s">
        <x:v>53</x:v>
      </x:c>
      <x:c r="I94" s="15">
        <x:v>58</x:v>
      </x:c>
      <x:c r="J94" s="15">
        <x:v>56</x:v>
      </x:c>
      <x:c r="K94" s="15">
        <x:v>43</x:v>
      </x:c>
      <x:c r="L94" s="18">
        <x:v>69.599999999999994</x:v>
      </x:c>
      <x:c r="M94" t="s">
        <x:v>29</x:v>
      </x:c>
      <x:c r="N94" s="18">
        <x:v>70</x:v>
      </x:c>
      <x:c r="O94" t="s">
        <x:v>29</x:v>
      </x:c>
      <x:c r="P94" s="18">
        <x:v>50.992921243362183</x:v>
      </x:c>
      <x:c r="Q94" t="s">
        <x:v>29</x:v>
      </x:c>
      <x:c r="R94" t="s">
        <x:v>32</x:v>
      </x:c>
      <x:c r="S94" t="s">
        <x:v>33</x:v>
      </x:c>
      <x:c r="T94" t="s">
        <x:v>46</x:v>
      </x:c>
      <x:c r="U94" t="s">
        <x:v>468</x:v>
      </x:c>
      <x:c r="V94" t="s">
        <x:v>26</x:v>
      </x:c>
      <x:c r="W94" s="15"/>
      <x:c r="X94" s="16"/>
    </x:row>
    <x:row r="95" ht="18">
      <x:c r="A95" s="11" t="s">
        <x:v>469</x:v>
      </x:c>
      <x:c r="B95" s="3">
        <x:v>25.62</x:v>
      </x:c>
      <x:c r="C95" s="5">
        <x:v>36.585999999999999</x:v>
      </x:c>
      <x:c r="D95" s="5">
        <x:f t="shared" si="2"/>
        <x:v>10.965999999999998</x:v>
      </x:c>
      <x:c r="E95" t="s">
        <x:v>149</x:v>
      </x:c>
      <x:c r="F95" t="s">
        <x:v>26</x:v>
      </x:c>
      <x:c r="G95" t="s">
        <x:v>470</x:v>
      </x:c>
      <x:c r="H95" t="s">
        <x:v>471</x:v>
      </x:c>
      <x:c r="I95" s="15">
        <x:v>16</x:v>
      </x:c>
      <x:c r="J95" s="15">
        <x:v>16</x:v>
      </x:c>
      <x:c r="K95" s="15">
        <x:v>12</x:v>
      </x:c>
      <x:c r="L95" s="18">
        <x:v>27.3</x:v>
      </x:c>
      <x:c r="M95" t="s">
        <x:v>29</x:v>
      </x:c>
      <x:c r="N95" s="18">
        <x:v>28</x:v>
      </x:c>
      <x:c r="O95" t="s">
        <x:v>29</x:v>
      </x:c>
      <x:c r="P95" s="18">
        <x:v>16.997640414454061</x:v>
      </x:c>
      <x:c r="Q95" t="s">
        <x:v>29</x:v>
      </x:c>
      <x:c r="R95" t="s">
        <x:v>472</x:v>
      </x:c>
      <x:c r="S95" t="s">
        <x:v>473</x:v>
      </x:c>
      <x:c r="T95" t="s">
        <x:v>32</x:v>
      </x:c>
      <x:c r="U95" t="s">
        <x:v>33</x:v>
      </x:c>
      <x:c r="V95" t="s">
        <x:v>26</x:v>
      </x:c>
      <x:c r="W95" s="15">
        <x:v>10.433</x:v>
      </x:c>
      <x:c r="X95" s="16" t="s">
        <x:v>129</x:v>
      </x:c>
    </x:row>
    <x:row r="96" ht="18">
      <x:c r="A96" s="11" t="s">
        <x:v>474</x:v>
      </x:c>
      <x:c r="B96" s="3">
        <x:v>103.58</x:v>
      </x:c>
      <x:c r="C96" s="5">
        <x:v>113.696</x:v>
      </x:c>
      <x:c r="D96" s="5">
        <x:f t="shared" si="2"/>
        <x:v>10.116</x:v>
      </x:c>
      <x:c r="E96" t="s">
        <x:v>138</x:v>
      </x:c>
      <x:c r="F96" t="s">
        <x:v>26</x:v>
      </x:c>
      <x:c r="G96" t="s">
        <x:v>475</x:v>
      </x:c>
      <x:c r="H96" t="s">
        <x:v>476</x:v>
      </x:c>
      <x:c r="I96" s="15">
        <x:v>26</x:v>
      </x:c>
      <x:c r="J96" s="15">
        <x:v>21</x:v>
      </x:c>
      <x:c r="K96" s="15">
        <x:v>16</x:v>
      </x:c>
      <x:c r="L96" s="18">
        <x:v>98.9</x:v>
      </x:c>
      <x:c r="M96" t="s">
        <x:v>29</x:v>
      </x:c>
      <x:c r="N96" s="18">
        <x:v>99</x:v>
      </x:c>
      <x:c r="O96" t="s">
        <x:v>29</x:v>
      </x:c>
      <x:c r="P96" s="18">
        <x:v>85.980282252102256</x:v>
      </x:c>
      <x:c r="Q96" t="s">
        <x:v>29</x:v>
      </x:c>
      <x:c r="R96" t="s">
        <x:v>30</x:v>
      </x:c>
      <x:c r="S96" t="s">
        <x:v>477</x:v>
      </x:c>
      <x:c r="T96" t="s">
        <x:v>32</x:v>
      </x:c>
      <x:c r="U96" t="s">
        <x:v>33</x:v>
      </x:c>
      <x:c r="V96" t="s">
        <x:v>26</x:v>
      </x:c>
      <x:c r="W96" s="15">
        <x:v>39.009</x:v>
      </x:c>
      <x:c r="X96" s="16" t="s">
        <x:v>447</x:v>
      </x:c>
    </x:row>
    <x:row r="97" ht="18">
      <x:c r="A97" s="11" t="s">
        <x:v>478</x:v>
      </x:c>
      <x:c r="B97" s="3">
        <x:v>53.79</x:v>
      </x:c>
      <x:c r="C97" s="5">
        <x:v>63.613</x:v>
      </x:c>
      <x:c r="D97" s="5">
        <x:f t="shared" si="2"/>
        <x:v>9.8230000000000004</x:v>
      </x:c>
      <x:c r="E97" t="s">
        <x:v>50</x:v>
      </x:c>
      <x:c r="F97" t="s">
        <x:v>26</x:v>
      </x:c>
      <x:c r="G97" t="s">
        <x:v>479</x:v>
      </x:c>
      <x:c r="H97" t="s">
        <x:v>480</x:v>
      </x:c>
      <x:c r="I97" s="15">
        <x:v>23</x:v>
      </x:c>
      <x:c r="J97" s="15">
        <x:v>16</x:v>
      </x:c>
      <x:c r="K97" s="15">
        <x:v>14</x:v>
      </x:c>
      <x:c r="L97" s="18">
        <x:v>44.9</x:v>
      </x:c>
      <x:c r="M97" t="s">
        <x:v>29</x:v>
      </x:c>
      <x:c r="N97" s="18">
        <x:v>45</x:v>
      </x:c>
      <x:c r="O97" t="s">
        <x:v>29</x:v>
      </x:c>
      <x:c r="P97" s="18">
        <x:v>37.985647774454407</x:v>
      </x:c>
      <x:c r="Q97" t="s">
        <x:v>29</x:v>
      </x:c>
      <x:c r="R97" t="s">
        <x:v>134</x:v>
      </x:c>
      <x:c r="S97" t="s">
        <x:v>481</x:v>
      </x:c>
      <x:c r="T97" t="s">
        <x:v>32</x:v>
      </x:c>
      <x:c r="U97" t="s">
        <x:v>33</x:v>
      </x:c>
      <x:c r="V97" t="s">
        <x:v>26</x:v>
      </x:c>
      <x:c r="W97" s="15">
        <x:v>17.236999999999998</x:v>
      </x:c>
      <x:c r="X97" s="16" t="s">
        <x:v>54</x:v>
      </x:c>
    </x:row>
    <x:row r="98" ht="18">
      <x:c r="A98" s="11" t="s">
        <x:v>482</x:v>
      </x:c>
      <x:c r="B98" s="3">
        <x:v>70.53</x:v>
      </x:c>
      <x:c r="C98" s="5">
        <x:v>80.058000000000007</x:v>
      </x:c>
      <x:c r="D98" s="5">
        <x:f t="shared" si="2"/>
        <x:v>9.5280000000000058</x:v>
      </x:c>
      <x:c r="E98" t="s">
        <x:v>483</x:v>
      </x:c>
      <x:c r="F98" t="s">
        <x:v>26</x:v>
      </x:c>
      <x:c r="G98" t="s">
        <x:v>484</x:v>
      </x:c>
      <x:c r="H98" t="s">
        <x:v>485</x:v>
      </x:c>
      <x:c r="I98" s="15"/>
      <x:c r="J98" s="15"/>
      <x:c r="K98" s="15"/>
      <x:c r="L98" s="18"/>
      <x:c r="N98" s="18"/>
      <x:c r="P98" s="18"/>
      <x:c r="V98" t="s">
        <x:v>53</x:v>
      </x:c>
      <x:c r="W98" s="15">
        <x:v>29.484000000000002</x:v>
      </x:c>
      <x:c r="X98" s="16" t="s">
        <x:v>486</x:v>
      </x:c>
    </x:row>
    <x:row r="99" ht="18">
      <x:c r="A99" s="11" t="s">
        <x:v>487</x:v>
      </x:c>
      <x:c r="B99" s="3">
        <x:v>19.46</x:v>
      </x:c>
      <x:c r="C99" s="5">
        <x:v>28.864000000000001</x:v>
      </x:c>
      <x:c r="D99" s="5">
        <x:f t="shared" si="2"/>
        <x:v>9.4039999999999999</x:v>
      </x:c>
      <x:c r="E99" t="s">
        <x:v>50</x:v>
      </x:c>
      <x:c r="F99" t="s">
        <x:v>26</x:v>
      </x:c>
      <x:c r="G99" t="s">
        <x:v>488</x:v>
      </x:c>
      <x:c r="H99" t="s">
        <x:v>489</x:v>
      </x:c>
      <x:c r="I99" s="15"/>
      <x:c r="J99" s="15"/>
      <x:c r="K99" s="15"/>
      <x:c r="L99" s="18"/>
      <x:c r="N99" s="18"/>
      <x:c r="P99" s="18"/>
      <x:c r="V99" t="s">
        <x:v>53</x:v>
      </x:c>
      <x:c r="W99" s="15">
        <x:v>10.433</x:v>
      </x:c>
      <x:c r="X99" s="16" t="s">
        <x:v>367</x:v>
      </x:c>
    </x:row>
    <x:row r="100" ht="18">
      <x:c r="A100" s="11" t="s">
        <x:v>490</x:v>
      </x:c>
      <x:c r="B100" s="3">
        <x:v>103.18</x:v>
      </x:c>
      <x:c r="C100" s="5">
        <x:v>112.31</x:v>
      </x:c>
      <x:c r="D100" s="5">
        <x:f t="shared" si="2"/>
        <x:v>9.1299999999999955</x:v>
      </x:c>
      <x:c r="E100" t="s">
        <x:v>138</x:v>
      </x:c>
      <x:c r="F100" t="s">
        <x:v>26</x:v>
      </x:c>
      <x:c r="G100" t="s">
        <x:v>491</x:v>
      </x:c>
      <x:c r="H100" t="s">
        <x:v>492</x:v>
      </x:c>
      <x:c r="I100" s="15">
        <x:v>27</x:v>
      </x:c>
      <x:c r="J100" s="15">
        <x:v>22</x:v>
      </x:c>
      <x:c r="K100" s="15">
        <x:v>16</x:v>
      </x:c>
      <x:c r="L100" s="18">
        <x:v>97.9</x:v>
      </x:c>
      <x:c r="M100" t="s">
        <x:v>29</x:v>
      </x:c>
      <x:c r="N100" s="18">
        <x:v>98</x:v>
      </x:c>
      <x:c r="O100" t="s">
        <x:v>29</x:v>
      </x:c>
      <x:c r="P100" s="18">
        <x:v>85.980282252102256</x:v>
      </x:c>
      <x:c r="Q100" t="s">
        <x:v>29</x:v>
      </x:c>
      <x:c r="R100" t="s">
        <x:v>290</x:v>
      </x:c>
      <x:c r="S100" t="s">
        <x:v>493</x:v>
      </x:c>
      <x:c r="T100" t="s">
        <x:v>32</x:v>
      </x:c>
      <x:c r="U100" t="s">
        <x:v>33</x:v>
      </x:c>
      <x:c r="V100" t="s">
        <x:v>26</x:v>
      </x:c>
      <x:c r="W100" s="15">
        <x:v>1</x:v>
      </x:c>
      <x:c r="X100" s="16" t="s">
        <x:v>142</x:v>
      </x:c>
    </x:row>
    <x:row r="101" ht="18">
      <x:c r="A101" s="11" t="s">
        <x:v>494</x:v>
      </x:c>
      <x:c r="B101" s="3">
        <x:v>30.19</x:v>
      </x:c>
      <x:c r="C101" s="5">
        <x:v>39.116</x:v>
      </x:c>
      <x:c r="D101" s="5">
        <x:f t="shared" si="2"/>
        <x:v>8.9259999999999984</x:v>
      </x:c>
      <x:c r="E101" t="s">
        <x:v>50</x:v>
      </x:c>
      <x:c r="F101" t="s">
        <x:v>26</x:v>
      </x:c>
      <x:c r="G101" t="s">
        <x:v>495</x:v>
      </x:c>
      <x:c r="H101" t="s">
        <x:v>496</x:v>
      </x:c>
      <x:c r="I101" s="15">
        <x:v>17</x:v>
      </x:c>
      <x:c r="J101" s="15">
        <x:v>16</x:v>
      </x:c>
      <x:c r="K101" s="15">
        <x:v>16</x:v>
      </x:c>
      <x:c r="L101" s="18">
        <x:v>41.2</x:v>
      </x:c>
      <x:c r="M101" t="s">
        <x:v>29</x:v>
      </x:c>
      <x:c r="N101" s="18">
        <x:v>42</x:v>
      </x:c>
      <x:c r="O101" t="s">
        <x:v>29</x:v>
      </x:c>
      <x:c r="P101" s="18">
        <x:v>37.985647774454407</x:v>
      </x:c>
      <x:c r="Q101" t="s">
        <x:v>29</x:v>
      </x:c>
      <x:c r="R101" t="s">
        <x:v>497</x:v>
      </x:c>
      <x:c r="S101" t="s">
        <x:v>498</x:v>
      </x:c>
      <x:c r="T101" t="s">
        <x:v>32</x:v>
      </x:c>
      <x:c r="U101" t="s">
        <x:v>33</x:v>
      </x:c>
      <x:c r="V101" t="s">
        <x:v>26</x:v>
      </x:c>
      <x:c r="W101" s="15">
        <x:v>17.236999999999998</x:v>
      </x:c>
      <x:c r="X101" s="16" t="s">
        <x:v>54</x:v>
      </x:c>
    </x:row>
    <x:row r="102" ht="18">
      <x:c r="A102" s="11" t="s">
        <x:v>499</x:v>
      </x:c>
      <x:c r="B102" s="3">
        <x:v>27.65</x:v>
      </x:c>
      <x:c r="C102" s="5">
        <x:v>36.509</x:v>
      </x:c>
      <x:c r="D102" s="5">
        <x:f t="shared" si="2"/>
        <x:v>8.8590000000000018</x:v>
      </x:c>
      <x:c r="E102" t="s">
        <x:v>149</x:v>
      </x:c>
      <x:c r="F102" t="s">
        <x:v>26</x:v>
      </x:c>
      <x:c r="G102" t="s">
        <x:v>500</x:v>
      </x:c>
      <x:c r="H102" t="s">
        <x:v>501</x:v>
      </x:c>
      <x:c r="I102" s="15">
        <x:v>16</x:v>
      </x:c>
      <x:c r="J102" s="15">
        <x:v>15</x:v>
      </x:c>
      <x:c r="K102" s="15">
        <x:v>12</x:v>
      </x:c>
      <x:c r="L102" s="18">
        <x:v>27.4</x:v>
      </x:c>
      <x:c r="M102" t="s">
        <x:v>29</x:v>
      </x:c>
      <x:c r="N102" s="18">
        <x:v>28</x:v>
      </x:c>
      <x:c r="O102" t="s">
        <x:v>29</x:v>
      </x:c>
      <x:c r="P102" s="18">
        <x:v>17.989720594286009</x:v>
      </x:c>
      <x:c r="Q102" t="s">
        <x:v>29</x:v>
      </x:c>
      <x:c r="R102" t="s">
        <x:v>46</x:v>
      </x:c>
      <x:c r="S102" t="s">
        <x:v>502</x:v>
      </x:c>
      <x:c r="T102" t="s">
        <x:v>32</x:v>
      </x:c>
      <x:c r="U102" t="s">
        <x:v>33</x:v>
      </x:c>
      <x:c r="V102" t="s">
        <x:v>26</x:v>
      </x:c>
      <x:c r="W102" s="15">
        <x:v>8.1649999999999991</x:v>
      </x:c>
      <x:c r="X102" s="16" t="s">
        <x:v>153</x:v>
      </x:c>
    </x:row>
    <x:row r="103" ht="18">
      <x:c r="A103" s="11" t="s">
        <x:v>503</x:v>
      </x:c>
      <x:c r="B103" s="3">
        <x:v>61.02</x:v>
      </x:c>
      <x:c r="C103" s="5">
        <x:v>69.849999999999994</x:v>
      </x:c>
      <x:c r="D103" s="5">
        <x:f t="shared" si="2"/>
        <x:v>8.8299999999999912</x:v>
      </x:c>
      <x:c r="E103" t="s">
        <x:v>50</x:v>
      </x:c>
      <x:c r="F103" t="s">
        <x:v>26</x:v>
      </x:c>
      <x:c r="G103" t="s">
        <x:v>504</x:v>
      </x:c>
      <x:c r="H103" t="s">
        <x:v>505</x:v>
      </x:c>
      <x:c r="I103" s="15"/>
      <x:c r="J103" s="15"/>
      <x:c r="K103" s="15"/>
      <x:c r="L103" s="18"/>
      <x:c r="N103" s="18"/>
      <x:c r="P103" s="18"/>
      <x:c r="V103" t="s">
        <x:v>53</x:v>
      </x:c>
      <x:c r="W103" s="15">
        <x:v>0</x:v>
      </x:c>
      <x:c r="X103" s="16" t="s">
        <x:v>104</x:v>
      </x:c>
    </x:row>
    <x:row r="104" ht="18">
      <x:c r="A104" s="11" t="s">
        <x:v>506</x:v>
      </x:c>
      <x:c r="B104" s="3">
        <x:v>33.15</x:v>
      </x:c>
      <x:c r="C104" s="5">
        <x:v>41.915999999999997</x:v>
      </x:c>
      <x:c r="D104" s="5">
        <x:f t="shared" si="2"/>
        <x:v>8.7659999999999982</x:v>
      </x:c>
      <x:c r="F104" t="s">
        <x:v>53</x:v>
      </x:c>
      <x:c r="I104" s="15">
        <x:v>41</x:v>
      </x:c>
      <x:c r="J104" s="15">
        <x:v>41</x:v>
      </x:c>
      <x:c r="K104" s="15">
        <x:v>30</x:v>
      </x:c>
      <x:c r="L104" s="18">
        <x:v>29.8</x:v>
      </x:c>
      <x:c r="M104" t="s">
        <x:v>29</x:v>
      </x:c>
      <x:c r="N104" s="18">
        <x:v>30</x:v>
      </x:c>
      <x:c r="O104" t="s">
        <x:v>29</x:v>
      </x:c>
      <x:c r="P104" s="18">
        <x:v>20.988007360000342</x:v>
      </x:c>
      <x:c r="Q104" t="s">
        <x:v>29</x:v>
      </x:c>
      <x:c r="R104" t="s">
        <x:v>32</x:v>
      </x:c>
      <x:c r="S104" t="s">
        <x:v>33</x:v>
      </x:c>
      <x:c r="T104" t="s">
        <x:v>46</x:v>
      </x:c>
      <x:c r="U104" t="s">
        <x:v>507</x:v>
      </x:c>
      <x:c r="V104" t="s">
        <x:v>26</x:v>
      </x:c>
      <x:c r="W104" s="15"/>
      <x:c r="X104" s="16"/>
    </x:row>
    <x:row r="105" ht="18">
      <x:c r="A105" s="11" t="s">
        <x:v>508</x:v>
      </x:c>
      <x:c r="B105" s="3">
        <x:v>33.15</x:v>
      </x:c>
      <x:c r="C105" s="5">
        <x:v>41.915999999999997</x:v>
      </x:c>
      <x:c r="D105" s="5">
        <x:f t="shared" si="2"/>
        <x:v>8.7659999999999982</x:v>
      </x:c>
      <x:c r="F105" t="s">
        <x:v>53</x:v>
      </x:c>
      <x:c r="I105" s="15">
        <x:v>41</x:v>
      </x:c>
      <x:c r="J105" s="15">
        <x:v>41</x:v>
      </x:c>
      <x:c r="K105" s="15">
        <x:v>30</x:v>
      </x:c>
      <x:c r="L105" s="18">
        <x:v>29.4</x:v>
      </x:c>
      <x:c r="M105" t="s">
        <x:v>29</x:v>
      </x:c>
      <x:c r="N105" s="18">
        <x:v>30</x:v>
      </x:c>
      <x:c r="O105" t="s">
        <x:v>29</x:v>
      </x:c>
      <x:c r="P105" s="18">
        <x:v>20.988007360000342</x:v>
      </x:c>
      <x:c r="Q105" t="s">
        <x:v>29</x:v>
      </x:c>
      <x:c r="R105" t="s">
        <x:v>32</x:v>
      </x:c>
      <x:c r="S105" t="s">
        <x:v>33</x:v>
      </x:c>
      <x:c r="T105" t="s">
        <x:v>46</x:v>
      </x:c>
      <x:c r="U105" t="s">
        <x:v>507</x:v>
      </x:c>
      <x:c r="V105" t="s">
        <x:v>26</x:v>
      </x:c>
      <x:c r="W105" s="15"/>
      <x:c r="X105" s="16"/>
    </x:row>
    <x:row r="106" ht="18">
      <x:c r="A106" s="11" t="s">
        <x:v>509</x:v>
      </x:c>
      <x:c r="B106" s="3">
        <x:v>33.15</x:v>
      </x:c>
      <x:c r="C106" s="5">
        <x:v>41.915999999999997</x:v>
      </x:c>
      <x:c r="D106" s="5">
        <x:f t="shared" si="2"/>
        <x:v>8.7659999999999982</x:v>
      </x:c>
      <x:c r="F106" t="s">
        <x:v>53</x:v>
      </x:c>
      <x:c r="I106" s="15">
        <x:v>41</x:v>
      </x:c>
      <x:c r="J106" s="15">
        <x:v>41</x:v>
      </x:c>
      <x:c r="K106" s="15">
        <x:v>30</x:v>
      </x:c>
      <x:c r="L106" s="18">
        <x:v>29.9</x:v>
      </x:c>
      <x:c r="M106" t="s">
        <x:v>29</x:v>
      </x:c>
      <x:c r="N106" s="18">
        <x:v>30</x:v>
      </x:c>
      <x:c r="O106" t="s">
        <x:v>29</x:v>
      </x:c>
      <x:c r="P106" s="18">
        <x:v>20.988007360000342</x:v>
      </x:c>
      <x:c r="Q106" t="s">
        <x:v>29</x:v>
      </x:c>
      <x:c r="R106" t="s">
        <x:v>32</x:v>
      </x:c>
      <x:c r="S106" t="s">
        <x:v>33</x:v>
      </x:c>
      <x:c r="T106" t="s">
        <x:v>46</x:v>
      </x:c>
      <x:c r="U106" t="s">
        <x:v>507</x:v>
      </x:c>
      <x:c r="V106" t="s">
        <x:v>26</x:v>
      </x:c>
      <x:c r="W106" s="15"/>
      <x:c r="X106" s="16"/>
    </x:row>
    <x:row r="107" ht="18">
      <x:c r="A107" s="11" t="s">
        <x:v>510</x:v>
      </x:c>
      <x:c r="B107" s="3">
        <x:v>29.94</x:v>
      </x:c>
      <x:c r="C107" s="5">
        <x:v>38.302</x:v>
      </x:c>
      <x:c r="D107" s="5">
        <x:f t="shared" si="2"/>
        <x:v>8.3619999999999983</x:v>
      </x:c>
      <x:c r="E107" t="s">
        <x:v>82</x:v>
      </x:c>
      <x:c r="F107" t="s">
        <x:v>26</x:v>
      </x:c>
      <x:c r="G107" t="s">
        <x:v>511</x:v>
      </x:c>
      <x:c r="H107" t="s">
        <x:v>512</x:v>
      </x:c>
      <x:c r="I107" s="15"/>
      <x:c r="J107" s="15"/>
      <x:c r="K107" s="15"/>
      <x:c r="L107" s="18"/>
      <x:c r="N107" s="18"/>
      <x:c r="P107" s="18"/>
      <x:c r="V107" t="s">
        <x:v>53</x:v>
      </x:c>
      <x:c r="W107" s="15">
        <x:v>10.433</x:v>
      </x:c>
      <x:c r="X107" s="16" t="s">
        <x:v>513</x:v>
      </x:c>
    </x:row>
    <x:row r="108" ht="18">
      <x:c r="A108" s="11" t="s">
        <x:v>514</x:v>
      </x:c>
      <x:c r="B108" s="3">
        <x:v>29.87</x:v>
      </x:c>
      <x:c r="C108" s="5">
        <x:v>38.148000000000003</x:v>
      </x:c>
      <x:c r="D108" s="5">
        <x:f t="shared" si="2"/>
        <x:v>8.2780000000000022</x:v>
      </x:c>
      <x:c r="E108" t="s">
        <x:v>82</x:v>
      </x:c>
      <x:c r="F108" t="s">
        <x:v>26</x:v>
      </x:c>
      <x:c r="G108" t="s">
        <x:v>515</x:v>
      </x:c>
      <x:c r="H108" t="s">
        <x:v>516</x:v>
      </x:c>
      <x:c r="I108" s="15">
        <x:v>16</x:v>
      </x:c>
      <x:c r="J108" s="15">
        <x:v>16</x:v>
      </x:c>
      <x:c r="K108" s="15">
        <x:v>12</x:v>
      </x:c>
      <x:c r="L108" s="18">
        <x:v>29.8</x:v>
      </x:c>
      <x:c r="M108" t="s">
        <x:v>29</x:v>
      </x:c>
      <x:c r="N108" s="18">
        <x:v>30</x:v>
      </x:c>
      <x:c r="O108" t="s">
        <x:v>29</x:v>
      </x:c>
      <x:c r="P108" s="18">
        <x:v>22.994213945882731</x:v>
      </x:c>
      <x:c r="Q108" t="s">
        <x:v>29</x:v>
      </x:c>
      <x:c r="R108" t="s">
        <x:v>46</x:v>
      </x:c>
      <x:c r="S108" t="s">
        <x:v>312</x:v>
      </x:c>
      <x:c r="T108" t="s">
        <x:v>32</x:v>
      </x:c>
      <x:c r="U108" t="s">
        <x:v>33</x:v>
      </x:c>
      <x:c r="V108" t="s">
        <x:v>26</x:v>
      </x:c>
      <x:c r="W108" s="15">
        <x:v>10.433</x:v>
      </x:c>
      <x:c r="X108" s="16" t="s">
        <x:v>513</x:v>
      </x:c>
    </x:row>
    <x:row r="109" ht="18">
      <x:c r="A109" s="11" t="s">
        <x:v>517</x:v>
      </x:c>
      <x:c r="B109" s="3">
        <x:v>29.87</x:v>
      </x:c>
      <x:c r="C109" s="5">
        <x:v>38.148000000000003</x:v>
      </x:c>
      <x:c r="D109" s="5">
        <x:f t="shared" si="2"/>
        <x:v>8.2780000000000022</x:v>
      </x:c>
      <x:c r="F109" t="s">
        <x:v>53</x:v>
      </x:c>
      <x:c r="I109" s="15">
        <x:v>16</x:v>
      </x:c>
      <x:c r="J109" s="15">
        <x:v>16</x:v>
      </x:c>
      <x:c r="K109" s="15">
        <x:v>12</x:v>
      </x:c>
      <x:c r="L109" s="18">
        <x:v>29.3</x:v>
      </x:c>
      <x:c r="M109" t="s">
        <x:v>29</x:v>
      </x:c>
      <x:c r="N109" s="18">
        <x:v>30</x:v>
      </x:c>
      <x:c r="O109" t="s">
        <x:v>29</x:v>
      </x:c>
      <x:c r="P109" s="18">
        <x:v>22.994213945882731</x:v>
      </x:c>
      <x:c r="Q109" t="s">
        <x:v>29</x:v>
      </x:c>
      <x:c r="R109" t="s">
        <x:v>46</x:v>
      </x:c>
      <x:c r="S109" t="s">
        <x:v>312</x:v>
      </x:c>
      <x:c r="T109" t="s">
        <x:v>32</x:v>
      </x:c>
      <x:c r="U109" t="s">
        <x:v>33</x:v>
      </x:c>
      <x:c r="V109" t="s">
        <x:v>26</x:v>
      </x:c>
      <x:c r="W109" s="15">
        <x:v>10.433</x:v>
      </x:c>
      <x:c r="X109" s="16" t="s">
        <x:v>513</x:v>
      </x:c>
    </x:row>
    <x:row r="110" ht="18">
      <x:c r="A110" s="11" t="s">
        <x:v>518</x:v>
      </x:c>
      <x:c r="B110" s="3">
        <x:v>29.94</x:v>
      </x:c>
      <x:c r="C110" s="5">
        <x:v>38.148000000000003</x:v>
      </x:c>
      <x:c r="D110" s="5">
        <x:f t="shared" si="2"/>
        <x:v>8.208000000000002</x:v>
      </x:c>
      <x:c r="E110" t="s">
        <x:v>82</x:v>
      </x:c>
      <x:c r="F110" t="s">
        <x:v>26</x:v>
      </x:c>
      <x:c r="G110" t="s">
        <x:v>519</x:v>
      </x:c>
      <x:c r="H110" t="s">
        <x:v>520</x:v>
      </x:c>
      <x:c r="I110" s="15">
        <x:v>16</x:v>
      </x:c>
      <x:c r="J110" s="15">
        <x:v>16</x:v>
      </x:c>
      <x:c r="K110" s="15">
        <x:v>12</x:v>
      </x:c>
      <x:c r="L110" s="18">
        <x:v>30</x:v>
      </x:c>
      <x:c r="M110" t="s">
        <x:v>29</x:v>
      </x:c>
      <x:c r="N110" s="18">
        <x:v>30</x:v>
      </x:c>
      <x:c r="O110" t="s">
        <x:v>29</x:v>
      </x:c>
      <x:c r="P110" s="18">
        <x:v>22.994213945882731</x:v>
      </x:c>
      <x:c r="Q110" t="s">
        <x:v>29</x:v>
      </x:c>
      <x:c r="R110" t="s">
        <x:v>46</x:v>
      </x:c>
      <x:c r="S110" t="s">
        <x:v>521</x:v>
      </x:c>
      <x:c r="T110" t="s">
        <x:v>32</x:v>
      </x:c>
      <x:c r="U110" t="s">
        <x:v>33</x:v>
      </x:c>
      <x:c r="V110" t="s">
        <x:v>26</x:v>
      </x:c>
      <x:c r="W110" s="15">
        <x:v>10.433</x:v>
      </x:c>
      <x:c r="X110" s="16" t="s">
        <x:v>513</x:v>
      </x:c>
    </x:row>
    <x:row r="111" ht="18">
      <x:c r="A111" s="11" t="s">
        <x:v>522</x:v>
      </x:c>
      <x:c r="B111" s="3">
        <x:v>16.170000000000002</x:v>
      </x:c>
      <x:c r="C111" s="5">
        <x:v>24.353999999999999</x:v>
      </x:c>
      <x:c r="D111" s="5">
        <x:f t="shared" si="2"/>
        <x:v>8.1839999999999975</x:v>
      </x:c>
      <x:c r="E111" t="s">
        <x:v>523</x:v>
      </x:c>
      <x:c r="F111" t="s">
        <x:v>26</x:v>
      </x:c>
      <x:c r="G111" t="s">
        <x:v>524</x:v>
      </x:c>
      <x:c r="H111" t="s">
        <x:v>525</x:v>
      </x:c>
      <x:c r="I111" s="15">
        <x:v>24</x:v>
      </x:c>
      <x:c r="J111" s="15">
        <x:v>14</x:v>
      </x:c>
      <x:c r="K111" s="15">
        <x:v>14</x:v>
      </x:c>
      <x:c r="L111" s="18">
        <x:v>8.3000000000000007</x:v>
      </x:c>
      <x:c r="M111" t="s">
        <x:v>29</x:v>
      </x:c>
      <x:c r="N111" s="18">
        <x:v>29</x:v>
      </x:c>
      <x:c r="O111" t="s">
        <x:v>29</x:v>
      </x:c>
      <x:c r="P111" s="18">
        <x:v>2.9982867657143353</x:v>
      </x:c>
      <x:c r="Q111" t="s">
        <x:v>29</x:v>
      </x:c>
      <x:c r="R111" t="s">
        <x:v>239</x:v>
      </x:c>
      <x:c r="S111" t="s">
        <x:v>526</x:v>
      </x:c>
      <x:c r="T111" t="s">
        <x:v>32</x:v>
      </x:c>
      <x:c r="U111" t="s">
        <x:v>33</x:v>
      </x:c>
      <x:c r="V111" t="s">
        <x:v>26</x:v>
      </x:c>
      <x:c r="W111" s="15">
        <x:v>1.361</x:v>
      </x:c>
      <x:c r="X111" s="16" t="s">
        <x:v>527</x:v>
      </x:c>
    </x:row>
    <x:row r="112" ht="18">
      <x:c r="A112" s="11" t="s">
        <x:v>528</x:v>
      </x:c>
      <x:c r="B112" s="3">
        <x:v>29.94</x:v>
      </x:c>
      <x:c r="C112" s="5">
        <x:v>38.070999999999998</x:v>
      </x:c>
      <x:c r="D112" s="5">
        <x:f t="shared" si="2"/>
        <x:v>8.1309999999999967</x:v>
      </x:c>
      <x:c r="E112" t="s">
        <x:v>82</x:v>
      </x:c>
      <x:c r="F112" t="s">
        <x:v>26</x:v>
      </x:c>
      <x:c r="G112" t="s">
        <x:v>529</x:v>
      </x:c>
      <x:c r="H112" t="s">
        <x:v>530</x:v>
      </x:c>
      <x:c r="I112" s="15">
        <x:v>16</x:v>
      </x:c>
      <x:c r="J112" s="15">
        <x:v>16</x:v>
      </x:c>
      <x:c r="K112" s="15">
        <x:v>12</x:v>
      </x:c>
      <x:c r="L112" s="18">
        <x:v>29.6</x:v>
      </x:c>
      <x:c r="M112" t="s">
        <x:v>29</x:v>
      </x:c>
      <x:c r="N112" s="18">
        <x:v>30</x:v>
      </x:c>
      <x:c r="O112" t="s">
        <x:v>29</x:v>
      </x:c>
      <x:c r="P112" s="18">
        <x:v>22.994213945882731</x:v>
      </x:c>
      <x:c r="Q112" t="s">
        <x:v>29</x:v>
      </x:c>
      <x:c r="R112" t="s">
        <x:v>531</x:v>
      </x:c>
      <x:c r="S112" t="s">
        <x:v>532</x:v>
      </x:c>
      <x:c r="T112" t="s">
        <x:v>32</x:v>
      </x:c>
      <x:c r="U112" t="s">
        <x:v>33</x:v>
      </x:c>
      <x:c r="V112" t="s">
        <x:v>26</x:v>
      </x:c>
      <x:c r="W112" s="15">
        <x:v>10.433</x:v>
      </x:c>
      <x:c r="X112" s="16" t="s">
        <x:v>513</x:v>
      </x:c>
    </x:row>
    <x:row r="113" ht="18">
      <x:c r="A113" s="11" t="s">
        <x:v>533</x:v>
      </x:c>
      <x:c r="B113" s="3">
        <x:v>83.03</x:v>
      </x:c>
      <x:c r="C113" s="5">
        <x:v>91.003</x:v>
      </x:c>
      <x:c r="D113" s="5">
        <x:f t="shared" si="2"/>
        <x:v>7.972999999999999</x:v>
      </x:c>
      <x:c r="E113" t="s">
        <x:v>99</x:v>
      </x:c>
      <x:c r="F113" t="s">
        <x:v>26</x:v>
      </x:c>
      <x:c r="G113" t="s">
        <x:v>534</x:v>
      </x:c>
      <x:c r="H113" t="s">
        <x:v>535</x:v>
      </x:c>
      <x:c r="I113" s="15"/>
      <x:c r="J113" s="15"/>
      <x:c r="K113" s="15"/>
      <x:c r="L113" s="18"/>
      <x:c r="N113" s="18"/>
      <x:c r="P113" s="18"/>
      <x:c r="V113" t="s">
        <x:v>53</x:v>
      </x:c>
      <x:c r="W113" s="15">
        <x:v>1</x:v>
      </x:c>
      <x:c r="X113" s="16" t="s">
        <x:v>330</x:v>
      </x:c>
    </x:row>
    <x:row r="114" ht="18">
      <x:c r="A114" s="11" t="s">
        <x:v>536</x:v>
      </x:c>
      <x:c r="B114" s="3">
        <x:v>25.39</x:v>
      </x:c>
      <x:c r="C114" s="5">
        <x:v>33.228000000000002</x:v>
      </x:c>
      <x:c r="D114" s="5">
        <x:f t="shared" si="2"/>
        <x:v>7.838000000000001</x:v>
      </x:c>
      <x:c r="F114" t="s">
        <x:v>53</x:v>
      </x:c>
      <x:c r="I114" s="15">
        <x:v>41</x:v>
      </x:c>
      <x:c r="J114" s="15">
        <x:v>41</x:v>
      </x:c>
      <x:c r="K114" s="15">
        <x:v>30</x:v>
      </x:c>
      <x:c r="L114" s="18">
        <x:v>29.4</x:v>
      </x:c>
      <x:c r="M114" t="s">
        <x:v>29</x:v>
      </x:c>
      <x:c r="N114" s="18">
        <x:v>30</x:v>
      </x:c>
      <x:c r="O114" t="s">
        <x:v>29</x:v>
      </x:c>
      <x:c r="P114" s="18">
        <x:v>20.988007360000342</x:v>
      </x:c>
      <x:c r="Q114" t="s">
        <x:v>29</x:v>
      </x:c>
      <x:c r="R114" t="s">
        <x:v>32</x:v>
      </x:c>
      <x:c r="S114" t="s">
        <x:v>33</x:v>
      </x:c>
      <x:c r="T114" t="s">
        <x:v>290</x:v>
      </x:c>
      <x:c r="U114" t="s">
        <x:v>147</x:v>
      </x:c>
      <x:c r="V114" t="s">
        <x:v>26</x:v>
      </x:c>
      <x:c r="W114" s="15"/>
      <x:c r="X114" s="16"/>
    </x:row>
    <x:row r="115" ht="18">
      <x:c r="A115" s="11" t="s">
        <x:v>537</x:v>
      </x:c>
      <x:c r="B115" s="3">
        <x:v>88.81</x:v>
      </x:c>
      <x:c r="C115" s="5">
        <x:v>96.47</x:v>
      </x:c>
      <x:c r="D115" s="5">
        <x:f t="shared" si="2"/>
        <x:v>7.6599999999999966</x:v>
      </x:c>
      <x:c r="E115" t="s">
        <x:v>99</x:v>
      </x:c>
      <x:c r="F115" t="s">
        <x:v>26</x:v>
      </x:c>
      <x:c r="G115" t="s">
        <x:v>538</x:v>
      </x:c>
      <x:c r="H115" t="s">
        <x:v>539</x:v>
      </x:c>
      <x:c r="I115" s="15">
        <x:v>26</x:v>
      </x:c>
      <x:c r="J115" s="15">
        <x:v>19</x:v>
      </x:c>
      <x:c r="K115" s="15">
        <x:v>18</x:v>
      </x:c>
      <x:c r="L115" s="18">
        <x:v>90.3</x:v>
      </x:c>
      <x:c r="M115" t="s">
        <x:v>29</x:v>
      </x:c>
      <x:c r="N115" s="18">
        <x:v>91</x:v>
      </x:c>
      <x:c r="O115" t="s">
        <x:v>29</x:v>
      </x:c>
      <x:c r="P115" s="18">
        <x:v>83.996121892438353</x:v>
      </x:c>
      <x:c r="Q115" t="s">
        <x:v>29</x:v>
      </x:c>
      <x:c r="R115" t="s">
        <x:v>39</x:v>
      </x:c>
      <x:c r="S115" t="s">
        <x:v>540</x:v>
      </x:c>
      <x:c r="T115" t="s">
        <x:v>32</x:v>
      </x:c>
      <x:c r="U115" t="s">
        <x:v>33</x:v>
      </x:c>
      <x:c r="V115" t="s">
        <x:v>26</x:v>
      </x:c>
      <x:c r="W115" s="15">
        <x:v>38.101999999999997</x:v>
      </x:c>
      <x:c r="X115" s="16" t="s">
        <x:v>541</x:v>
      </x:c>
    </x:row>
    <x:row r="116" ht="18">
      <x:c r="A116" s="11" t="s">
        <x:v>542</x:v>
      </x:c>
      <x:c r="B116" s="3">
        <x:v>44.5</x:v>
      </x:c>
      <x:c r="C116" s="5">
        <x:v>52.14</x:v>
      </x:c>
      <x:c r="D116" s="5">
        <x:f t="shared" si="2"/>
        <x:v>7.6400000000000006</x:v>
      </x:c>
      <x:c r="E116" t="s">
        <x:v>82</x:v>
      </x:c>
      <x:c r="F116" t="s">
        <x:v>26</x:v>
      </x:c>
      <x:c r="G116" t="s">
        <x:v>543</x:v>
      </x:c>
      <x:c r="H116" t="s">
        <x:v>544</x:v>
      </x:c>
      <x:c r="I116" s="15"/>
      <x:c r="J116" s="15"/>
      <x:c r="K116" s="15"/>
      <x:c r="L116" s="18"/>
      <x:c r="N116" s="18"/>
      <x:c r="P116" s="18"/>
      <x:c r="V116" t="s">
        <x:v>53</x:v>
      </x:c>
      <x:c r="W116" s="15">
        <x:v>11.34</x:v>
      </x:c>
      <x:c r="X116" s="16" t="s">
        <x:v>87</x:v>
      </x:c>
    </x:row>
    <x:row r="117" ht="18">
      <x:c r="A117" s="11" t="s">
        <x:v>545</x:v>
      </x:c>
      <x:c r="B117" s="3">
        <x:v>71.62</x:v>
      </x:c>
      <x:c r="C117" s="5">
        <x:v>79.233000000000004</x:v>
      </x:c>
      <x:c r="D117" s="5">
        <x:f t="shared" si="2"/>
        <x:v>7.6129999999999995</x:v>
      </x:c>
      <x:c r="E117" t="s">
        <x:v>70</x:v>
      </x:c>
      <x:c r="F117" t="s">
        <x:v>26</x:v>
      </x:c>
      <x:c r="G117" t="s">
        <x:v>546</x:v>
      </x:c>
      <x:c r="H117" t="s">
        <x:v>547</x:v>
      </x:c>
      <x:c r="I117" s="15">
        <x:v>23</x:v>
      </x:c>
      <x:c r="J117" s="15">
        <x:v>23</x:v>
      </x:c>
      <x:c r="K117" s="15">
        <x:v>17</x:v>
      </x:c>
      <x:c r="L117" s="18">
        <x:v>70.3</x:v>
      </x:c>
      <x:c r="M117" t="s">
        <x:v>29</x:v>
      </x:c>
      <x:c r="N117" s="18">
        <x:v>71</x:v>
      </x:c>
      <x:c r="O117" t="s">
        <x:v>29</x:v>
      </x:c>
      <x:c r="P117" s="18">
        <x:v>53.991208009076516</x:v>
      </x:c>
      <x:c r="Q117" t="s">
        <x:v>29</x:v>
      </x:c>
      <x:c r="R117" t="s">
        <x:v>199</x:v>
      </x:c>
      <x:c r="S117" t="s">
        <x:v>548</x:v>
      </x:c>
      <x:c r="T117" t="s">
        <x:v>32</x:v>
      </x:c>
      <x:c r="U117" t="s">
        <x:v>33</x:v>
      </x:c>
      <x:c r="V117" t="s">
        <x:v>26</x:v>
      </x:c>
      <x:c r="W117" s="15">
        <x:v>24.494</x:v>
      </x:c>
      <x:c r="X117" s="16" t="s">
        <x:v>549</x:v>
      </x:c>
    </x:row>
    <x:row r="118" ht="18">
      <x:c r="A118" s="11" t="s">
        <x:v>550</x:v>
      </x:c>
      <x:c r="B118" s="3">
        <x:v>83.03</x:v>
      </x:c>
      <x:c r="C118" s="5">
        <x:v>90.64</x:v>
      </x:c>
      <x:c r="D118" s="5">
        <x:f t="shared" si="2"/>
        <x:v>7.6099999999999994</x:v>
      </x:c>
      <x:c r="E118" t="s">
        <x:v>483</x:v>
      </x:c>
      <x:c r="F118" t="s">
        <x:v>26</x:v>
      </x:c>
      <x:c r="G118" t="s">
        <x:v>551</x:v>
      </x:c>
      <x:c r="H118" t="s">
        <x:v>552</x:v>
      </x:c>
      <x:c r="I118" s="15"/>
      <x:c r="J118" s="15"/>
      <x:c r="K118" s="15"/>
      <x:c r="L118" s="18"/>
      <x:c r="N118" s="18"/>
      <x:c r="P118" s="18"/>
      <x:c r="V118" t="s">
        <x:v>53</x:v>
      </x:c>
      <x:c r="W118" s="15">
        <x:v>1</x:v>
      </x:c>
      <x:c r="X118" s="16" t="s">
        <x:v>553</x:v>
      </x:c>
    </x:row>
    <x:row r="119" ht="18">
      <x:c r="A119" s="11" t="s">
        <x:v>554</x:v>
      </x:c>
      <x:c r="B119" s="3">
        <x:v>21.61</x:v>
      </x:c>
      <x:c r="C119" s="5">
        <x:v>29.128</x:v>
      </x:c>
      <x:c r="D119" s="5">
        <x:f t="shared" si="2"/>
        <x:v>7.5180000000000007</x:v>
      </x:c>
      <x:c r="E119" t="s">
        <x:v>149</x:v>
      </x:c>
      <x:c r="F119" t="s">
        <x:v>26</x:v>
      </x:c>
      <x:c r="G119" t="s">
        <x:v>555</x:v>
      </x:c>
      <x:c r="H119" t="s">
        <x:v>556</x:v>
      </x:c>
      <x:c r="I119" s="15">
        <x:v>16</x:v>
      </x:c>
      <x:c r="J119" s="15">
        <x:v>15</x:v>
      </x:c>
      <x:c r="K119" s="15">
        <x:v>12</x:v>
      </x:c>
      <x:c r="L119" s="18">
        <x:v>27.5</x:v>
      </x:c>
      <x:c r="M119" t="s">
        <x:v>29</x:v>
      </x:c>
      <x:c r="N119" s="18">
        <x:v>28</x:v>
      </x:c>
      <x:c r="O119" t="s">
        <x:v>29</x:v>
      </x:c>
      <x:c r="P119" s="18">
        <x:v>16.997640414454061</x:v>
      </x:c>
      <x:c r="Q119" t="s">
        <x:v>29</x:v>
      </x:c>
      <x:c r="R119" t="s">
        <x:v>46</x:v>
      </x:c>
      <x:c r="S119" t="s">
        <x:v>507</x:v>
      </x:c>
      <x:c r="T119" t="s">
        <x:v>32</x:v>
      </x:c>
      <x:c r="U119" t="s">
        <x:v>33</x:v>
      </x:c>
      <x:c r="V119" t="s">
        <x:v>26</x:v>
      </x:c>
      <x:c r="W119" s="15">
        <x:v>7.7110000000000003</x:v>
      </x:c>
      <x:c r="X119" s="16" t="s">
        <x:v>429</x:v>
      </x:c>
    </x:row>
    <x:row r="120" ht="18">
      <x:c r="A120" s="11" t="s">
        <x:v>557</x:v>
      </x:c>
      <x:c r="B120" s="3">
        <x:v>19.95</x:v>
      </x:c>
      <x:c r="C120" s="5">
        <x:v>27.456</x:v>
      </x:c>
      <x:c r="D120" s="5">
        <x:f t="shared" si="2"/>
        <x:v>7.5060000000000002</x:v>
      </x:c>
      <x:c r="E120" t="s">
        <x:v>454</x:v>
      </x:c>
      <x:c r="F120" t="s">
        <x:v>26</x:v>
      </x:c>
      <x:c r="G120" t="s">
        <x:v>558</x:v>
      </x:c>
      <x:c r="H120" t="s">
        <x:v>559</x:v>
      </x:c>
      <x:c r="I120" s="15">
        <x:v>19</x:v>
      </x:c>
      <x:c r="J120" s="15">
        <x:v>18</x:v>
      </x:c>
      <x:c r="K120" s="15">
        <x:v>13</x:v>
      </x:c>
      <x:c r="L120" s="18">
        <x:v>20.7</x:v>
      </x:c>
      <x:c r="M120" t="s">
        <x:v>29</x:v>
      </x:c>
      <x:c r="N120" s="18">
        <x:v>27</x:v>
      </x:c>
      <x:c r="O120" t="s">
        <x:v>29</x:v>
      </x:c>
      <x:c r="P120" s="18">
        <x:v>13.227735731092654</x:v>
      </x:c>
      <x:c r="Q120" t="s">
        <x:v>29</x:v>
      </x:c>
      <x:c r="R120" t="s">
        <x:v>472</x:v>
      </x:c>
      <x:c r="S120" t="s">
        <x:v>560</x:v>
      </x:c>
      <x:c r="T120" t="s">
        <x:v>32</x:v>
      </x:c>
      <x:c r="U120" t="s">
        <x:v>33</x:v>
      </x:c>
      <x:c r="V120" t="s">
        <x:v>26</x:v>
      </x:c>
      <x:c r="W120" s="15">
        <x:v>6</x:v>
      </x:c>
      <x:c r="X120" s="16" t="s">
        <x:v>561</x:v>
      </x:c>
    </x:row>
    <x:row r="121" ht="18">
      <x:c r="A121" s="11" t="s">
        <x:v>562</x:v>
      </x:c>
      <x:c r="B121" s="3">
        <x:v>44.41</x:v>
      </x:c>
      <x:c r="C121" s="5">
        <x:v>51.863999999999997</x:v>
      </x:c>
      <x:c r="D121" s="5">
        <x:f t="shared" si="2"/>
        <x:v>7.4540000000000006</x:v>
      </x:c>
      <x:c r="F121" t="s">
        <x:v>53</x:v>
      </x:c>
      <x:c r="I121" s="15">
        <x:v>33</x:v>
      </x:c>
      <x:c r="J121" s="15">
        <x:v>30</x:v>
      </x:c>
      <x:c r="K121" s="15">
        <x:v>25</x:v>
      </x:c>
      <x:c r="L121" s="18">
        <x:v>13.2</x:v>
      </x:c>
      <x:c r="M121" t="s">
        <x:v>29</x:v>
      </x:c>
      <x:c r="N121" s="18">
        <x:v>14</x:v>
      </x:c>
      <x:c r="O121" t="s">
        <x:v>29</x:v>
      </x:c>
      <x:c r="P121" s="18">
        <x:v>6.9886537112606186</x:v>
      </x:c>
      <x:c r="Q121" t="s">
        <x:v>29</x:v>
      </x:c>
      <x:c r="R121" t="s">
        <x:v>32</x:v>
      </x:c>
      <x:c r="S121" t="s">
        <x:v>33</x:v>
      </x:c>
      <x:c r="T121" t="s">
        <x:v>422</x:v>
      </x:c>
      <x:c r="U121" t="s">
        <x:v>563</x:v>
      </x:c>
      <x:c r="V121" t="s">
        <x:v>26</x:v>
      </x:c>
      <x:c r="W121" s="15"/>
      <x:c r="X121" s="16"/>
    </x:row>
    <x:row r="122" ht="18">
      <x:c r="A122" s="11" t="s">
        <x:v>564</x:v>
      </x:c>
      <x:c r="B122" s="3">
        <x:v>43.04</x:v>
      </x:c>
      <x:c r="C122" s="5">
        <x:v>50.435000000000002</x:v>
      </x:c>
      <x:c r="D122" s="5">
        <x:f t="shared" si="2"/>
        <x:v>7.3950000000000031</x:v>
      </x:c>
      <x:c r="F122" t="s">
        <x:v>53</x:v>
      </x:c>
      <x:c r="I122" s="15">
        <x:v>24</x:v>
      </x:c>
      <x:c r="J122" s="15">
        <x:v>14</x:v>
      </x:c>
      <x:c r="K122" s="15">
        <x:v>14</x:v>
      </x:c>
      <x:c r="L122" s="18">
        <x:v>8.3000000000000007</x:v>
      </x:c>
      <x:c r="M122" t="s">
        <x:v>29</x:v>
      </x:c>
      <x:c r="N122" s="18">
        <x:v>29</x:v>
      </x:c>
      <x:c r="O122" t="s">
        <x:v>29</x:v>
      </x:c>
      <x:c r="P122" s="18">
        <x:v>46.297075058824291</x:v>
      </x:c>
      <x:c r="Q122" t="s">
        <x:v>29</x:v>
      </x:c>
      <x:c r="R122" t="s">
        <x:v>46</x:v>
      </x:c>
      <x:c r="S122" t="s">
        <x:v>565</x:v>
      </x:c>
      <x:c r="T122" t="s">
        <x:v>32</x:v>
      </x:c>
      <x:c r="U122" t="s">
        <x:v>33</x:v>
      </x:c>
      <x:c r="V122" t="s">
        <x:v>26</x:v>
      </x:c>
      <x:c r="W122" s="15">
        <x:v>9</x:v>
      </x:c>
      <x:c r="X122" s="16" t="s">
        <x:v>566</x:v>
      </x:c>
    </x:row>
    <x:row r="123" ht="18">
      <x:c r="A123" s="11" t="s">
        <x:v>567</x:v>
      </x:c>
      <x:c r="B123" s="3">
        <x:v>72.08</x:v>
      </x:c>
      <x:c r="C123" s="5">
        <x:v>79.188999999999993</x:v>
      </x:c>
      <x:c r="D123" s="5">
        <x:f t="shared" si="2"/>
        <x:v>7.1089999999999947</x:v>
      </x:c>
      <x:c r="E123" t="s">
        <x:v>70</x:v>
      </x:c>
      <x:c r="F123" t="s">
        <x:v>26</x:v>
      </x:c>
      <x:c r="G123" t="s">
        <x:v>568</x:v>
      </x:c>
      <x:c r="H123" t="s">
        <x:v>569</x:v>
      </x:c>
      <x:c r="I123" s="15"/>
      <x:c r="J123" s="15"/>
      <x:c r="K123" s="15"/>
      <x:c r="L123" s="18"/>
      <x:c r="N123" s="18"/>
      <x:c r="P123" s="18"/>
      <x:c r="V123" t="s">
        <x:v>53</x:v>
      </x:c>
      <x:c r="W123" s="15">
        <x:v>25.401</x:v>
      </x:c>
      <x:c r="X123" s="16" t="s">
        <x:v>75</x:v>
      </x:c>
    </x:row>
    <x:row r="124" ht="18">
      <x:c r="A124" s="11" t="s">
        <x:v>570</x:v>
      </x:c>
      <x:c r="B124" s="3">
        <x:v>34.799999999999997</x:v>
      </x:c>
      <x:c r="C124" s="5">
        <x:v>41.844000000000001</x:v>
      </x:c>
      <x:c r="D124" s="5">
        <x:f t="shared" si="2"/>
        <x:v>7.044000000000004</x:v>
      </x:c>
      <x:c r="E124" t="s">
        <x:v>50</x:v>
      </x:c>
      <x:c r="F124" t="s">
        <x:v>26</x:v>
      </x:c>
      <x:c r="G124" t="s">
        <x:v>571</x:v>
      </x:c>
      <x:c r="H124" t="s">
        <x:v>572</x:v>
      </x:c>
      <x:c r="I124" s="15">
        <x:v>18</x:v>
      </x:c>
      <x:c r="J124" s="15">
        <x:v>17</x:v>
      </x:c>
      <x:c r="K124" s="15">
        <x:v>16</x:v>
      </x:c>
      <x:c r="L124" s="18">
        <x:v>43.1</x:v>
      </x:c>
      <x:c r="M124" t="s">
        <x:v>29</x:v>
      </x:c>
      <x:c r="N124" s="18">
        <x:v>44</x:v>
      </x:c>
      <x:c r="O124" t="s">
        <x:v>29</x:v>
      </x:c>
      <x:c r="P124" s="18">
        <x:v>35.273961949580411</x:v>
      </x:c>
      <x:c r="Q124" t="s">
        <x:v>29</x:v>
      </x:c>
      <x:c r="R124" t="s">
        <x:v>66</x:v>
      </x:c>
      <x:c r="S124" t="s">
        <x:v>573</x:v>
      </x:c>
      <x:c r="T124" t="s">
        <x:v>32</x:v>
      </x:c>
      <x:c r="U124" t="s">
        <x:v>33</x:v>
      </x:c>
      <x:c r="V124" t="s">
        <x:v>26</x:v>
      </x:c>
      <x:c r="W124" s="15">
        <x:v>1</x:v>
      </x:c>
      <x:c r="X124" s="16" t="s">
        <x:v>452</x:v>
      </x:c>
    </x:row>
    <x:row r="125" ht="18">
      <x:c r="A125" s="11" t="s">
        <x:v>574</x:v>
      </x:c>
      <x:c r="B125" s="3">
        <x:v>65.37</x:v>
      </x:c>
      <x:c r="C125" s="5">
        <x:v>72.028000000000006</x:v>
      </x:c>
      <x:c r="D125" s="5">
        <x:f t="shared" si="2"/>
        <x:v>6.6580000000000013</x:v>
      </x:c>
      <x:c r="E125" t="s">
        <x:v>70</x:v>
      </x:c>
      <x:c r="F125" t="s">
        <x:v>26</x:v>
      </x:c>
      <x:c r="G125" t="s">
        <x:v>575</x:v>
      </x:c>
      <x:c r="H125" t="s">
        <x:v>576</x:v>
      </x:c>
      <x:c r="I125" s="15">
        <x:v>23</x:v>
      </x:c>
      <x:c r="J125" s="15">
        <x:v>22</x:v>
      </x:c>
      <x:c r="K125" s="15">
        <x:v>17</x:v>
      </x:c>
      <x:c r="L125" s="18">
        <x:v>71.400000000000006</x:v>
      </x:c>
      <x:c r="M125" t="s">
        <x:v>29</x:v>
      </x:c>
      <x:c r="N125" s="18">
        <x:v>72</x:v>
      </x:c>
      <x:c r="O125" t="s">
        <x:v>29</x:v>
      </x:c>
      <x:c r="P125" s="18">
        <x:v>55.997414594958897</x:v>
      </x:c>
      <x:c r="Q125" t="s">
        <x:v>29</x:v>
      </x:c>
      <x:c r="R125" t="s">
        <x:v>226</x:v>
      </x:c>
      <x:c r="S125" t="s">
        <x:v>577</x:v>
      </x:c>
      <x:c r="T125" t="s">
        <x:v>32</x:v>
      </x:c>
      <x:c r="U125" t="s">
        <x:v>33</x:v>
      </x:c>
      <x:c r="V125" t="s">
        <x:v>26</x:v>
      </x:c>
      <x:c r="W125" s="15">
        <x:v>25.401</x:v>
      </x:c>
      <x:c r="X125" s="16" t="s">
        <x:v>75</x:v>
      </x:c>
    </x:row>
    <x:row r="126" ht="18">
      <x:c r="A126" s="11" t="s">
        <x:v>578</x:v>
      </x:c>
      <x:c r="B126" s="3">
        <x:v>75.05</x:v>
      </x:c>
      <x:c r="C126" s="5">
        <x:v>81.674999999999997</x:v>
      </x:c>
      <x:c r="D126" s="5">
        <x:f t="shared" si="2"/>
        <x:v>6.625</x:v>
      </x:c>
      <x:c r="E126" t="s">
        <x:v>579</x:v>
      </x:c>
      <x:c r="F126" t="s">
        <x:v>26</x:v>
      </x:c>
      <x:c r="G126" t="s">
        <x:v>580</x:v>
      </x:c>
      <x:c r="H126" t="s">
        <x:v>581</x:v>
      </x:c>
      <x:c r="I126" s="15"/>
      <x:c r="J126" s="15"/>
      <x:c r="K126" s="15"/>
      <x:c r="L126" s="18"/>
      <x:c r="N126" s="18"/>
      <x:c r="P126" s="18"/>
      <x:c r="V126" t="s">
        <x:v>53</x:v>
      </x:c>
      <x:c r="W126" s="15">
        <x:v>0</x:v>
      </x:c>
      <x:c r="X126" s="16" t="s">
        <x:v>582</x:v>
      </x:c>
    </x:row>
    <x:row r="127" ht="18">
      <x:c r="A127" s="11" t="s">
        <x:v>583</x:v>
      </x:c>
      <x:c r="B127" s="3">
        <x:v>23.72</x:v>
      </x:c>
      <x:c r="C127" s="5">
        <x:v>30.228000000000002</x:v>
      </x:c>
      <x:c r="D127" s="5">
        <x:f t="shared" si="2"/>
        <x:v>6.5080000000000027</x:v>
      </x:c>
      <x:c r="E127" t="s">
        <x:v>82</x:v>
      </x:c>
      <x:c r="F127" t="s">
        <x:v>26</x:v>
      </x:c>
      <x:c r="G127" t="s">
        <x:v>584</x:v>
      </x:c>
      <x:c r="H127" t="s">
        <x:v>585</x:v>
      </x:c>
      <x:c r="I127" s="15">
        <x:v>16</x:v>
      </x:c>
      <x:c r="J127" s="15">
        <x:v>16</x:v>
      </x:c>
      <x:c r="K127" s="15">
        <x:v>12</x:v>
      </x:c>
      <x:c r="L127" s="18">
        <x:v>30</x:v>
      </x:c>
      <x:c r="M127" t="s">
        <x:v>29</x:v>
      </x:c>
      <x:c r="N127" s="18">
        <x:v>30</x:v>
      </x:c>
      <x:c r="O127" t="s">
        <x:v>29</x:v>
      </x:c>
      <x:c r="P127" s="18">
        <x:v>21.781671503865905</x:v>
      </x:c>
      <x:c r="Q127" t="s">
        <x:v>29</x:v>
      </x:c>
      <x:c r="R127" t="s">
        <x:v>46</x:v>
      </x:c>
      <x:c r="S127" t="s">
        <x:v>586</x:v>
      </x:c>
      <x:c r="T127" t="s">
        <x:v>32</x:v>
      </x:c>
      <x:c r="U127" t="s">
        <x:v>33</x:v>
      </x:c>
      <x:c r="V127" t="s">
        <x:v>26</x:v>
      </x:c>
      <x:c r="W127" s="15">
        <x:v>9.8879999999999999</x:v>
      </x:c>
      <x:c r="X127" s="16" t="s">
        <x:v>587</x:v>
      </x:c>
    </x:row>
    <x:row r="128" ht="18">
      <x:c r="A128" s="11" t="s">
        <x:v>588</x:v>
      </x:c>
      <x:c r="B128" s="3">
        <x:v>88.7</x:v>
      </x:c>
      <x:c r="C128" s="5">
        <x:v>95.183000000000007</x:v>
      </x:c>
      <x:c r="D128" s="5">
        <x:f t="shared" si="2"/>
        <x:v>6.4830000000000041</x:v>
      </x:c>
      <x:c r="E128" t="s">
        <x:v>589</x:v>
      </x:c>
      <x:c r="F128" t="s">
        <x:v>26</x:v>
      </x:c>
      <x:c r="G128" t="s">
        <x:v>590</x:v>
      </x:c>
      <x:c r="I128" s="15">
        <x:v>27</x:v>
      </x:c>
      <x:c r="J128" s="15">
        <x:v>20</x:v>
      </x:c>
      <x:c r="K128" s="15">
        <x:v>15</x:v>
      </x:c>
      <x:c r="L128" s="18">
        <x:v>76.7</x:v>
      </x:c>
      <x:c r="M128" t="s">
        <x:v>29</x:v>
      </x:c>
      <x:c r="N128" s="18">
        <x:v>77</x:v>
      </x:c>
      <x:c r="O128" t="s">
        <x:v>29</x:v>
      </x:c>
      <x:c r="P128" s="18">
        <x:v>65.036367344538888</x:v>
      </x:c>
      <x:c r="Q128" t="s">
        <x:v>29</x:v>
      </x:c>
      <x:c r="R128" t="s">
        <x:v>239</x:v>
      </x:c>
      <x:c r="S128" t="s">
        <x:v>444</x:v>
      </x:c>
      <x:c r="T128" t="s">
        <x:v>32</x:v>
      </x:c>
      <x:c r="U128" t="s">
        <x:v>33</x:v>
      </x:c>
      <x:c r="V128" t="s">
        <x:v>26</x:v>
      </x:c>
      <x:c r="W128" s="15">
        <x:v>1</x:v>
      </x:c>
      <x:c r="X128" s="16" t="s">
        <x:v>591</x:v>
      </x:c>
    </x:row>
    <x:row r="129" ht="18">
      <x:c r="A129" s="11" t="s">
        <x:v>592</x:v>
      </x:c>
      <x:c r="B129" s="3">
        <x:v>88.7</x:v>
      </x:c>
      <x:c r="C129" s="5">
        <x:v>95.183000000000007</x:v>
      </x:c>
      <x:c r="D129" s="5">
        <x:f t="shared" si="2"/>
        <x:v>6.4830000000000041</x:v>
      </x:c>
      <x:c r="E129" t="s">
        <x:v>589</x:v>
      </x:c>
      <x:c r="F129" t="s">
        <x:v>26</x:v>
      </x:c>
      <x:c r="G129" t="s">
        <x:v>593</x:v>
      </x:c>
      <x:c r="H129" t="s">
        <x:v>443</x:v>
      </x:c>
      <x:c r="I129" s="15">
        <x:v>27</x:v>
      </x:c>
      <x:c r="J129" s="15">
        <x:v>20</x:v>
      </x:c>
      <x:c r="K129" s="15">
        <x:v>15</x:v>
      </x:c>
      <x:c r="L129" s="18">
        <x:v>76.900000000000006</x:v>
      </x:c>
      <x:c r="M129" t="s">
        <x:v>29</x:v>
      </x:c>
      <x:c r="N129" s="18">
        <x:v>77</x:v>
      </x:c>
      <x:c r="O129" t="s">
        <x:v>29</x:v>
      </x:c>
      <x:c r="P129" s="18">
        <x:v>65.036367344538888</x:v>
      </x:c>
      <x:c r="Q129" t="s">
        <x:v>29</x:v>
      </x:c>
      <x:c r="R129" t="s">
        <x:v>239</x:v>
      </x:c>
      <x:c r="S129" t="s">
        <x:v>444</x:v>
      </x:c>
      <x:c r="T129" t="s">
        <x:v>32</x:v>
      </x:c>
      <x:c r="U129" t="s">
        <x:v>33</x:v>
      </x:c>
      <x:c r="V129" t="s">
        <x:v>26</x:v>
      </x:c>
      <x:c r="W129" s="15">
        <x:v>1</x:v>
      </x:c>
      <x:c r="X129" s="16" t="s">
        <x:v>594</x:v>
      </x:c>
    </x:row>
    <x:row r="130" ht="18">
      <x:c r="A130" s="11" t="s">
        <x:v>595</x:v>
      </x:c>
      <x:c r="B130" s="3">
        <x:v>88.7</x:v>
      </x:c>
      <x:c r="C130" s="5">
        <x:v>95.183000000000007</x:v>
      </x:c>
      <x:c r="D130" s="5">
        <x:f t="shared" si="2"/>
        <x:v>6.4830000000000041</x:v>
      </x:c>
      <x:c r="E130" t="s">
        <x:v>589</x:v>
      </x:c>
      <x:c r="F130" t="s">
        <x:v>26</x:v>
      </x:c>
      <x:c r="G130" t="s">
        <x:v>596</x:v>
      </x:c>
      <x:c r="I130" s="15">
        <x:v>27</x:v>
      </x:c>
      <x:c r="J130" s="15">
        <x:v>20</x:v>
      </x:c>
      <x:c r="K130" s="15">
        <x:v>15</x:v>
      </x:c>
      <x:c r="L130" s="18">
        <x:v>76.900000000000006</x:v>
      </x:c>
      <x:c r="M130" t="s">
        <x:v>29</x:v>
      </x:c>
      <x:c r="N130" s="18">
        <x:v>77</x:v>
      </x:c>
      <x:c r="O130" t="s">
        <x:v>29</x:v>
      </x:c>
      <x:c r="P130" s="18">
        <x:v>65.036367344538888</x:v>
      </x:c>
      <x:c r="Q130" t="s">
        <x:v>29</x:v>
      </x:c>
      <x:c r="R130" t="s">
        <x:v>239</x:v>
      </x:c>
      <x:c r="S130" t="s">
        <x:v>444</x:v>
      </x:c>
      <x:c r="T130" t="s">
        <x:v>32</x:v>
      </x:c>
      <x:c r="U130" t="s">
        <x:v>33</x:v>
      </x:c>
      <x:c r="V130" t="s">
        <x:v>26</x:v>
      </x:c>
      <x:c r="W130" s="15">
        <x:v>1</x:v>
      </x:c>
      <x:c r="X130" s="16" t="s">
        <x:v>594</x:v>
      </x:c>
    </x:row>
    <x:row r="131" ht="18">
      <x:c r="A131" s="11" t="s">
        <x:v>597</x:v>
      </x:c>
      <x:c r="B131" s="3">
        <x:v>98.83</x:v>
      </x:c>
      <x:c r="C131" s="5">
        <x:v>105.27</x:v>
      </x:c>
      <x:c r="D131" s="5" t="n">
        <x:f t="shared" ref="D131:D194" si="3">C131-B131</x:f>
        <x:v>6.439999999999998</x:v>
      </x:c>
      <x:c r="E131" t="s">
        <x:v>324</x:v>
      </x:c>
      <x:c r="F131" t="s">
        <x:v>26</x:v>
      </x:c>
      <x:c r="G131" t="s">
        <x:v>598</x:v>
      </x:c>
      <x:c r="H131" t="s">
        <x:v>599</x:v>
      </x:c>
      <x:c r="I131" s="15">
        <x:v>26</x:v>
      </x:c>
      <x:c r="J131" s="15">
        <x:v>23</x:v>
      </x:c>
      <x:c r="K131" s="15">
        <x:v>17</x:v>
      </x:c>
      <x:c r="L131" s="18">
        <x:v>88.1</x:v>
      </x:c>
      <x:c r="M131" t="s">
        <x:v>29</x:v>
      </x:c>
      <x:c r="N131" s="18">
        <x:v>89</x:v>
      </x:c>
      <x:c r="O131" t="s">
        <x:v>29</x:v>
      </x:c>
      <x:c r="P131" s="18">
        <x:v>79.586876648740812</x:v>
      </x:c>
      <x:c r="Q131" t="s">
        <x:v>29</x:v>
      </x:c>
      <x:c r="R131" t="s">
        <x:v>146</x:v>
      </x:c>
      <x:c r="S131" t="s">
        <x:v>600</x:v>
      </x:c>
      <x:c r="T131" t="s">
        <x:v>32</x:v>
      </x:c>
      <x:c r="U131" t="s">
        <x:v>33</x:v>
      </x:c>
      <x:c r="V131" t="s">
        <x:v>26</x:v>
      </x:c>
      <x:c r="W131" s="15">
        <x:v>1</x:v>
      </x:c>
      <x:c r="X131" s="16" t="s">
        <x:v>327</x:v>
      </x:c>
    </x:row>
    <x:row r="132" ht="18">
      <x:c r="A132" s="11" t="s">
        <x:v>601</x:v>
      </x:c>
      <x:c r="B132" s="3">
        <x:v>62.65</x:v>
      </x:c>
      <x:c r="C132" s="5">
        <x:v>68.915000000000006</x:v>
      </x:c>
      <x:c r="D132" s="5">
        <x:f t="shared" si="3"/>
        <x:v>6.2650000000000077</x:v>
      </x:c>
      <x:c r="E132" t="s">
        <x:v>50</x:v>
      </x:c>
      <x:c r="F132" t="s">
        <x:v>26</x:v>
      </x:c>
      <x:c r="G132" t="s">
        <x:v>602</x:v>
      </x:c>
      <x:c r="H132" t="s">
        <x:v>603</x:v>
      </x:c>
      <x:c r="I132" s="15"/>
      <x:c r="J132" s="15"/>
      <x:c r="K132" s="15"/>
      <x:c r="L132" s="18"/>
      <x:c r="N132" s="18"/>
      <x:c r="P132" s="18"/>
      <x:c r="V132" t="s">
        <x:v>53</x:v>
      </x:c>
      <x:c r="W132" s="15">
        <x:v>17.236999999999998</x:v>
      </x:c>
      <x:c r="X132" s="16" t="s">
        <x:v>54</x:v>
      </x:c>
    </x:row>
    <x:row r="133" ht="18">
      <x:c r="A133" s="11" t="s">
        <x:v>604</x:v>
      </x:c>
      <x:c r="B133" s="3">
        <x:v>28.69</x:v>
      </x:c>
      <x:c r="C133" s="5">
        <x:v>34.869999999999997</x:v>
      </x:c>
      <x:c r="D133" s="5">
        <x:f t="shared" si="3"/>
        <x:v>6.1799999999999962</x:v>
      </x:c>
      <x:c r="E133" t="s">
        <x:v>336</x:v>
      </x:c>
      <x:c r="F133" t="s">
        <x:v>26</x:v>
      </x:c>
      <x:c r="G133" t="s">
        <x:v>605</x:v>
      </x:c>
      <x:c r="H133" t="s">
        <x:v>606</x:v>
      </x:c>
      <x:c r="I133" s="15"/>
      <x:c r="J133" s="15"/>
      <x:c r="K133" s="15"/>
      <x:c r="L133" s="18"/>
      <x:c r="N133" s="18"/>
      <x:c r="P133" s="18"/>
      <x:c r="V133" t="s">
        <x:v>53</x:v>
      </x:c>
      <x:c r="W133" s="15">
        <x:v>1</x:v>
      </x:c>
      <x:c r="X133" s="16" t="s">
        <x:v>607</x:v>
      </x:c>
    </x:row>
    <x:row r="134" ht="18">
      <x:c r="A134" s="11" t="s">
        <x:v>608</x:v>
      </x:c>
      <x:c r="B134" s="3">
        <x:v>74.739999999999995</x:v>
      </x:c>
      <x:c r="C134" s="5">
        <x:v>80.861000000000004</x:v>
      </x:c>
      <x:c r="D134" s="5">
        <x:f t="shared" si="3"/>
        <x:v>6.1210000000000093</x:v>
      </x:c>
      <x:c r="E134" t="s">
        <x:v>589</x:v>
      </x:c>
      <x:c r="F134" t="s">
        <x:v>26</x:v>
      </x:c>
      <x:c r="G134" t="s">
        <x:v>609</x:v>
      </x:c>
      <x:c r="H134" t="s">
        <x:v>610</x:v>
      </x:c>
      <x:c r="I134" s="15">
        <x:v>27</x:v>
      </x:c>
      <x:c r="J134" s="15">
        <x:v>20</x:v>
      </x:c>
      <x:c r="K134" s="15">
        <x:v>15</x:v>
      </x:c>
      <x:c r="L134" s="18">
        <x:v>76.5</x:v>
      </x:c>
      <x:c r="M134" t="s">
        <x:v>29</x:v>
      </x:c>
      <x:c r="N134" s="18">
        <x:v>77</x:v>
      </x:c>
      <x:c r="O134" t="s">
        <x:v>29</x:v>
      </x:c>
      <x:c r="P134" s="18">
        <x:v>65.036367344538888</x:v>
      </x:c>
      <x:c r="Q134" t="s">
        <x:v>29</x:v>
      </x:c>
      <x:c r="R134" t="s">
        <x:v>199</x:v>
      </x:c>
      <x:c r="S134" t="s">
        <x:v>432</x:v>
      </x:c>
      <x:c r="T134" t="s">
        <x:v>32</x:v>
      </x:c>
      <x:c r="U134" t="s">
        <x:v>33</x:v>
      </x:c>
      <x:c r="V134" t="s">
        <x:v>26</x:v>
      </x:c>
      <x:c r="W134" s="15">
        <x:v>1</x:v>
      </x:c>
      <x:c r="X134" s="16" t="s">
        <x:v>594</x:v>
      </x:c>
    </x:row>
    <x:row r="135" ht="18">
      <x:c r="A135" s="11" t="s">
        <x:v>611</x:v>
      </x:c>
      <x:c r="B135" s="3">
        <x:v>32.4</x:v>
      </x:c>
      <x:c r="C135" s="5">
        <x:v>38.302</x:v>
      </x:c>
      <x:c r="D135" s="5">
        <x:f t="shared" si="3"/>
        <x:v>5.902000000000001</x:v>
      </x:c>
      <x:c r="E135" t="s">
        <x:v>82</x:v>
      </x:c>
      <x:c r="F135" t="s">
        <x:v>26</x:v>
      </x:c>
      <x:c r="G135" t="s">
        <x:v>612</x:v>
      </x:c>
      <x:c r="H135" t="s">
        <x:v>613</x:v>
      </x:c>
      <x:c r="I135" s="15"/>
      <x:c r="J135" s="15"/>
      <x:c r="K135" s="15"/>
      <x:c r="L135" s="18"/>
      <x:c r="N135" s="18"/>
      <x:c r="P135" s="18"/>
      <x:c r="V135" t="s">
        <x:v>53</x:v>
      </x:c>
      <x:c r="W135" s="15">
        <x:v>11.34</x:v>
      </x:c>
      <x:c r="X135" s="16" t="s">
        <x:v>87</x:v>
      </x:c>
    </x:row>
    <x:row r="136" ht="18">
      <x:c r="A136" s="11" t="s">
        <x:v>614</x:v>
      </x:c>
      <x:c r="B136" s="3">
        <x:v>32.22</x:v>
      </x:c>
      <x:c r="C136" s="5">
        <x:v>38.070999999999998</x:v>
      </x:c>
      <x:c r="D136" s="5">
        <x:f t="shared" si="3"/>
        <x:v>5.8509999999999991</x:v>
      </x:c>
      <x:c r="E136" t="s">
        <x:v>82</x:v>
      </x:c>
      <x:c r="F136" t="s">
        <x:v>26</x:v>
      </x:c>
      <x:c r="G136" t="s">
        <x:v>615</x:v>
      </x:c>
      <x:c r="H136" t="s">
        <x:v>616</x:v>
      </x:c>
      <x:c r="I136" s="15">
        <x:v>16</x:v>
      </x:c>
      <x:c r="J136" s="15">
        <x:v>16</x:v>
      </x:c>
      <x:c r="K136" s="15">
        <x:v>12</x:v>
      </x:c>
      <x:c r="L136" s="18">
        <x:v>29.6</x:v>
      </x:c>
      <x:c r="M136" t="s">
        <x:v>29</x:v>
      </x:c>
      <x:c r="N136" s="18">
        <x:v>30</x:v>
      </x:c>
      <x:c r="O136" t="s">
        <x:v>29</x:v>
      </x:c>
      <x:c r="P136" s="18">
        <x:v>25.000420531765116</x:v>
      </x:c>
      <x:c r="Q136" t="s">
        <x:v>29</x:v>
      </x:c>
      <x:c r="R136" t="s">
        <x:v>134</x:v>
      </x:c>
      <x:c r="S136" t="s">
        <x:v>617</x:v>
      </x:c>
      <x:c r="T136" t="s">
        <x:v>32</x:v>
      </x:c>
      <x:c r="U136" t="s">
        <x:v>33</x:v>
      </x:c>
      <x:c r="V136" t="s">
        <x:v>26</x:v>
      </x:c>
      <x:c r="W136" s="15">
        <x:v>11.34</x:v>
      </x:c>
      <x:c r="X136" s="16" t="s">
        <x:v>87</x:v>
      </x:c>
    </x:row>
    <x:row r="137" ht="18">
      <x:c r="A137" s="11" t="s">
        <x:v>618</x:v>
      </x:c>
      <x:c r="B137" s="3">
        <x:v>32.22</x:v>
      </x:c>
      <x:c r="C137" s="5">
        <x:v>38.070999999999998</x:v>
      </x:c>
      <x:c r="D137" s="5">
        <x:f t="shared" si="3"/>
        <x:v>5.8509999999999991</x:v>
      </x:c>
      <x:c r="E137" t="s">
        <x:v>82</x:v>
      </x:c>
      <x:c r="F137" t="s">
        <x:v>26</x:v>
      </x:c>
      <x:c r="G137" t="s">
        <x:v>619</x:v>
      </x:c>
      <x:c r="H137" t="s">
        <x:v>620</x:v>
      </x:c>
      <x:c r="I137" s="15">
        <x:v>20</x:v>
      </x:c>
      <x:c r="J137" s="15">
        <x:v>16</x:v>
      </x:c>
      <x:c r="K137" s="15">
        <x:v>15</x:v>
      </x:c>
      <x:c r="L137" s="18">
        <x:v>29.3</x:v>
      </x:c>
      <x:c r="M137" t="s">
        <x:v>29</x:v>
      </x:c>
      <x:c r="N137" s="18">
        <x:v>30</x:v>
      </x:c>
      <x:c r="O137" t="s">
        <x:v>29</x:v>
      </x:c>
      <x:c r="P137" s="18">
        <x:v>25.000420531765116</x:v>
      </x:c>
      <x:c r="Q137" t="s">
        <x:v>29</x:v>
      </x:c>
      <x:c r="R137" t="s">
        <x:v>621</x:v>
      </x:c>
      <x:c r="S137" t="s">
        <x:v>622</x:v>
      </x:c>
      <x:c r="T137" t="s">
        <x:v>32</x:v>
      </x:c>
      <x:c r="U137" t="s">
        <x:v>33</x:v>
      </x:c>
      <x:c r="V137" t="s">
        <x:v>26</x:v>
      </x:c>
      <x:c r="W137" s="15">
        <x:v>11.34</x:v>
      </x:c>
      <x:c r="X137" s="16" t="s">
        <x:v>87</x:v>
      </x:c>
    </x:row>
    <x:row r="138" ht="18">
      <x:c r="A138" s="11" t="s">
        <x:v>623</x:v>
      </x:c>
      <x:c r="B138" s="3">
        <x:v>24.48</x:v>
      </x:c>
      <x:c r="C138" s="5">
        <x:v>30.228000000000002</x:v>
      </x:c>
      <x:c r="D138" s="5">
        <x:f t="shared" si="3"/>
        <x:v>5.7480000000000011</x:v>
      </x:c>
      <x:c r="F138" t="s">
        <x:v>53</x:v>
      </x:c>
      <x:c r="I138" s="15">
        <x:v>16</x:v>
      </x:c>
      <x:c r="J138" s="15">
        <x:v>16</x:v>
      </x:c>
      <x:c r="K138" s="15">
        <x:v>12</x:v>
      </x:c>
      <x:c r="L138" s="18">
        <x:v>29.6</x:v>
      </x:c>
      <x:c r="M138" t="s">
        <x:v>29</x:v>
      </x:c>
      <x:c r="N138" s="18">
        <x:v>30</x:v>
      </x:c>
      <x:c r="O138" t="s">
        <x:v>29</x:v>
      </x:c>
      <x:c r="P138" s="18">
        <x:v>22.994213945882731</x:v>
      </x:c>
      <x:c r="Q138" t="s">
        <x:v>29</x:v>
      </x:c>
      <x:c r="R138" t="s">
        <x:v>66</x:v>
      </x:c>
      <x:c r="S138" t="s">
        <x:v>624</x:v>
      </x:c>
      <x:c r="T138" t="s">
        <x:v>32</x:v>
      </x:c>
      <x:c r="U138" t="s">
        <x:v>33</x:v>
      </x:c>
      <x:c r="V138" t="s">
        <x:v>26</x:v>
      </x:c>
      <x:c r="W138" s="15">
        <x:v>10.433</x:v>
      </x:c>
      <x:c r="X138" s="16" t="s">
        <x:v>513</x:v>
      </x:c>
    </x:row>
    <x:row r="139" ht="18">
      <x:c r="A139" s="11" t="s">
        <x:v>625</x:v>
      </x:c>
      <x:c r="B139" s="3">
        <x:v>30.19</x:v>
      </x:c>
      <x:c r="C139" s="5">
        <x:v>35.838000000000001</x:v>
      </x:c>
      <x:c r="D139" s="5">
        <x:f t="shared" si="3"/>
        <x:v>5.6479999999999997</x:v>
      </x:c>
      <x:c r="E139" t="s">
        <x:v>50</x:v>
      </x:c>
      <x:c r="F139" t="s">
        <x:v>26</x:v>
      </x:c>
      <x:c r="G139" t="s">
        <x:v>626</x:v>
      </x:c>
      <x:c r="H139" t="s">
        <x:v>627</x:v>
      </x:c>
      <x:c r="I139" s="15"/>
      <x:c r="J139" s="15"/>
      <x:c r="K139" s="15"/>
      <x:c r="L139" s="18"/>
      <x:c r="N139" s="18"/>
      <x:c r="P139" s="18"/>
      <x:c r="V139" t="s">
        <x:v>53</x:v>
      </x:c>
      <x:c r="W139" s="15">
        <x:v>17.236999999999998</x:v>
      </x:c>
      <x:c r="X139" s="16" t="s">
        <x:v>54</x:v>
      </x:c>
    </x:row>
    <x:row r="140" ht="18">
      <x:c r="A140" s="11" t="s">
        <x:v>628</x:v>
      </x:c>
      <x:c r="B140" s="3">
        <x:v>23.66</x:v>
      </x:c>
      <x:c r="C140" s="5">
        <x:v>29.238</x:v>
      </x:c>
      <x:c r="D140" s="5">
        <x:f t="shared" si="3"/>
        <x:v>5.5779999999999994</x:v>
      </x:c>
      <x:c r="E140" t="s">
        <x:v>149</x:v>
      </x:c>
      <x:c r="F140" t="s">
        <x:v>26</x:v>
      </x:c>
      <x:c r="G140" t="s">
        <x:v>629</x:v>
      </x:c>
      <x:c r="H140" t="s">
        <x:v>630</x:v>
      </x:c>
      <x:c r="I140" s="15"/>
      <x:c r="J140" s="15"/>
      <x:c r="K140" s="15"/>
      <x:c r="L140" s="18"/>
      <x:c r="N140" s="18"/>
      <x:c r="P140" s="18"/>
      <x:c r="V140" t="s">
        <x:v>53</x:v>
      </x:c>
      <x:c r="W140" s="15">
        <x:v>8.1649999999999991</x:v>
      </x:c>
      <x:c r="X140" s="16" t="s">
        <x:v>153</x:v>
      </x:c>
    </x:row>
    <x:row r="141" ht="18">
      <x:c r="A141" s="11" t="s">
        <x:v>631</x:v>
      </x:c>
      <x:c r="B141" s="3">
        <x:v>39.159999999999997</x:v>
      </x:c>
      <x:c r="C141" s="5">
        <x:v>44.604999999999997</x:v>
      </x:c>
      <x:c r="D141" s="5">
        <x:f t="shared" si="3"/>
        <x:v>5.4450000000000003</x:v>
      </x:c>
      <x:c r="E141" t="s">
        <x:v>82</x:v>
      </x:c>
      <x:c r="F141" t="s">
        <x:v>26</x:v>
      </x:c>
      <x:c r="G141" t="s">
        <x:v>632</x:v>
      </x:c>
      <x:c r="H141" t="s">
        <x:v>633</x:v>
      </x:c>
      <x:c r="I141" s="15">
        <x:v>16</x:v>
      </x:c>
      <x:c r="J141" s="15">
        <x:v>16</x:v>
      </x:c>
      <x:c r="K141" s="15">
        <x:v>12</x:v>
      </x:c>
      <x:c r="L141" s="18">
        <x:v>29.4</x:v>
      </x:c>
      <x:c r="M141" t="s">
        <x:v>29</x:v>
      </x:c>
      <x:c r="N141" s="18">
        <x:v>30</x:v>
      </x:c>
      <x:c r="O141" t="s">
        <x:v>29</x:v>
      </x:c>
      <x:c r="P141" s="18">
        <x:v>25.000420531765116</x:v>
      </x:c>
      <x:c r="Q141" t="s">
        <x:v>29</x:v>
      </x:c>
      <x:c r="R141" t="s">
        <x:v>634</x:v>
      </x:c>
      <x:c r="S141" t="s">
        <x:v>635</x:v>
      </x:c>
      <x:c r="T141" t="s">
        <x:v>32</x:v>
      </x:c>
      <x:c r="U141" t="s">
        <x:v>33</x:v>
      </x:c>
      <x:c r="V141" t="s">
        <x:v>26</x:v>
      </x:c>
      <x:c r="W141" s="15">
        <x:v>11.34</x:v>
      </x:c>
      <x:c r="X141" s="16" t="s">
        <x:v>87</x:v>
      </x:c>
    </x:row>
    <x:row r="142" ht="18">
      <x:c r="A142" s="11" t="s">
        <x:v>636</x:v>
      </x:c>
      <x:c r="B142" s="3">
        <x:v>33.39</x:v>
      </x:c>
      <x:c r="C142" s="5">
        <x:v>38.819000000000003</x:v>
      </x:c>
      <x:c r="D142" s="5">
        <x:f t="shared" si="3"/>
        <x:v>5.429000000000002</x:v>
      </x:c>
      <x:c r="E142" t="s">
        <x:v>82</x:v>
      </x:c>
      <x:c r="F142" t="s">
        <x:v>26</x:v>
      </x:c>
      <x:c r="G142" t="s">
        <x:v>637</x:v>
      </x:c>
      <x:c r="H142" t="s">
        <x:v>638</x:v>
      </x:c>
      <x:c r="I142" s="15">
        <x:v>16</x:v>
      </x:c>
      <x:c r="J142" s="15">
        <x:v>16</x:v>
      </x:c>
      <x:c r="K142" s="15">
        <x:v>12</x:v>
      </x:c>
      <x:c r="L142" s="18">
        <x:v>30.1</x:v>
      </x:c>
      <x:c r="M142" t="s">
        <x:v>29</x:v>
      </x:c>
      <x:c r="N142" s="18">
        <x:v>31</x:v>
      </x:c>
      <x:c r="O142" t="s">
        <x:v>29</x:v>
      </x:c>
      <x:c r="P142" s="18">
        <x:v>25.992500711597064</x:v>
      </x:c>
      <x:c r="Q142" t="s">
        <x:v>29</x:v>
      </x:c>
      <x:c r="R142" t="s">
        <x:v>46</x:v>
      </x:c>
      <x:c r="S142" t="s">
        <x:v>639</x:v>
      </x:c>
      <x:c r="T142" t="s">
        <x:v>32</x:v>
      </x:c>
      <x:c r="U142" t="s">
        <x:v>33</x:v>
      </x:c>
      <x:c r="V142" t="s">
        <x:v>26</x:v>
      </x:c>
      <x:c r="W142" s="15">
        <x:v>0</x:v>
      </x:c>
      <x:c r="X142" s="16" t="s">
        <x:v>640</x:v>
      </x:c>
    </x:row>
    <x:row r="143" ht="18">
      <x:c r="A143" s="11" t="s">
        <x:v>641</x:v>
      </x:c>
      <x:c r="B143" s="3">
        <x:v>39.090000000000003</x:v>
      </x:c>
      <x:c r="C143" s="5">
        <x:v>44.517000000000003</x:v>
      </x:c>
      <x:c r="D143" s="5">
        <x:f t="shared" si="3"/>
        <x:v>5.4269999999999996</x:v>
      </x:c>
      <x:c r="E143" t="s">
        <x:v>82</x:v>
      </x:c>
      <x:c r="F143" t="s">
        <x:v>26</x:v>
      </x:c>
      <x:c r="G143" t="s">
        <x:v>642</x:v>
      </x:c>
      <x:c r="H143" t="s">
        <x:v>643</x:v>
      </x:c>
      <x:c r="I143" s="15">
        <x:v>16</x:v>
      </x:c>
      <x:c r="J143" s="15">
        <x:v>16</x:v>
      </x:c>
      <x:c r="K143" s="15">
        <x:v>12</x:v>
      </x:c>
      <x:c r="L143" s="18">
        <x:v>29.7</x:v>
      </x:c>
      <x:c r="M143" t="s">
        <x:v>29</x:v>
      </x:c>
      <x:c r="N143" s="18">
        <x:v>30</x:v>
      </x:c>
      <x:c r="O143" t="s">
        <x:v>29</x:v>
      </x:c>
      <x:c r="P143" s="18">
        <x:v>25.000420531765116</x:v>
      </x:c>
      <x:c r="Q143" t="s">
        <x:v>29</x:v>
      </x:c>
      <x:c r="R143" t="s">
        <x:v>634</x:v>
      </x:c>
      <x:c r="S143" t="s">
        <x:v>644</x:v>
      </x:c>
      <x:c r="T143" t="s">
        <x:v>32</x:v>
      </x:c>
      <x:c r="U143" t="s">
        <x:v>33</x:v>
      </x:c>
      <x:c r="V143" t="s">
        <x:v>26</x:v>
      </x:c>
      <x:c r="W143" s="15">
        <x:v>11.34</x:v>
      </x:c>
      <x:c r="X143" s="16" t="s">
        <x:v>87</x:v>
      </x:c>
    </x:row>
    <x:row r="144" ht="18">
      <x:c r="A144" s="11" t="s">
        <x:v>645</x:v>
      </x:c>
      <x:c r="B144" s="3">
        <x:v>23.66</x:v>
      </x:c>
      <x:c r="C144" s="5">
        <x:v>29.073</x:v>
      </x:c>
      <x:c r="D144" s="5">
        <x:f t="shared" si="3"/>
        <x:v>5.4130000000000003</x:v>
      </x:c>
      <x:c r="E144" t="s">
        <x:v>149</x:v>
      </x:c>
      <x:c r="F144" t="s">
        <x:v>26</x:v>
      </x:c>
      <x:c r="G144" t="s">
        <x:v>646</x:v>
      </x:c>
      <x:c r="H144" t="s">
        <x:v>647</x:v>
      </x:c>
      <x:c r="I144" s="15">
        <x:v>16</x:v>
      </x:c>
      <x:c r="J144" s="15">
        <x:v>16</x:v>
      </x:c>
      <x:c r="K144" s="15">
        <x:v>12</x:v>
      </x:c>
      <x:c r="L144" s="18">
        <x:v>27.2</x:v>
      </x:c>
      <x:c r="M144" t="s">
        <x:v>29</x:v>
      </x:c>
      <x:c r="N144" s="18">
        <x:v>28</x:v>
      </x:c>
      <x:c r="O144" t="s">
        <x:v>29</x:v>
      </x:c>
      <x:c r="P144" s="18">
        <x:v>17.989720594286009</x:v>
      </x:c>
      <x:c r="Q144" t="s">
        <x:v>29</x:v>
      </x:c>
      <x:c r="R144" t="s">
        <x:v>146</x:v>
      </x:c>
      <x:c r="S144" t="s">
        <x:v>648</x:v>
      </x:c>
      <x:c r="T144" t="s">
        <x:v>32</x:v>
      </x:c>
      <x:c r="U144" t="s">
        <x:v>33</x:v>
      </x:c>
      <x:c r="V144" t="s">
        <x:v>26</x:v>
      </x:c>
      <x:c r="W144" s="15">
        <x:v>8.1649999999999991</x:v>
      </x:c>
      <x:c r="X144" s="16" t="s">
        <x:v>153</x:v>
      </x:c>
    </x:row>
    <x:row r="145" ht="18">
      <x:c r="A145" s="11" t="s">
        <x:v>649</x:v>
      </x:c>
      <x:c r="B145" s="3">
        <x:v>39.03</x:v>
      </x:c>
      <x:c r="C145" s="5">
        <x:v>44.375999999999998</x:v>
      </x:c>
      <x:c r="D145" s="5">
        <x:f t="shared" si="3"/>
        <x:v>5.3459999999999965</x:v>
      </x:c>
      <x:c r="F145" t="s">
        <x:v>53</x:v>
      </x:c>
      <x:c r="I145" s="15">
        <x:v>33</x:v>
      </x:c>
      <x:c r="J145" s="15">
        <x:v>30</x:v>
      </x:c>
      <x:c r="K145" s="15">
        <x:v>25</x:v>
      </x:c>
      <x:c r="L145" s="18">
        <x:v>12.6</x:v>
      </x:c>
      <x:c r="M145" t="s">
        <x:v>29</x:v>
      </x:c>
      <x:c r="N145" s="18">
        <x:v>13</x:v>
      </x:c>
      <x:c r="O145" t="s">
        <x:v>29</x:v>
      </x:c>
      <x:c r="P145" s="18">
        <x:v>6.9886537112606186</x:v>
      </x:c>
      <x:c r="Q145" t="s">
        <x:v>29</x:v>
      </x:c>
      <x:c r="R145" t="s">
        <x:v>32</x:v>
      </x:c>
      <x:c r="S145" t="s">
        <x:v>33</x:v>
      </x:c>
      <x:c r="T145" t="s">
        <x:v>79</x:v>
      </x:c>
      <x:c r="U145" t="s">
        <x:v>650</x:v>
      </x:c>
      <x:c r="V145" t="s">
        <x:v>26</x:v>
      </x:c>
      <x:c r="W145" s="15"/>
      <x:c r="X145" s="16"/>
    </x:row>
    <x:row r="146" ht="18">
      <x:c r="A146" s="11" t="s">
        <x:v>651</x:v>
      </x:c>
      <x:c r="B146" s="3">
        <x:v>39.03</x:v>
      </x:c>
      <x:c r="C146" s="5">
        <x:v>44.375999999999998</x:v>
      </x:c>
      <x:c r="D146" s="5">
        <x:f t="shared" si="3"/>
        <x:v>5.3459999999999965</x:v>
      </x:c>
      <x:c r="F146" t="s">
        <x:v>53</x:v>
      </x:c>
      <x:c r="I146" s="15">
        <x:v>33</x:v>
      </x:c>
      <x:c r="J146" s="15">
        <x:v>30</x:v>
      </x:c>
      <x:c r="K146" s="15">
        <x:v>25</x:v>
      </x:c>
      <x:c r="L146" s="18">
        <x:v>12.6</x:v>
      </x:c>
      <x:c r="M146" t="s">
        <x:v>29</x:v>
      </x:c>
      <x:c r="N146" s="18">
        <x:v>13</x:v>
      </x:c>
      <x:c r="O146" t="s">
        <x:v>29</x:v>
      </x:c>
      <x:c r="P146" s="18">
        <x:v>6.9886537112606186</x:v>
      </x:c>
      <x:c r="Q146" t="s">
        <x:v>29</x:v>
      </x:c>
      <x:c r="R146" t="s">
        <x:v>32</x:v>
      </x:c>
      <x:c r="S146" t="s">
        <x:v>33</x:v>
      </x:c>
      <x:c r="T146" t="s">
        <x:v>652</x:v>
      </x:c>
      <x:c r="U146" t="s">
        <x:v>653</x:v>
      </x:c>
      <x:c r="V146" t="s">
        <x:v>26</x:v>
      </x:c>
      <x:c r="W146" s="15"/>
      <x:c r="X146" s="16"/>
    </x:row>
    <x:row r="147" ht="18">
      <x:c r="A147" s="11" t="s">
        <x:v>654</x:v>
      </x:c>
      <x:c r="B147" s="3">
        <x:v>40.700000000000003</x:v>
      </x:c>
      <x:c r="C147" s="5">
        <x:v>46.043999999999997</x:v>
      </x:c>
      <x:c r="D147" s="5">
        <x:f t="shared" si="3"/>
        <x:v>5.3439999999999941</x:v>
      </x:c>
      <x:c r="F147" t="s">
        <x:v>53</x:v>
      </x:c>
      <x:c r="I147" s="15">
        <x:v>33</x:v>
      </x:c>
      <x:c r="J147" s="15">
        <x:v>30</x:v>
      </x:c>
      <x:c r="K147" s="15">
        <x:v>25</x:v>
      </x:c>
      <x:c r="L147" s="18">
        <x:v>12.6</x:v>
      </x:c>
      <x:c r="M147" t="s">
        <x:v>29</x:v>
      </x:c>
      <x:c r="N147" s="18">
        <x:v>13</x:v>
      </x:c>
      <x:c r="O147" t="s">
        <x:v>29</x:v>
      </x:c>
      <x:c r="P147" s="18">
        <x:v>6.9886537112606186</x:v>
      </x:c>
      <x:c r="Q147" t="s">
        <x:v>29</x:v>
      </x:c>
      <x:c r="R147" t="s">
        <x:v>32</x:v>
      </x:c>
      <x:c r="S147" t="s">
        <x:v>33</x:v>
      </x:c>
      <x:c r="T147" t="s">
        <x:v>652</x:v>
      </x:c>
      <x:c r="U147" t="s">
        <x:v>655</x:v>
      </x:c>
      <x:c r="V147" t="s">
        <x:v>26</x:v>
      </x:c>
      <x:c r="W147" s="15"/>
      <x:c r="X147" s="16"/>
    </x:row>
    <x:row r="148" ht="18">
      <x:c r="A148" s="11" t="s">
        <x:v>656</x:v>
      </x:c>
      <x:c r="B148" s="3">
        <x:v>40.700000000000003</x:v>
      </x:c>
      <x:c r="C148" s="5">
        <x:v>46.043999999999997</x:v>
      </x:c>
      <x:c r="D148" s="5">
        <x:f t="shared" si="3"/>
        <x:v>5.3439999999999941</x:v>
      </x:c>
      <x:c r="F148" t="s">
        <x:v>53</x:v>
      </x:c>
      <x:c r="I148" s="15">
        <x:v>33</x:v>
      </x:c>
      <x:c r="J148" s="15">
        <x:v>30</x:v>
      </x:c>
      <x:c r="K148" s="15">
        <x:v>25</x:v>
      </x:c>
      <x:c r="L148" s="18">
        <x:v>12.4</x:v>
      </x:c>
      <x:c r="M148" t="s">
        <x:v>29</x:v>
      </x:c>
      <x:c r="N148" s="18">
        <x:v>13</x:v>
      </x:c>
      <x:c r="O148" t="s">
        <x:v>29</x:v>
      </x:c>
      <x:c r="P148" s="18">
        <x:v>6.9886537112606186</x:v>
      </x:c>
      <x:c r="Q148" t="s">
        <x:v>29</x:v>
      </x:c>
      <x:c r="R148" t="s">
        <x:v>32</x:v>
      </x:c>
      <x:c r="S148" t="s">
        <x:v>33</x:v>
      </x:c>
      <x:c r="T148" t="s">
        <x:v>427</x:v>
      </x:c>
      <x:c r="U148" t="s">
        <x:v>657</x:v>
      </x:c>
      <x:c r="V148" t="s">
        <x:v>26</x:v>
      </x:c>
      <x:c r="W148" s="15"/>
      <x:c r="X148" s="16"/>
    </x:row>
    <x:row r="149" ht="18">
      <x:c r="A149" s="11" t="s">
        <x:v>658</x:v>
      </x:c>
      <x:c r="B149" s="3">
        <x:v>40.700000000000003</x:v>
      </x:c>
      <x:c r="C149" s="5">
        <x:v>46.043999999999997</x:v>
      </x:c>
      <x:c r="D149" s="5">
        <x:f t="shared" si="3"/>
        <x:v>5.3439999999999941</x:v>
      </x:c>
      <x:c r="F149" t="s">
        <x:v>53</x:v>
      </x:c>
      <x:c r="I149" s="15">
        <x:v>33</x:v>
      </x:c>
      <x:c r="J149" s="15">
        <x:v>30</x:v>
      </x:c>
      <x:c r="K149" s="15">
        <x:v>25</x:v>
      </x:c>
      <x:c r="L149" s="18">
        <x:v>12.2</x:v>
      </x:c>
      <x:c r="M149" t="s">
        <x:v>29</x:v>
      </x:c>
      <x:c r="N149" s="18">
        <x:v>13</x:v>
      </x:c>
      <x:c r="O149" t="s">
        <x:v>29</x:v>
      </x:c>
      <x:c r="P149" s="18">
        <x:v>6.9886537112606186</x:v>
      </x:c>
      <x:c r="Q149" t="s">
        <x:v>29</x:v>
      </x:c>
      <x:c r="R149" t="s">
        <x:v>32</x:v>
      </x:c>
      <x:c r="S149" t="s">
        <x:v>33</x:v>
      </x:c>
      <x:c r="T149" t="s">
        <x:v>652</x:v>
      </x:c>
      <x:c r="U149" t="s">
        <x:v>659</x:v>
      </x:c>
      <x:c r="V149" t="s">
        <x:v>26</x:v>
      </x:c>
      <x:c r="W149" s="15"/>
      <x:c r="X149" s="16"/>
    </x:row>
    <x:row r="150" ht="18">
      <x:c r="A150" s="11" t="s">
        <x:v>660</x:v>
      </x:c>
      <x:c r="B150" s="3">
        <x:v>34.049999999999997</x:v>
      </x:c>
      <x:c r="C150" s="5">
        <x:v>39.384</x:v>
      </x:c>
      <x:c r="D150" s="5">
        <x:f t="shared" si="3"/>
        <x:v>5.3340000000000032</x:v>
      </x:c>
      <x:c r="F150" t="s">
        <x:v>53</x:v>
      </x:c>
      <x:c r="I150" s="15">
        <x:v>33</x:v>
      </x:c>
      <x:c r="J150" s="15">
        <x:v>30</x:v>
      </x:c>
      <x:c r="K150" s="15">
        <x:v>25</x:v>
      </x:c>
      <x:c r="L150" s="18">
        <x:v>12.5</x:v>
      </x:c>
      <x:c r="M150" t="s">
        <x:v>29</x:v>
      </x:c>
      <x:c r="N150" s="18">
        <x:v>13</x:v>
      </x:c>
      <x:c r="O150" t="s">
        <x:v>29</x:v>
      </x:c>
      <x:c r="P150" s="18">
        <x:v>6.9886537112606186</x:v>
      </x:c>
      <x:c r="Q150" t="s">
        <x:v>29</x:v>
      </x:c>
      <x:c r="R150" t="s">
        <x:v>32</x:v>
      </x:c>
      <x:c r="S150" t="s">
        <x:v>33</x:v>
      </x:c>
      <x:c r="T150" t="s">
        <x:v>79</x:v>
      </x:c>
      <x:c r="U150" t="s">
        <x:v>661</x:v>
      </x:c>
      <x:c r="V150" t="s">
        <x:v>26</x:v>
      </x:c>
      <x:c r="W150" s="15"/>
      <x:c r="X150" s="16"/>
    </x:row>
    <x:row r="151" ht="18">
      <x:c r="A151" s="11" t="s">
        <x:v>662</x:v>
      </x:c>
      <x:c r="B151" s="3">
        <x:v>34.049999999999997</x:v>
      </x:c>
      <x:c r="C151" s="5">
        <x:v>39.384</x:v>
      </x:c>
      <x:c r="D151" s="5">
        <x:f t="shared" si="3"/>
        <x:v>5.3340000000000032</x:v>
      </x:c>
      <x:c r="F151" t="s">
        <x:v>53</x:v>
      </x:c>
      <x:c r="I151" s="15">
        <x:v>33</x:v>
      </x:c>
      <x:c r="J151" s="15">
        <x:v>30</x:v>
      </x:c>
      <x:c r="K151" s="15">
        <x:v>25</x:v>
      </x:c>
      <x:c r="L151" s="18">
        <x:v>12.3</x:v>
      </x:c>
      <x:c r="M151" t="s">
        <x:v>29</x:v>
      </x:c>
      <x:c r="N151" s="18">
        <x:v>13</x:v>
      </x:c>
      <x:c r="O151" t="s">
        <x:v>29</x:v>
      </x:c>
      <x:c r="P151" s="18">
        <x:v>6.9886537112606186</x:v>
      </x:c>
      <x:c r="Q151" t="s">
        <x:v>29</x:v>
      </x:c>
      <x:c r="R151" t="s">
        <x:v>32</x:v>
      </x:c>
      <x:c r="S151" t="s">
        <x:v>33</x:v>
      </x:c>
      <x:c r="T151" t="s">
        <x:v>79</x:v>
      </x:c>
      <x:c r="U151" t="s">
        <x:v>663</x:v>
      </x:c>
      <x:c r="V151" t="s">
        <x:v>26</x:v>
      </x:c>
      <x:c r="W151" s="15"/>
      <x:c r="X151" s="16"/>
    </x:row>
    <x:row r="152" ht="18">
      <x:c r="A152" s="11" t="s">
        <x:v>664</x:v>
      </x:c>
      <x:c r="B152" s="3">
        <x:v>34.049999999999997</x:v>
      </x:c>
      <x:c r="C152" s="5">
        <x:v>39.384</x:v>
      </x:c>
      <x:c r="D152" s="5">
        <x:f t="shared" si="3"/>
        <x:v>5.3340000000000032</x:v>
      </x:c>
      <x:c r="F152" t="s">
        <x:v>53</x:v>
      </x:c>
      <x:c r="I152" s="15">
        <x:v>33</x:v>
      </x:c>
      <x:c r="J152" s="15">
        <x:v>30</x:v>
      </x:c>
      <x:c r="K152" s="15">
        <x:v>25</x:v>
      </x:c>
      <x:c r="L152" s="18">
        <x:v>12.5</x:v>
      </x:c>
      <x:c r="M152" t="s">
        <x:v>29</x:v>
      </x:c>
      <x:c r="N152" s="18">
        <x:v>13</x:v>
      </x:c>
      <x:c r="O152" t="s">
        <x:v>29</x:v>
      </x:c>
      <x:c r="P152" s="18">
        <x:v>6.9886537112606186</x:v>
      </x:c>
      <x:c r="Q152" t="s">
        <x:v>29</x:v>
      </x:c>
      <x:c r="R152" t="s">
        <x:v>32</x:v>
      </x:c>
      <x:c r="S152" t="s">
        <x:v>33</x:v>
      </x:c>
      <x:c r="T152" t="s">
        <x:v>357</x:v>
      </x:c>
      <x:c r="U152" t="s">
        <x:v>665</x:v>
      </x:c>
      <x:c r="V152" t="s">
        <x:v>26</x:v>
      </x:c>
      <x:c r="W152" s="15"/>
      <x:c r="X152" s="16"/>
    </x:row>
    <x:row r="153" ht="18">
      <x:c r="A153" s="11" t="s">
        <x:v>666</x:v>
      </x:c>
      <x:c r="B153" s="3">
        <x:v>34.049999999999997</x:v>
      </x:c>
      <x:c r="C153" s="5">
        <x:v>39.384</x:v>
      </x:c>
      <x:c r="D153" s="5">
        <x:f t="shared" si="3"/>
        <x:v>5.3340000000000032</x:v>
      </x:c>
      <x:c r="F153" t="s">
        <x:v>53</x:v>
      </x:c>
      <x:c r="I153" s="15">
        <x:v>33</x:v>
      </x:c>
      <x:c r="J153" s="15">
        <x:v>30</x:v>
      </x:c>
      <x:c r="K153" s="15">
        <x:v>25</x:v>
      </x:c>
      <x:c r="L153" s="18">
        <x:v>12.5</x:v>
      </x:c>
      <x:c r="M153" t="s">
        <x:v>29</x:v>
      </x:c>
      <x:c r="N153" s="18">
        <x:v>13</x:v>
      </x:c>
      <x:c r="O153" t="s">
        <x:v>29</x:v>
      </x:c>
      <x:c r="P153" s="18">
        <x:v>6.9886537112606186</x:v>
      </x:c>
      <x:c r="Q153" t="s">
        <x:v>29</x:v>
      </x:c>
      <x:c r="R153" t="s">
        <x:v>32</x:v>
      </x:c>
      <x:c r="S153" t="s">
        <x:v>33</x:v>
      </x:c>
      <x:c r="T153" t="s">
        <x:v>357</x:v>
      </x:c>
      <x:c r="U153" t="s">
        <x:v>667</x:v>
      </x:c>
      <x:c r="V153" t="s">
        <x:v>26</x:v>
      </x:c>
      <x:c r="W153" s="15"/>
      <x:c r="X153" s="16"/>
    </x:row>
    <x:row r="154" ht="18">
      <x:c r="A154" s="11" t="s">
        <x:v>668</x:v>
      </x:c>
      <x:c r="B154" s="3">
        <x:v>34.049999999999997</x:v>
      </x:c>
      <x:c r="C154" s="5">
        <x:v>39.384</x:v>
      </x:c>
      <x:c r="D154" s="5">
        <x:f t="shared" si="3"/>
        <x:v>5.3340000000000032</x:v>
      </x:c>
      <x:c r="F154" t="s">
        <x:v>53</x:v>
      </x:c>
      <x:c r="I154" s="15">
        <x:v>33</x:v>
      </x:c>
      <x:c r="J154" s="15">
        <x:v>30</x:v>
      </x:c>
      <x:c r="K154" s="15">
        <x:v>25</x:v>
      </x:c>
      <x:c r="L154" s="18">
        <x:v>12.5</x:v>
      </x:c>
      <x:c r="M154" t="s">
        <x:v>29</x:v>
      </x:c>
      <x:c r="N154" s="18">
        <x:v>13</x:v>
      </x:c>
      <x:c r="O154" t="s">
        <x:v>29</x:v>
      </x:c>
      <x:c r="P154" s="18">
        <x:v>6.9886537112606186</x:v>
      </x:c>
      <x:c r="Q154" t="s">
        <x:v>29</x:v>
      </x:c>
      <x:c r="R154" t="s">
        <x:v>32</x:v>
      </x:c>
      <x:c r="S154" t="s">
        <x:v>33</x:v>
      </x:c>
      <x:c r="T154" t="s">
        <x:v>79</x:v>
      </x:c>
      <x:c r="U154" t="s">
        <x:v>669</x:v>
      </x:c>
      <x:c r="V154" t="s">
        <x:v>26</x:v>
      </x:c>
      <x:c r="W154" s="15"/>
      <x:c r="X154" s="16"/>
    </x:row>
    <x:row r="155" ht="18">
      <x:c r="A155" s="11" t="s">
        <x:v>670</x:v>
      </x:c>
      <x:c r="B155" s="3">
        <x:v>34.049999999999997</x:v>
      </x:c>
      <x:c r="C155" s="5">
        <x:v>39.384</x:v>
      </x:c>
      <x:c r="D155" s="5">
        <x:f t="shared" si="3"/>
        <x:v>5.3340000000000032</x:v>
      </x:c>
      <x:c r="F155" t="s">
        <x:v>53</x:v>
      </x:c>
      <x:c r="I155" s="15">
        <x:v>33</x:v>
      </x:c>
      <x:c r="J155" s="15">
        <x:v>30</x:v>
      </x:c>
      <x:c r="K155" s="15">
        <x:v>25</x:v>
      </x:c>
      <x:c r="L155" s="18">
        <x:v>12.6</x:v>
      </x:c>
      <x:c r="M155" t="s">
        <x:v>29</x:v>
      </x:c>
      <x:c r="N155" s="18">
        <x:v>13</x:v>
      </x:c>
      <x:c r="O155" t="s">
        <x:v>29</x:v>
      </x:c>
      <x:c r="P155" s="18">
        <x:v>6.9886537112606186</x:v>
      </x:c>
      <x:c r="Q155" t="s">
        <x:v>29</x:v>
      </x:c>
      <x:c r="R155" t="s">
        <x:v>32</x:v>
      </x:c>
      <x:c r="S155" t="s">
        <x:v>33</x:v>
      </x:c>
      <x:c r="T155" t="s">
        <x:v>671</x:v>
      </x:c>
      <x:c r="U155" t="s">
        <x:v>672</x:v>
      </x:c>
      <x:c r="V155" t="s">
        <x:v>26</x:v>
      </x:c>
      <x:c r="W155" s="15"/>
      <x:c r="X155" s="16"/>
    </x:row>
    <x:row r="156" ht="18">
      <x:c r="A156" s="11" t="s">
        <x:v>673</x:v>
      </x:c>
      <x:c r="B156" s="3">
        <x:v>34.049999999999997</x:v>
      </x:c>
      <x:c r="C156" s="5">
        <x:v>39.384</x:v>
      </x:c>
      <x:c r="D156" s="5">
        <x:f t="shared" si="3"/>
        <x:v>5.3340000000000032</x:v>
      </x:c>
      <x:c r="F156" t="s">
        <x:v>53</x:v>
      </x:c>
      <x:c r="I156" s="15">
        <x:v>33</x:v>
      </x:c>
      <x:c r="J156" s="15">
        <x:v>30</x:v>
      </x:c>
      <x:c r="K156" s="15">
        <x:v>25</x:v>
      </x:c>
      <x:c r="L156" s="18">
        <x:v>12.2</x:v>
      </x:c>
      <x:c r="M156" t="s">
        <x:v>29</x:v>
      </x:c>
      <x:c r="N156" s="18">
        <x:v>13</x:v>
      </x:c>
      <x:c r="O156" t="s">
        <x:v>29</x:v>
      </x:c>
      <x:c r="P156" s="18">
        <x:v>6.9886537112606186</x:v>
      </x:c>
      <x:c r="Q156" t="s">
        <x:v>29</x:v>
      </x:c>
      <x:c r="R156" t="s">
        <x:v>32</x:v>
      </x:c>
      <x:c r="S156" t="s">
        <x:v>33</x:v>
      </x:c>
      <x:c r="T156" t="s">
        <x:v>674</x:v>
      </x:c>
      <x:c r="U156" t="s">
        <x:v>675</x:v>
      </x:c>
      <x:c r="V156" t="s">
        <x:v>26</x:v>
      </x:c>
      <x:c r="W156" s="15"/>
      <x:c r="X156" s="16"/>
    </x:row>
    <x:row r="157" ht="18">
      <x:c r="A157" s="11" t="s">
        <x:v>676</x:v>
      </x:c>
      <x:c r="B157" s="3">
        <x:v>56.27</x:v>
      </x:c>
      <x:c r="C157" s="5">
        <x:v>61.6</x:v>
      </x:c>
      <x:c r="D157" s="5">
        <x:f t="shared" si="3"/>
        <x:v>5.3299999999999983</x:v>
      </x:c>
      <x:c r="E157" t="s">
        <x:v>192</x:v>
      </x:c>
      <x:c r="F157" t="s">
        <x:v>26</x:v>
      </x:c>
      <x:c r="G157" t="s">
        <x:v>677</x:v>
      </x:c>
      <x:c r="H157" t="s">
        <x:v>678</x:v>
      </x:c>
      <x:c r="I157" s="15">
        <x:v>27</x:v>
      </x:c>
      <x:c r="J157" s="15">
        <x:v>21</x:v>
      </x:c>
      <x:c r="K157" s="15">
        <x:v>21</x:v>
      </x:c>
      <x:c r="L157" s="18">
        <x:v>53.9</x:v>
      </x:c>
      <x:c r="M157" t="s">
        <x:v>29</x:v>
      </x:c>
      <x:c r="N157" s="18">
        <x:v>72</x:v>
      </x:c>
      <x:c r="O157" t="s">
        <x:v>29</x:v>
      </x:c>
      <x:c r="P157" s="18">
        <x:v>55.115565546219393</x:v>
      </x:c>
      <x:c r="Q157" t="s">
        <x:v>29</x:v>
      </x:c>
      <x:c r="R157" t="s">
        <x:v>116</x:v>
      </x:c>
      <x:c r="S157" t="s">
        <x:v>679</x:v>
      </x:c>
      <x:c r="T157" t="s">
        <x:v>32</x:v>
      </x:c>
      <x:c r="U157" t="s">
        <x:v>33</x:v>
      </x:c>
      <x:c r="V157" t="s">
        <x:v>26</x:v>
      </x:c>
      <x:c r="W157" s="15">
        <x:v>25</x:v>
      </x:c>
      <x:c r="X157" s="16" t="s">
        <x:v>680</x:v>
      </x:c>
    </x:row>
    <x:row r="158" ht="18">
      <x:c r="A158" s="11" t="s">
        <x:v>681</x:v>
      </x:c>
      <x:c r="B158" s="3">
        <x:v>32.47</x:v>
      </x:c>
      <x:c r="C158" s="5">
        <x:v>37.774000000000001</x:v>
      </x:c>
      <x:c r="D158" s="5">
        <x:f t="shared" si="3"/>
        <x:v>5.304000000000002</x:v>
      </x:c>
      <x:c r="E158" t="s">
        <x:v>82</x:v>
      </x:c>
      <x:c r="F158" t="s">
        <x:v>26</x:v>
      </x:c>
      <x:c r="G158" t="s">
        <x:v>682</x:v>
      </x:c>
      <x:c r="H158" t="s">
        <x:v>683</x:v>
      </x:c>
      <x:c r="I158" s="15">
        <x:v>16</x:v>
      </x:c>
      <x:c r="J158" s="15">
        <x:v>16</x:v>
      </x:c>
      <x:c r="K158" s="15">
        <x:v>12</x:v>
      </x:c>
      <x:c r="L158" s="18">
        <x:v>28.7</x:v>
      </x:c>
      <x:c r="M158" t="s">
        <x:v>29</x:v>
      </x:c>
      <x:c r="N158" s="18">
        <x:v>29</x:v>
      </x:c>
      <x:c r="O158" t="s">
        <x:v>29</x:v>
      </x:c>
      <x:c r="P158" s="18">
        <x:v>25.000420531765116</x:v>
      </x:c>
      <x:c r="Q158" t="s">
        <x:v>29</x:v>
      </x:c>
      <x:c r="R158" t="s">
        <x:v>684</x:v>
      </x:c>
      <x:c r="S158" t="s">
        <x:v>117</x:v>
      </x:c>
      <x:c r="T158" t="s">
        <x:v>32</x:v>
      </x:c>
      <x:c r="U158" t="s">
        <x:v>33</x:v>
      </x:c>
      <x:c r="V158" t="s">
        <x:v>26</x:v>
      </x:c>
      <x:c r="W158" s="15">
        <x:v>11.34</x:v>
      </x:c>
      <x:c r="X158" s="16" t="s">
        <x:v>87</x:v>
      </x:c>
    </x:row>
    <x:row r="159" ht="18">
      <x:c r="A159" s="11" t="s">
        <x:v>685</x:v>
      </x:c>
      <x:c r="B159" s="3">
        <x:v>18.28</x:v>
      </x:c>
      <x:c r="C159" s="5">
        <x:v>23.550999999999998</x:v>
      </x:c>
      <x:c r="D159" s="5">
        <x:f t="shared" si="3"/>
        <x:v>5.2709999999999972</x:v>
      </x:c>
      <x:c r="E159" t="s">
        <x:v>82</x:v>
      </x:c>
      <x:c r="F159" t="s">
        <x:v>26</x:v>
      </x:c>
      <x:c r="G159" t="s">
        <x:v>686</x:v>
      </x:c>
      <x:c r="H159" t="s">
        <x:v>687</x:v>
      </x:c>
      <x:c r="I159" s="15">
        <x:v>16</x:v>
      </x:c>
      <x:c r="J159" s="15">
        <x:v>16</x:v>
      </x:c>
      <x:c r="K159" s="15">
        <x:v>12</x:v>
      </x:c>
      <x:c r="L159" s="18">
        <x:v>30.1</x:v>
      </x:c>
      <x:c r="M159" t="s">
        <x:v>29</x:v>
      </x:c>
      <x:c r="N159" s="18">
        <x:v>31</x:v>
      </x:c>
      <x:c r="O159" t="s">
        <x:v>29</x:v>
      </x:c>
      <x:c r="P159" s="18">
        <x:v>25.353160151260919</x:v>
      </x:c>
      <x:c r="Q159" t="s">
        <x:v>29</x:v>
      </x:c>
      <x:c r="R159" t="s">
        <x:v>92</x:v>
      </x:c>
      <x:c r="S159" t="s">
        <x:v>688</x:v>
      </x:c>
      <x:c r="T159" t="s">
        <x:v>32</x:v>
      </x:c>
      <x:c r="U159" t="s">
        <x:v>33</x:v>
      </x:c>
      <x:c r="V159" t="s">
        <x:v>26</x:v>
      </x:c>
      <x:c r="W159" s="15">
        <x:v>1</x:v>
      </x:c>
      <x:c r="X159" s="16" t="s">
        <x:v>245</x:v>
      </x:c>
    </x:row>
    <x:row r="160" ht="18">
      <x:c r="A160" s="11" t="s">
        <x:v>689</x:v>
      </x:c>
      <x:c r="B160" s="3">
        <x:v>65.680000000000007</x:v>
      </x:c>
      <x:c r="C160" s="5">
        <x:v>70.906000000000006</x:v>
      </x:c>
      <x:c r="D160" s="5">
        <x:f t="shared" si="3"/>
        <x:v>5.2259999999999991</x:v>
      </x:c>
      <x:c r="E160" t="s">
        <x:v>43</x:v>
      </x:c>
      <x:c r="F160" t="s">
        <x:v>26</x:v>
      </x:c>
      <x:c r="G160" t="s">
        <x:v>690</x:v>
      </x:c>
      <x:c r="H160" t="s">
        <x:v>691</x:v>
      </x:c>
      <x:c r="I160" s="15">
        <x:v>20</x:v>
      </x:c>
      <x:c r="J160" s="15">
        <x:v>16</x:v>
      </x:c>
      <x:c r="K160" s="15">
        <x:v>16</x:v>
      </x:c>
      <x:c r="L160" s="18">
        <x:v>66.5</x:v>
      </x:c>
      <x:c r="M160" t="s">
        <x:v>29</x:v>
      </x:c>
      <x:c r="N160" s="18">
        <x:v>67</x:v>
      </x:c>
      <x:c r="O160" t="s">
        <x:v>29</x:v>
      </x:c>
      <x:c r="P160" s="18">
        <x:v>57.981574954622801</x:v>
      </x:c>
      <x:c r="Q160" t="s">
        <x:v>29</x:v>
      </x:c>
      <x:c r="R160" t="s">
        <x:v>59</x:v>
      </x:c>
      <x:c r="S160" t="s">
        <x:v>692</x:v>
      </x:c>
      <x:c r="T160" t="s">
        <x:v>32</x:v>
      </x:c>
      <x:c r="U160" t="s">
        <x:v>33</x:v>
      </x:c>
      <x:c r="V160" t="s">
        <x:v>26</x:v>
      </x:c>
      <x:c r="W160" s="15">
        <x:v>26.308</x:v>
      </x:c>
      <x:c r="X160" s="16" t="s">
        <x:v>693</x:v>
      </x:c>
    </x:row>
    <x:row r="161" ht="18">
      <x:c r="A161" s="11" t="s">
        <x:v>694</x:v>
      </x:c>
      <x:c r="B161" s="3">
        <x:v>25.39</x:v>
      </x:c>
      <x:c r="C161" s="5">
        <x:v>30.404</x:v>
      </x:c>
      <x:c r="D161" s="5">
        <x:f t="shared" si="3"/>
        <x:v>5.0139999999999993</x:v>
      </x:c>
      <x:c r="E161" t="s">
        <x:v>82</x:v>
      </x:c>
      <x:c r="F161" t="s">
        <x:v>26</x:v>
      </x:c>
      <x:c r="G161" t="s">
        <x:v>695</x:v>
      </x:c>
      <x:c r="H161" t="s">
        <x:v>696</x:v>
      </x:c>
      <x:c r="I161" s="15"/>
      <x:c r="J161" s="15"/>
      <x:c r="K161" s="15"/>
      <x:c r="L161" s="18"/>
      <x:c r="N161" s="18"/>
      <x:c r="P161" s="18"/>
      <x:c r="V161" t="s">
        <x:v>53</x:v>
      </x:c>
      <x:c r="W161" s="15">
        <x:v>13.608000000000001</x:v>
      </x:c>
      <x:c r="X161" s="16" t="s">
        <x:v>697</x:v>
      </x:c>
    </x:row>
    <x:row r="162" ht="18">
      <x:c r="A162" s="11" t="s">
        <x:v>698</x:v>
      </x:c>
      <x:c r="B162" s="3">
        <x:v>27.91</x:v>
      </x:c>
      <x:c r="C162" s="5">
        <x:v>32.892000000000003</x:v>
      </x:c>
      <x:c r="D162" s="5">
        <x:f t="shared" si="3"/>
        <x:v>4.9820000000000029</x:v>
      </x:c>
      <x:c r="F162" t="s">
        <x:v>53</x:v>
      </x:c>
      <x:c r="I162" s="15">
        <x:v>41</x:v>
      </x:c>
      <x:c r="J162" s="15">
        <x:v>41</x:v>
      </x:c>
      <x:c r="K162" s="15">
        <x:v>30</x:v>
      </x:c>
      <x:c r="L162" s="18">
        <x:v>29.5</x:v>
      </x:c>
      <x:c r="M162" t="s">
        <x:v>29</x:v>
      </x:c>
      <x:c r="N162" s="18">
        <x:v>30</x:v>
      </x:c>
      <x:c r="O162" t="s">
        <x:v>29</x:v>
      </x:c>
      <x:c r="P162" s="18">
        <x:v>20.988007360000342</x:v>
      </x:c>
      <x:c r="Q162" t="s">
        <x:v>29</x:v>
      </x:c>
      <x:c r="R162" t="s">
        <x:v>32</x:v>
      </x:c>
      <x:c r="S162" t="s">
        <x:v>33</x:v>
      </x:c>
      <x:c r="T162" t="s">
        <x:v>412</x:v>
      </x:c>
      <x:c r="U162" t="s">
        <x:v>699</x:v>
      </x:c>
      <x:c r="V162" t="s">
        <x:v>26</x:v>
      </x:c>
      <x:c r="W162" s="15"/>
      <x:c r="X162" s="16"/>
    </x:row>
    <x:row r="163" ht="18">
      <x:c r="A163" s="11" t="s">
        <x:v>700</x:v>
      </x:c>
      <x:c r="B163" s="3">
        <x:v>20.78</x:v>
      </x:c>
      <x:c r="C163" s="5">
        <x:v>25.751000000000001</x:v>
      </x:c>
      <x:c r="D163" s="5">
        <x:f t="shared" si="3"/>
        <x:v>4.9710000000000001</x:v>
      </x:c>
      <x:c r="E163" t="s">
        <x:v>149</x:v>
      </x:c>
      <x:c r="F163" t="s">
        <x:v>26</x:v>
      </x:c>
      <x:c r="G163" t="s">
        <x:v>701</x:v>
      </x:c>
      <x:c r="H163" t="s">
        <x:v>702</x:v>
      </x:c>
      <x:c r="I163" s="15">
        <x:v>23</x:v>
      </x:c>
      <x:c r="J163" s="15">
        <x:v>16</x:v>
      </x:c>
      <x:c r="K163" s="15">
        <x:v>14</x:v>
      </x:c>
      <x:c r="L163" s="18">
        <x:v>26.1</x:v>
      </x:c>
      <x:c r="M163" t="s">
        <x:v>29</x:v>
      </x:c>
      <x:c r="N163" s="18">
        <x:v>32</x:v>
      </x:c>
      <x:c r="O163" t="s">
        <x:v>29</x:v>
      </x:c>
      <x:c r="P163" s="18">
        <x:v>22.994213945882731</x:v>
      </x:c>
      <x:c r="Q163" t="s">
        <x:v>29</x:v>
      </x:c>
      <x:c r="R163" t="s">
        <x:v>39</x:v>
      </x:c>
      <x:c r="S163" t="s">
        <x:v>306</x:v>
      </x:c>
      <x:c r="T163" t="s">
        <x:v>32</x:v>
      </x:c>
      <x:c r="U163" t="s">
        <x:v>33</x:v>
      </x:c>
      <x:c r="V163" t="s">
        <x:v>26</x:v>
      </x:c>
      <x:c r="W163" s="15">
        <x:v>10.433</x:v>
      </x:c>
      <x:c r="X163" s="16" t="s">
        <x:v>129</x:v>
      </x:c>
    </x:row>
    <x:row r="164" ht="18">
      <x:c r="A164" s="11" t="s">
        <x:v>703</x:v>
      </x:c>
      <x:c r="B164" s="3">
        <x:v>24.39</x:v>
      </x:c>
      <x:c r="C164" s="5">
        <x:v>29.347999999999999</x:v>
      </x:c>
      <x:c r="D164" s="5">
        <x:f t="shared" si="3"/>
        <x:v>4.9579999999999984</x:v>
      </x:c>
      <x:c r="E164" t="s">
        <x:v>82</x:v>
      </x:c>
      <x:c r="F164" t="s">
        <x:v>26</x:v>
      </x:c>
      <x:c r="G164" t="s">
        <x:v>704</x:v>
      </x:c>
      <x:c r="H164" t="s">
        <x:v>705</x:v>
      </x:c>
      <x:c r="I164" s="15">
        <x:v>15</x:v>
      </x:c>
      <x:c r="J164" s="15">
        <x:v>12</x:v>
      </x:c>
      <x:c r="K164" s="15">
        <x:v>11</x:v>
      </x:c>
      <x:c r="L164" s="18">
        <x:v>28.7</x:v>
      </x:c>
      <x:c r="M164" t="s">
        <x:v>29</x:v>
      </x:c>
      <x:c r="N164" s="18">
        <x:v>29</x:v>
      </x:c>
      <x:c r="O164" t="s">
        <x:v>29</x:v>
      </x:c>
      <x:c r="P164" s="18">
        <x:v>22.994213945882731</x:v>
      </x:c>
      <x:c r="Q164" t="s">
        <x:v>29</x:v>
      </x:c>
      <x:c r="R164" t="s">
        <x:v>102</x:v>
      </x:c>
      <x:c r="S164" t="s">
        <x:v>157</x:v>
      </x:c>
      <x:c r="T164" t="s">
        <x:v>32</x:v>
      </x:c>
      <x:c r="U164" t="s">
        <x:v>33</x:v>
      </x:c>
      <x:c r="V164" t="s">
        <x:v>26</x:v>
      </x:c>
      <x:c r="W164" s="15">
        <x:v>10.433</x:v>
      </x:c>
      <x:c r="X164" s="16" t="s">
        <x:v>513</x:v>
      </x:c>
    </x:row>
    <x:row r="165" ht="18">
      <x:c r="A165" s="11" t="s">
        <x:v>706</x:v>
      </x:c>
      <x:c r="B165" s="3">
        <x:v>65.55</x:v>
      </x:c>
      <x:c r="C165" s="5">
        <x:v>70.488</x:v>
      </x:c>
      <x:c r="D165" s="5">
        <x:f t="shared" si="3"/>
        <x:v>4.9380000000000024</x:v>
      </x:c>
      <x:c r="E165" t="s">
        <x:v>43</x:v>
      </x:c>
      <x:c r="F165" t="s">
        <x:v>26</x:v>
      </x:c>
      <x:c r="G165" t="s">
        <x:v>707</x:v>
      </x:c>
      <x:c r="H165" t="s">
        <x:v>708</x:v>
      </x:c>
      <x:c r="I165" s="15">
        <x:v>20</x:v>
      </x:c>
      <x:c r="J165" s="15">
        <x:v>16</x:v>
      </x:c>
      <x:c r="K165" s="15">
        <x:v>16</x:v>
      </x:c>
      <x:c r="L165" s="18">
        <x:v>66.599999999999994</x:v>
      </x:c>
      <x:c r="M165" t="s">
        <x:v>29</x:v>
      </x:c>
      <x:c r="N165" s="18">
        <x:v>67</x:v>
      </x:c>
      <x:c r="O165" t="s">
        <x:v>29</x:v>
      </x:c>
      <x:c r="P165" s="18">
        <x:v>57.981574954622801</x:v>
      </x:c>
      <x:c r="Q165" t="s">
        <x:v>29</x:v>
      </x:c>
      <x:c r="R165" t="s">
        <x:v>59</x:v>
      </x:c>
      <x:c r="S165" t="s">
        <x:v>709</x:v>
      </x:c>
      <x:c r="T165" t="s">
        <x:v>32</x:v>
      </x:c>
      <x:c r="U165" t="s">
        <x:v>33</x:v>
      </x:c>
      <x:c r="V165" t="s">
        <x:v>26</x:v>
      </x:c>
      <x:c r="W165" s="15">
        <x:v>26.308</x:v>
      </x:c>
      <x:c r="X165" s="16" t="s">
        <x:v>710</x:v>
      </x:c>
    </x:row>
    <x:row r="166" ht="18">
      <x:c r="A166" s="11" t="s">
        <x:v>711</x:v>
      </x:c>
      <x:c r="B166" s="3">
        <x:v>52.3</x:v>
      </x:c>
      <x:c r="C166" s="5">
        <x:v>57.177999999999997</x:v>
      </x:c>
      <x:c r="D166" s="5">
        <x:f t="shared" si="3"/>
        <x:v>4.8780000000000001</x:v>
      </x:c>
      <x:c r="E166" t="s">
        <x:v>50</x:v>
      </x:c>
      <x:c r="F166" t="s">
        <x:v>26</x:v>
      </x:c>
      <x:c r="G166" t="s">
        <x:v>712</x:v>
      </x:c>
      <x:c r="H166" t="s">
        <x:v>713</x:v>
      </x:c>
      <x:c r="I166" s="15">
        <x:v>25</x:v>
      </x:c>
      <x:c r="J166" s="15">
        <x:v>25</x:v>
      </x:c>
      <x:c r="K166" s="15">
        <x:v>15</x:v>
      </x:c>
      <x:c r="L166" s="18">
        <x:v>45.4</x:v>
      </x:c>
      <x:c r="M166" t="s">
        <x:v>29</x:v>
      </x:c>
      <x:c r="N166" s="18">
        <x:v>57</x:v>
      </x:c>
      <x:c r="O166" t="s">
        <x:v>29</x:v>
      </x:c>
      <x:c r="P166" s="18">
        <x:v>41.998060946219177</x:v>
      </x:c>
      <x:c r="Q166" t="s">
        <x:v>29</x:v>
      </x:c>
      <x:c r="R166" t="s">
        <x:v>684</x:v>
      </x:c>
      <x:c r="S166" t="s">
        <x:v>714</x:v>
      </x:c>
      <x:c r="T166" t="s">
        <x:v>32</x:v>
      </x:c>
      <x:c r="U166" t="s">
        <x:v>33</x:v>
      </x:c>
      <x:c r="V166" t="s">
        <x:v>26</x:v>
      </x:c>
      <x:c r="W166" s="15">
        <x:v>0</x:v>
      </x:c>
      <x:c r="X166" s="16" t="s">
        <x:v>104</x:v>
      </x:c>
    </x:row>
    <x:row r="167" ht="18">
      <x:c r="A167" s="11" t="s">
        <x:v>715</x:v>
      </x:c>
      <x:c r="B167" s="3">
        <x:v>24.44</x:v>
      </x:c>
      <x:c r="C167" s="5">
        <x:v>29.128</x:v>
      </x:c>
      <x:c r="D167" s="5">
        <x:f t="shared" si="3"/>
        <x:v>4.6879999999999988</x:v>
      </x:c>
      <x:c r="E167" t="s">
        <x:v>149</x:v>
      </x:c>
      <x:c r="F167" t="s">
        <x:v>26</x:v>
      </x:c>
      <x:c r="G167" t="s">
        <x:v>716</x:v>
      </x:c>
      <x:c r="H167" t="s">
        <x:v>717</x:v>
      </x:c>
      <x:c r="I167" s="15">
        <x:v>16</x:v>
      </x:c>
      <x:c r="J167" s="15">
        <x:v>16</x:v>
      </x:c>
      <x:c r="K167" s="15">
        <x:v>12</x:v>
      </x:c>
      <x:c r="L167" s="18">
        <x:v>27.5</x:v>
      </x:c>
      <x:c r="M167" t="s">
        <x:v>29</x:v>
      </x:c>
      <x:c r="N167" s="18">
        <x:v>28</x:v>
      </x:c>
      <x:c r="O167" t="s">
        <x:v>29</x:v>
      </x:c>
      <x:c r="P167" s="18">
        <x:v>22.487150742857512</x:v>
      </x:c>
      <x:c r="Q167" t="s">
        <x:v>29</x:v>
      </x:c>
      <x:c r="R167" t="s">
        <x:v>146</x:v>
      </x:c>
      <x:c r="S167" t="s">
        <x:v>718</x:v>
      </x:c>
      <x:c r="T167" t="s">
        <x:v>32</x:v>
      </x:c>
      <x:c r="U167" t="s">
        <x:v>33</x:v>
      </x:c>
      <x:c r="V167" t="s">
        <x:v>26</x:v>
      </x:c>
      <x:c r="W167" s="15">
        <x:v>0</x:v>
      </x:c>
      <x:c r="X167" s="16" t="s">
        <x:v>104</x:v>
      </x:c>
    </x:row>
    <x:row r="168" ht="18">
      <x:c r="A168" s="11" t="s">
        <x:v>719</x:v>
      </x:c>
      <x:c r="B168" s="3">
        <x:v>20.83</x:v>
      </x:c>
      <x:c r="C168" s="5">
        <x:v>25.486999999999998</x:v>
      </x:c>
      <x:c r="D168" s="5">
        <x:f t="shared" si="3"/>
        <x:v>4.657</x:v>
      </x:c>
      <x:c r="E168" t="s">
        <x:v>82</x:v>
      </x:c>
      <x:c r="F168" t="s">
        <x:v>26</x:v>
      </x:c>
      <x:c r="G168" t="s">
        <x:v>720</x:v>
      </x:c>
      <x:c r="H168" t="s">
        <x:v>721</x:v>
      </x:c>
      <x:c r="I168" s="15"/>
      <x:c r="J168" s="15"/>
      <x:c r="K168" s="15"/>
      <x:c r="L168" s="18"/>
      <x:c r="N168" s="18"/>
      <x:c r="P168" s="18"/>
      <x:c r="V168" t="s">
        <x:v>53</x:v>
      </x:c>
      <x:c r="W168" s="15">
        <x:v>10.433</x:v>
      </x:c>
      <x:c r="X168" s="16" t="s">
        <x:v>513</x:v>
      </x:c>
    </x:row>
    <x:row r="169" ht="18">
      <x:c r="A169" s="11" t="s">
        <x:v>722</x:v>
      </x:c>
      <x:c r="B169" s="3">
        <x:v>19.579999999999998</x:v>
      </x:c>
      <x:c r="C169" s="5">
        <x:v>24.233000000000001</x:v>
      </x:c>
      <x:c r="D169" s="5">
        <x:f t="shared" si="3"/>
        <x:v>4.6530000000000022</x:v>
      </x:c>
      <x:c r="E169" t="s">
        <x:v>149</x:v>
      </x:c>
      <x:c r="F169" t="s">
        <x:v>26</x:v>
      </x:c>
      <x:c r="G169" t="s">
        <x:v>723</x:v>
      </x:c>
      <x:c r="H169" t="s">
        <x:v>724</x:v>
      </x:c>
      <x:c r="I169" s="15"/>
      <x:c r="J169" s="15"/>
      <x:c r="K169" s="15"/>
      <x:c r="L169" s="18"/>
      <x:c r="N169" s="18"/>
      <x:c r="P169" s="18"/>
      <x:c r="V169" t="s">
        <x:v>53</x:v>
      </x:c>
      <x:c r="W169" s="15">
        <x:v>9.0719999999999992</x:v>
      </x:c>
      <x:c r="X169" s="16" t="s">
        <x:v>725</x:v>
      </x:c>
    </x:row>
    <x:row r="170" ht="18">
      <x:c r="A170" s="11" t="s">
        <x:v>726</x:v>
      </x:c>
      <x:c r="B170" s="3">
        <x:v>24.44</x:v>
      </x:c>
      <x:c r="C170" s="5">
        <x:v>29.073</x:v>
      </x:c>
      <x:c r="D170" s="5">
        <x:f t="shared" si="3"/>
        <x:v>4.6329999999999991</x:v>
      </x:c>
      <x:c r="E170" t="s">
        <x:v>149</x:v>
      </x:c>
      <x:c r="F170" t="s">
        <x:v>26</x:v>
      </x:c>
      <x:c r="G170" t="s">
        <x:v>727</x:v>
      </x:c>
      <x:c r="H170" t="s">
        <x:v>728</x:v>
      </x:c>
      <x:c r="I170" s="15">
        <x:v>38</x:v>
      </x:c>
      <x:c r="J170" s="15">
        <x:v>38</x:v>
      </x:c>
      <x:c r="K170" s="15">
        <x:v>30</x:v>
      </x:c>
      <x:c r="L170" s="18">
        <x:v>27.4</x:v>
      </x:c>
      <x:c r="M170" t="s">
        <x:v>29</x:v>
      </x:c>
      <x:c r="N170" s="18">
        <x:v>28</x:v>
      </x:c>
      <x:c r="O170" t="s">
        <x:v>29</x:v>
      </x:c>
      <x:c r="P170" s="18">
        <x:v>22.994213945882731</x:v>
      </x:c>
      <x:c r="Q170" t="s">
        <x:v>29</x:v>
      </x:c>
      <x:c r="R170" t="s">
        <x:v>46</x:v>
      </x:c>
      <x:c r="S170" t="s">
        <x:v>729</x:v>
      </x:c>
      <x:c r="T170" t="s">
        <x:v>32</x:v>
      </x:c>
      <x:c r="U170" t="s">
        <x:v>33</x:v>
      </x:c>
      <x:c r="V170" t="s">
        <x:v>26</x:v>
      </x:c>
      <x:c r="W170" s="15">
        <x:v>10.433</x:v>
      </x:c>
      <x:c r="X170" s="16" t="s">
        <x:v>129</x:v>
      </x:c>
    </x:row>
    <x:row r="171" ht="18">
      <x:c r="A171" s="11" t="s">
        <x:v>730</x:v>
      </x:c>
      <x:c r="B171" s="3">
        <x:v>24.44</x:v>
      </x:c>
      <x:c r="C171" s="5">
        <x:v>29.073</x:v>
      </x:c>
      <x:c r="D171" s="5">
        <x:f t="shared" si="3"/>
        <x:v>4.6329999999999991</x:v>
      </x:c>
      <x:c r="E171" t="s">
        <x:v>82</x:v>
      </x:c>
      <x:c r="F171" t="s">
        <x:v>26</x:v>
      </x:c>
      <x:c r="G171" t="s">
        <x:v>731</x:v>
      </x:c>
      <x:c r="H171" t="s">
        <x:v>406</x:v>
      </x:c>
      <x:c r="I171" s="15">
        <x:v>16</x:v>
      </x:c>
      <x:c r="J171" s="15">
        <x:v>16</x:v>
      </x:c>
      <x:c r="K171" s="15">
        <x:v>12</x:v>
      </x:c>
      <x:c r="L171" s="18">
        <x:v>28.1</x:v>
      </x:c>
      <x:c r="M171" t="s">
        <x:v>29</x:v>
      </x:c>
      <x:c r="N171" s="18">
        <x:v>28</x:v>
      </x:c>
      <x:c r="O171" t="s">
        <x:v>29</x:v>
      </x:c>
      <x:c r="P171" s="18">
        <x:v>22.994213945882731</x:v>
      </x:c>
      <x:c r="Q171" t="s">
        <x:v>29</x:v>
      </x:c>
      <x:c r="R171" t="s">
        <x:v>102</x:v>
      </x:c>
      <x:c r="S171" t="s">
        <x:v>732</x:v>
      </x:c>
      <x:c r="T171" t="s">
        <x:v>32</x:v>
      </x:c>
      <x:c r="U171" t="s">
        <x:v>33</x:v>
      </x:c>
      <x:c r="V171" t="s">
        <x:v>26</x:v>
      </x:c>
      <x:c r="W171" s="15">
        <x:v>10.433</x:v>
      </x:c>
      <x:c r="X171" s="16" t="s">
        <x:v>513</x:v>
      </x:c>
    </x:row>
    <x:row r="172" ht="18">
      <x:c r="A172" s="11" t="s">
        <x:v>733</x:v>
      </x:c>
      <x:c r="B172" s="3">
        <x:v>36.51</x:v>
      </x:c>
      <x:c r="C172" s="5">
        <x:v>41.106999999999999</x:v>
      </x:c>
      <x:c r="D172" s="5">
        <x:f t="shared" si="3"/>
        <x:v>4.5970000000000013</x:v>
      </x:c>
      <x:c r="E172" t="s">
        <x:v>50</x:v>
      </x:c>
      <x:c r="F172" t="s">
        <x:v>26</x:v>
      </x:c>
      <x:c r="G172" t="s">
        <x:v>734</x:v>
      </x:c>
      <x:c r="H172" t="s">
        <x:v>735</x:v>
      </x:c>
      <x:c r="I172" s="15">
        <x:v>19</x:v>
      </x:c>
      <x:c r="J172" s="15">
        <x:v>17</x:v>
      </x:c>
      <x:c r="K172" s="15">
        <x:v>13</x:v>
      </x:c>
      <x:c r="L172" s="18">
        <x:v>42.3</x:v>
      </x:c>
      <x:c r="M172" t="s">
        <x:v>29</x:v>
      </x:c>
      <x:c r="N172" s="18">
        <x:v>43</x:v>
      </x:c>
      <x:c r="O172" t="s">
        <x:v>29</x:v>
      </x:c>
      <x:c r="P172" s="18">
        <x:v>37.985647774454407</x:v>
      </x:c>
      <x:c r="Q172" t="s">
        <x:v>29</x:v>
      </x:c>
      <x:c r="R172" t="s">
        <x:v>736</x:v>
      </x:c>
      <x:c r="S172" t="s">
        <x:v>737</x:v>
      </x:c>
      <x:c r="T172" t="s">
        <x:v>32</x:v>
      </x:c>
      <x:c r="U172" t="s">
        <x:v>33</x:v>
      </x:c>
      <x:c r="V172" t="s">
        <x:v>26</x:v>
      </x:c>
      <x:c r="W172" s="15">
        <x:v>17.236999999999998</x:v>
      </x:c>
      <x:c r="X172" s="16" t="s">
        <x:v>54</x:v>
      </x:c>
    </x:row>
    <x:row r="173" ht="18">
      <x:c r="A173" s="11" t="s">
        <x:v>738</x:v>
      </x:c>
      <x:c r="B173" s="3">
        <x:v>20.7</x:v>
      </x:c>
      <x:c r="C173" s="5">
        <x:v>25.234000000000002</x:v>
      </x:c>
      <x:c r="D173" s="5">
        <x:f t="shared" si="3"/>
        <x:v>4.5340000000000025</x:v>
      </x:c>
      <x:c r="E173" t="s">
        <x:v>739</x:v>
      </x:c>
      <x:c r="F173" t="s">
        <x:v>26</x:v>
      </x:c>
      <x:c r="G173" t="s">
        <x:v>740</x:v>
      </x:c>
      <x:c r="H173" t="s">
        <x:v>741</x:v>
      </x:c>
      <x:c r="I173" s="15">
        <x:v>16</x:v>
      </x:c>
      <x:c r="J173" s="15">
        <x:v>16</x:v>
      </x:c>
      <x:c r="K173" s="15">
        <x:v>12</x:v>
      </x:c>
      <x:c r="L173" s="18">
        <x:v>29.7</x:v>
      </x:c>
      <x:c r="M173" t="s">
        <x:v>29</x:v>
      </x:c>
      <x:c r="N173" s="18">
        <x:v>30</x:v>
      </x:c>
      <x:c r="O173" t="s">
        <x:v>29</x:v>
      </x:c>
      <x:c r="P173" s="18">
        <x:v>22.994213945882731</x:v>
      </x:c>
      <x:c r="Q173" t="s">
        <x:v>29</x:v>
      </x:c>
      <x:c r="R173" t="s">
        <x:v>39</x:v>
      </x:c>
      <x:c r="S173" t="s">
        <x:v>742</x:v>
      </x:c>
      <x:c r="T173" t="s">
        <x:v>32</x:v>
      </x:c>
      <x:c r="U173" t="s">
        <x:v>33</x:v>
      </x:c>
      <x:c r="V173" t="s">
        <x:v>26</x:v>
      </x:c>
      <x:c r="W173" s="15">
        <x:v>10.433</x:v>
      </x:c>
      <x:c r="X173" s="16" t="s">
        <x:v>513</x:v>
      </x:c>
    </x:row>
    <x:row r="174" ht="18">
      <x:c r="A174" s="11" t="s">
        <x:v>743</x:v>
      </x:c>
      <x:c r="B174" s="3">
        <x:v>84.13</x:v>
      </x:c>
      <x:c r="C174" s="5">
        <x:v>88.66</x:v>
      </x:c>
      <x:c r="D174" s="5">
        <x:f t="shared" si="3"/>
        <x:v>4.5300000000000011</x:v>
      </x:c>
      <x:c r="E174" t="s">
        <x:v>131</x:v>
      </x:c>
      <x:c r="F174" t="s">
        <x:v>26</x:v>
      </x:c>
      <x:c r="G174" t="s">
        <x:v>744</x:v>
      </x:c>
      <x:c r="H174" t="s">
        <x:v>745</x:v>
      </x:c>
      <x:c r="I174" s="15">
        <x:v>19</x:v>
      </x:c>
      <x:c r="J174" s="15">
        <x:v>19</x:v>
      </x:c>
      <x:c r="K174" s="15">
        <x:v>15</x:v>
      </x:c>
      <x:c r="L174" s="18">
        <x:v>61.2</x:v>
      </x:c>
      <x:c r="M174" t="s">
        <x:v>29</x:v>
      </x:c>
      <x:c r="N174" s="18">
        <x:v>62</x:v>
      </x:c>
      <x:c r="O174" t="s">
        <x:v>29</x:v>
      </x:c>
      <x:c r="P174" s="18">
        <x:v>55.997414594958897</x:v>
      </x:c>
      <x:c r="Q174" t="s">
        <x:v>29</x:v>
      </x:c>
      <x:c r="R174" t="s">
        <x:v>472</x:v>
      </x:c>
      <x:c r="S174" t="s">
        <x:v>746</x:v>
      </x:c>
      <x:c r="T174" t="s">
        <x:v>32</x:v>
      </x:c>
      <x:c r="U174" t="s">
        <x:v>33</x:v>
      </x:c>
      <x:c r="V174" t="s">
        <x:v>26</x:v>
      </x:c>
      <x:c r="W174" s="15">
        <x:v>25.401</x:v>
      </x:c>
      <x:c r="X174" s="16" t="s">
        <x:v>747</x:v>
      </x:c>
    </x:row>
    <x:row r="175" ht="18">
      <x:c r="A175" s="11" t="s">
        <x:v>748</x:v>
      </x:c>
      <x:c r="B175" s="3">
        <x:v>27.46</x:v>
      </x:c>
      <x:c r="C175" s="5">
        <x:v>31.908000000000001</x:v>
      </x:c>
      <x:c r="D175" s="5">
        <x:f t="shared" si="3"/>
        <x:v>4.4480000000000004</x:v>
      </x:c>
      <x:c r="F175" t="s">
        <x:v>53</x:v>
      </x:c>
      <x:c r="I175" s="15">
        <x:v>33</x:v>
      </x:c>
      <x:c r="J175" s="15">
        <x:v>30</x:v>
      </x:c>
      <x:c r="K175" s="15">
        <x:v>25</x:v>
      </x:c>
      <x:c r="L175" s="18">
        <x:v>12.2</x:v>
      </x:c>
      <x:c r="M175" t="s">
        <x:v>29</x:v>
      </x:c>
      <x:c r="N175" s="18">
        <x:v>13</x:v>
      </x:c>
      <x:c r="O175" t="s">
        <x:v>29</x:v>
      </x:c>
      <x:c r="P175" s="18">
        <x:v>6.9886537112606186</x:v>
      </x:c>
      <x:c r="Q175" t="s">
        <x:v>29</x:v>
      </x:c>
      <x:c r="R175" t="s">
        <x:v>32</x:v>
      </x:c>
      <x:c r="S175" t="s">
        <x:v>33</x:v>
      </x:c>
      <x:c r="T175" t="s">
        <x:v>422</x:v>
      </x:c>
      <x:c r="U175" t="s">
        <x:v>749</x:v>
      </x:c>
      <x:c r="V175" t="s">
        <x:v>26</x:v>
      </x:c>
      <x:c r="W175" s="15"/>
      <x:c r="X175" s="16"/>
    </x:row>
    <x:row r="176" ht="18">
      <x:c r="A176" s="11" t="s">
        <x:v>750</x:v>
      </x:c>
      <x:c r="B176" s="3">
        <x:v>28.3</x:v>
      </x:c>
      <x:c r="C176" s="5">
        <x:v>32.735999999999997</x:v>
      </x:c>
      <x:c r="D176" s="5">
        <x:f t="shared" si="3"/>
        <x:v>4.4359999999999964</x:v>
      </x:c>
      <x:c r="F176" t="s">
        <x:v>53</x:v>
      </x:c>
      <x:c r="I176" s="15">
        <x:v>33</x:v>
      </x:c>
      <x:c r="J176" s="15">
        <x:v>30</x:v>
      </x:c>
      <x:c r="K176" s="15">
        <x:v>25</x:v>
      </x:c>
      <x:c r="L176" s="18">
        <x:v>12.5</x:v>
      </x:c>
      <x:c r="M176" t="s">
        <x:v>29</x:v>
      </x:c>
      <x:c r="N176" s="18">
        <x:v>13</x:v>
      </x:c>
      <x:c r="O176" t="s">
        <x:v>29</x:v>
      </x:c>
      <x:c r="P176" s="18">
        <x:v>6.9886537112606186</x:v>
      </x:c>
      <x:c r="Q176" t="s">
        <x:v>29</x:v>
      </x:c>
      <x:c r="R176" t="s">
        <x:v>32</x:v>
      </x:c>
      <x:c r="S176" t="s">
        <x:v>33</x:v>
      </x:c>
      <x:c r="T176" t="s">
        <x:v>751</x:v>
      </x:c>
      <x:c r="U176" t="s">
        <x:v>752</x:v>
      </x:c>
      <x:c r="V176" t="s">
        <x:v>26</x:v>
      </x:c>
      <x:c r="W176" s="15"/>
      <x:c r="X176" s="16"/>
    </x:row>
    <x:row r="177" ht="18">
      <x:c r="A177" s="11" t="s">
        <x:v>753</x:v>
      </x:c>
      <x:c r="B177" s="3">
        <x:v>28.3</x:v>
      </x:c>
      <x:c r="C177" s="5">
        <x:v>32.735999999999997</x:v>
      </x:c>
      <x:c r="D177" s="5">
        <x:f t="shared" si="3"/>
        <x:v>4.4359999999999964</x:v>
      </x:c>
      <x:c r="F177" t="s">
        <x:v>53</x:v>
      </x:c>
      <x:c r="I177" s="15">
        <x:v>33</x:v>
      </x:c>
      <x:c r="J177" s="15">
        <x:v>30</x:v>
      </x:c>
      <x:c r="K177" s="15">
        <x:v>25</x:v>
      </x:c>
      <x:c r="L177" s="18">
        <x:v>12.5</x:v>
      </x:c>
      <x:c r="M177" t="s">
        <x:v>29</x:v>
      </x:c>
      <x:c r="N177" s="18">
        <x:v>13</x:v>
      </x:c>
      <x:c r="O177" t="s">
        <x:v>29</x:v>
      </x:c>
      <x:c r="P177" s="18">
        <x:v>6.9886537112606186</x:v>
      </x:c>
      <x:c r="Q177" t="s">
        <x:v>29</x:v>
      </x:c>
      <x:c r="R177" t="s">
        <x:v>32</x:v>
      </x:c>
      <x:c r="S177" t="s">
        <x:v>33</x:v>
      </x:c>
      <x:c r="T177" t="s">
        <x:v>751</x:v>
      </x:c>
      <x:c r="U177" t="s">
        <x:v>752</x:v>
      </x:c>
      <x:c r="V177" t="s">
        <x:v>26</x:v>
      </x:c>
      <x:c r="W177" s="15"/>
      <x:c r="X177" s="16"/>
    </x:row>
    <x:row r="178" ht="18">
      <x:c r="A178" s="11" t="s">
        <x:v>754</x:v>
      </x:c>
      <x:c r="B178" s="3">
        <x:v>26.31</x:v>
      </x:c>
      <x:c r="C178" s="5">
        <x:v>30.734000000000002</x:v>
      </x:c>
      <x:c r="D178" s="5">
        <x:f t="shared" si="3"/>
        <x:v>4.424000000000003</x:v>
      </x:c>
      <x:c r="E178" t="s">
        <x:v>82</x:v>
      </x:c>
      <x:c r="F178" t="s">
        <x:v>26</x:v>
      </x:c>
      <x:c r="G178" t="s">
        <x:v>755</x:v>
      </x:c>
      <x:c r="H178" t="s">
        <x:v>756</x:v>
      </x:c>
      <x:c r="I178" s="15">
        <x:v>17</x:v>
      </x:c>
      <x:c r="J178" s="15">
        <x:v>17</x:v>
      </x:c>
      <x:c r="K178" s="15">
        <x:v>17</x:v>
      </x:c>
      <x:c r="L178" s="18">
        <x:v>30.6</x:v>
      </x:c>
      <x:c r="M178" t="s">
        <x:v>29</x:v>
      </x:c>
      <x:c r="N178" s="18">
        <x:v>31</x:v>
      </x:c>
      <x:c r="O178" t="s">
        <x:v>29</x:v>
      </x:c>
      <x:c r="P178" s="18">
        <x:v>25.000420531765116</x:v>
      </x:c>
      <x:c r="Q178" t="s">
        <x:v>29</x:v>
      </x:c>
      <x:c r="R178" t="s">
        <x:v>757</x:v>
      </x:c>
      <x:c r="S178" t="s">
        <x:v>758</x:v>
      </x:c>
      <x:c r="T178" t="s">
        <x:v>32</x:v>
      </x:c>
      <x:c r="U178" t="s">
        <x:v>33</x:v>
      </x:c>
      <x:c r="V178" t="s">
        <x:v>26</x:v>
      </x:c>
      <x:c r="W178" s="15">
        <x:v>11.34</x:v>
      </x:c>
      <x:c r="X178" s="16" t="s">
        <x:v>87</x:v>
      </x:c>
    </x:row>
    <x:row r="179" ht="18">
      <x:c r="A179" s="11" t="s">
        <x:v>759</x:v>
      </x:c>
      <x:c r="B179" s="3">
        <x:v>45.3</x:v>
      </x:c>
      <x:c r="C179" s="5">
        <x:v>49.61</x:v>
      </x:c>
      <x:c r="D179" s="5">
        <x:f t="shared" si="3"/>
        <x:v>4.3100000000000023</x:v>
      </x:c>
      <x:c r="E179" t="s">
        <x:v>50</x:v>
      </x:c>
      <x:c r="F179" t="s">
        <x:v>26</x:v>
      </x:c>
      <x:c r="G179" t="s">
        <x:v>760</x:v>
      </x:c>
      <x:c r="H179" t="s">
        <x:v>761</x:v>
      </x:c>
      <x:c r="I179" s="15">
        <x:v>19</x:v>
      </x:c>
      <x:c r="J179" s="15">
        <x:v>17</x:v>
      </x:c>
      <x:c r="K179" s="15">
        <x:v>13</x:v>
      </x:c>
      <x:c r="L179" s="18">
        <x:v>41.9</x:v>
      </x:c>
      <x:c r="M179" t="s">
        <x:v>29</x:v>
      </x:c>
      <x:c r="N179" s="18">
        <x:v>42</x:v>
      </x:c>
      <x:c r="O179" t="s">
        <x:v>29</x:v>
      </x:c>
      <x:c r="P179" s="18">
        <x:v>37.985647774454407</x:v>
      </x:c>
      <x:c r="Q179" t="s">
        <x:v>29</x:v>
      </x:c>
      <x:c r="R179" t="s">
        <x:v>46</x:v>
      </x:c>
      <x:c r="S179" t="s">
        <x:v>639</x:v>
      </x:c>
      <x:c r="T179" t="s">
        <x:v>32</x:v>
      </x:c>
      <x:c r="U179" t="s">
        <x:v>33</x:v>
      </x:c>
      <x:c r="V179" t="s">
        <x:v>26</x:v>
      </x:c>
      <x:c r="W179" s="15">
        <x:v>17.236999999999998</x:v>
      </x:c>
      <x:c r="X179" s="16" t="s">
        <x:v>54</x:v>
      </x:c>
    </x:row>
    <x:row r="180" ht="18">
      <x:c r="A180" s="11" t="s">
        <x:v>762</x:v>
      </x:c>
      <x:c r="B180" s="3">
        <x:v>45.21</x:v>
      </x:c>
      <x:c r="C180" s="5">
        <x:v>49.511000000000003</x:v>
      </x:c>
      <x:c r="D180" s="5">
        <x:f t="shared" si="3"/>
        <x:v>4.3010000000000019</x:v>
      </x:c>
      <x:c r="E180" t="s">
        <x:v>50</x:v>
      </x:c>
      <x:c r="F180" t="s">
        <x:v>26</x:v>
      </x:c>
      <x:c r="G180" t="s">
        <x:v>763</x:v>
      </x:c>
      <x:c r="H180" t="s">
        <x:v>764</x:v>
      </x:c>
      <x:c r="I180" s="15"/>
      <x:c r="J180" s="15"/>
      <x:c r="K180" s="15"/>
      <x:c r="L180" s="18"/>
      <x:c r="N180" s="18"/>
      <x:c r="P180" s="18"/>
      <x:c r="V180" t="s">
        <x:v>53</x:v>
      </x:c>
      <x:c r="W180" s="15">
        <x:v>17.236999999999998</x:v>
      </x:c>
      <x:c r="X180" s="16" t="s">
        <x:v>54</x:v>
      </x:c>
    </x:row>
    <x:row r="181" ht="18">
      <x:c r="A181" s="11" t="s">
        <x:v>765</x:v>
      </x:c>
      <x:c r="B181" s="3">
        <x:v>45.03</x:v>
      </x:c>
      <x:c r="C181" s="5">
        <x:v>49.313000000000002</x:v>
      </x:c>
      <x:c r="D181" s="5">
        <x:f t="shared" si="3"/>
        <x:v>4.2830000000000013</x:v>
      </x:c>
      <x:c r="E181" t="s">
        <x:v>50</x:v>
      </x:c>
      <x:c r="F181" t="s">
        <x:v>26</x:v>
      </x:c>
      <x:c r="G181" t="s">
        <x:v>766</x:v>
      </x:c>
      <x:c r="H181" t="s">
        <x:v>767</x:v>
      </x:c>
      <x:c r="I181" s="15">
        <x:v>19</x:v>
      </x:c>
      <x:c r="J181" s="15">
        <x:v>16</x:v>
      </x:c>
      <x:c r="K181" s="15">
        <x:v>13</x:v>
      </x:c>
      <x:c r="L181" s="18">
        <x:v>41.3</x:v>
      </x:c>
      <x:c r="M181" t="s">
        <x:v>29</x:v>
      </x:c>
      <x:c r="N181" s="18">
        <x:v>42</x:v>
      </x:c>
      <x:c r="O181" t="s">
        <x:v>29</x:v>
      </x:c>
      <x:c r="P181" s="18">
        <x:v>37.985647774454407</x:v>
      </x:c>
      <x:c r="Q181" t="s">
        <x:v>29</x:v>
      </x:c>
      <x:c r="R181" t="s">
        <x:v>768</x:v>
      </x:c>
      <x:c r="S181" t="s">
        <x:v>769</x:v>
      </x:c>
      <x:c r="T181" t="s">
        <x:v>32</x:v>
      </x:c>
      <x:c r="U181" t="s">
        <x:v>33</x:v>
      </x:c>
      <x:c r="V181" t="s">
        <x:v>26</x:v>
      </x:c>
      <x:c r="W181" s="15">
        <x:v>17.236999999999998</x:v>
      </x:c>
      <x:c r="X181" s="16" t="s">
        <x:v>54</x:v>
      </x:c>
    </x:row>
    <x:row r="182" ht="18">
      <x:c r="A182" s="11" t="s">
        <x:v>770</x:v>
      </x:c>
      <x:c r="B182" s="3">
        <x:v>95.71</x:v>
      </x:c>
      <x:c r="C182" s="5">
        <x:v>99.99</x:v>
      </x:c>
      <x:c r="D182" s="5">
        <x:f t="shared" si="3"/>
        <x:v>4.2800000000000011</x:v>
      </x:c>
      <x:c r="E182" t="s">
        <x:v>43</x:v>
      </x:c>
      <x:c r="F182" t="s">
        <x:v>26</x:v>
      </x:c>
      <x:c r="G182" t="s">
        <x:v>771</x:v>
      </x:c>
      <x:c r="H182" t="s">
        <x:v>772</x:v>
      </x:c>
      <x:c r="I182" s="15">
        <x:v>20</x:v>
      </x:c>
      <x:c r="J182" s="15">
        <x:v>16</x:v>
      </x:c>
      <x:c r="K182" s="15">
        <x:v>16</x:v>
      </x:c>
      <x:c r="L182" s="18">
        <x:v>66.2</x:v>
      </x:c>
      <x:c r="M182" t="s">
        <x:v>29</x:v>
      </x:c>
      <x:c r="N182" s="18">
        <x:v>67</x:v>
      </x:c>
      <x:c r="O182" t="s">
        <x:v>29</x:v>
      </x:c>
      <x:c r="P182" s="18">
        <x:v>55.997414594958897</x:v>
      </x:c>
      <x:c r="Q182" t="s">
        <x:v>29</x:v>
      </x:c>
      <x:c r="R182" t="s">
        <x:v>621</x:v>
      </x:c>
      <x:c r="S182" t="s">
        <x:v>773</x:v>
      </x:c>
      <x:c r="T182" t="s">
        <x:v>32</x:v>
      </x:c>
      <x:c r="U182" t="s">
        <x:v>33</x:v>
      </x:c>
      <x:c r="V182" t="s">
        <x:v>26</x:v>
      </x:c>
      <x:c r="W182" s="15">
        <x:v>25.401</x:v>
      </x:c>
      <x:c r="X182" s="16" t="s">
        <x:v>774</x:v>
      </x:c>
    </x:row>
    <x:row r="183" ht="18">
      <x:c r="A183" s="11" t="s">
        <x:v>775</x:v>
      </x:c>
      <x:c r="B183" s="3">
        <x:v>32.47</x:v>
      </x:c>
      <x:c r="C183" s="5">
        <x:v>36.728999999999999</x:v>
      </x:c>
      <x:c r="D183" s="5">
        <x:f t="shared" si="3"/>
        <x:v>4.2590000000000003</x:v>
      </x:c>
      <x:c r="E183" t="s">
        <x:v>776</x:v>
      </x:c>
      <x:c r="F183" t="s">
        <x:v>26</x:v>
      </x:c>
      <x:c r="G183" t="s">
        <x:v>777</x:v>
      </x:c>
      <x:c r="H183" t="s">
        <x:v>778</x:v>
      </x:c>
      <x:c r="I183" s="15">
        <x:v>17</x:v>
      </x:c>
      <x:c r="J183" s="15">
        <x:v>13</x:v>
      </x:c>
      <x:c r="K183" s="15">
        <x:v>12</x:v>
      </x:c>
      <x:c r="L183" s="18">
        <x:v>27.9</x:v>
      </x:c>
      <x:c r="M183" t="s">
        <x:v>29</x:v>
      </x:c>
      <x:c r="N183" s="18">
        <x:v>28</x:v>
      </x:c>
      <x:c r="O183" t="s">
        <x:v>29</x:v>
      </x:c>
      <x:c r="P183" s="18">
        <x:v>25.000420531765116</x:v>
      </x:c>
      <x:c r="Q183" t="s">
        <x:v>29</x:v>
      </x:c>
      <x:c r="R183" t="s">
        <x:v>768</x:v>
      </x:c>
      <x:c r="S183" t="s">
        <x:v>779</x:v>
      </x:c>
      <x:c r="T183" t="s">
        <x:v>32</x:v>
      </x:c>
      <x:c r="U183" t="s">
        <x:v>33</x:v>
      </x:c>
      <x:c r="V183" t="s">
        <x:v>26</x:v>
      </x:c>
      <x:c r="W183" s="15">
        <x:v>11.34</x:v>
      </x:c>
      <x:c r="X183" s="16" t="s">
        <x:v>87</x:v>
      </x:c>
    </x:row>
    <x:row r="184" ht="18">
      <x:c r="A184" s="11" t="s">
        <x:v>780</x:v>
      </x:c>
      <x:c r="B184" s="3">
        <x:v>31.44</x:v>
      </x:c>
      <x:c r="C184" s="5">
        <x:v>35.695</x:v>
      </x:c>
      <x:c r="D184" s="5">
        <x:f t="shared" si="3"/>
        <x:v>4.254999999999999</x:v>
      </x:c>
      <x:c r="E184" t="s">
        <x:v>387</x:v>
      </x:c>
      <x:c r="F184" t="s">
        <x:v>26</x:v>
      </x:c>
      <x:c r="G184" t="s">
        <x:v>781</x:v>
      </x:c>
      <x:c r="H184" t="s">
        <x:v>782</x:v>
      </x:c>
      <x:c r="I184" s="15">
        <x:v>29</x:v>
      </x:c>
      <x:c r="J184" s="15">
        <x:v>19</x:v>
      </x:c>
      <x:c r="K184" s="15">
        <x:v>7</x:v>
      </x:c>
      <x:c r="L184" s="18">
        <x:v>45.9</x:v>
      </x:c>
      <x:c r="M184" t="s">
        <x:v>29</x:v>
      </x:c>
      <x:c r="N184" s="18">
        <x:v>46</x:v>
      </x:c>
      <x:c r="O184" t="s">
        <x:v>29</x:v>
      </x:c>
      <x:c r="P184" s="18">
        <x:v>39.683207193277966</x:v>
      </x:c>
      <x:c r="Q184" t="s">
        <x:v>29</x:v>
      </x:c>
      <x:c r="R184" t="s">
        <x:v>39</x:v>
      </x:c>
      <x:c r="S184" t="s">
        <x:v>783</x:v>
      </x:c>
      <x:c r="T184" t="s">
        <x:v>32</x:v>
      </x:c>
      <x:c r="U184" t="s">
        <x:v>33</x:v>
      </x:c>
      <x:c r="V184" t="s">
        <x:v>26</x:v>
      </x:c>
      <x:c r="W184" s="15">
        <x:v>18</x:v>
      </x:c>
      <x:c r="X184" s="16" t="s">
        <x:v>784</x:v>
      </x:c>
    </x:row>
    <x:row r="185" ht="18">
      <x:c r="A185" s="11" t="s">
        <x:v>785</x:v>
      </x:c>
      <x:c r="B185" s="3">
        <x:v>32.28</x:v>
      </x:c>
      <x:c r="C185" s="5">
        <x:v>36.509</x:v>
      </x:c>
      <x:c r="D185" s="5">
        <x:f t="shared" si="3"/>
        <x:v>4.2289999999999992</x:v>
      </x:c>
      <x:c r="E185" t="s">
        <x:v>82</x:v>
      </x:c>
      <x:c r="F185" t="s">
        <x:v>26</x:v>
      </x:c>
      <x:c r="G185" t="s">
        <x:v>786</x:v>
      </x:c>
      <x:c r="H185" t="s">
        <x:v>787</x:v>
      </x:c>
      <x:c r="I185" s="15">
        <x:v>15</x:v>
      </x:c>
      <x:c r="J185" s="15">
        <x:v>15</x:v>
      </x:c>
      <x:c r="K185" s="15">
        <x:v>11</x:v>
      </x:c>
      <x:c r="L185" s="18">
        <x:v>27.6</x:v>
      </x:c>
      <x:c r="M185" t="s">
        <x:v>29</x:v>
      </x:c>
      <x:c r="N185" s="18">
        <x:v>28</x:v>
      </x:c>
      <x:c r="O185" t="s">
        <x:v>29</x:v>
      </x:c>
      <x:c r="P185" s="18">
        <x:v>25.000420531765116</x:v>
      </x:c>
      <x:c r="Q185" t="s">
        <x:v>29</x:v>
      </x:c>
      <x:c r="R185" t="s">
        <x:v>134</x:v>
      </x:c>
      <x:c r="S185" t="s">
        <x:v>788</x:v>
      </x:c>
      <x:c r="T185" t="s">
        <x:v>32</x:v>
      </x:c>
      <x:c r="U185" t="s">
        <x:v>33</x:v>
      </x:c>
      <x:c r="V185" t="s">
        <x:v>26</x:v>
      </x:c>
      <x:c r="W185" s="15">
        <x:v>11.34</x:v>
      </x:c>
      <x:c r="X185" s="16" t="s">
        <x:v>87</x:v>
      </x:c>
    </x:row>
    <x:row r="186" ht="18">
      <x:c r="A186" s="11" t="s">
        <x:v>789</x:v>
      </x:c>
      <x:c r="B186" s="3">
        <x:v>19.43</x:v>
      </x:c>
      <x:c r="C186" s="5">
        <x:v>23.606000000000002</x:v>
      </x:c>
      <x:c r="D186" s="5">
        <x:f t="shared" si="3"/>
        <x:v>4.1760000000000019</x:v>
      </x:c>
      <x:c r="E186" t="s">
        <x:v>790</x:v>
      </x:c>
      <x:c r="F186" t="s">
        <x:v>26</x:v>
      </x:c>
      <x:c r="G186" t="s">
        <x:v>791</x:v>
      </x:c>
      <x:c r="H186" t="s">
        <x:v>792</x:v>
      </x:c>
      <x:c r="I186" s="15">
        <x:v>14</x:v>
      </x:c>
      <x:c r="J186" s="15">
        <x:v>14</x:v>
      </x:c>
      <x:c r="K186" s="15">
        <x:v>12</x:v>
      </x:c>
      <x:c r="L186" s="18">
        <x:v>18.8</x:v>
      </x:c>
      <x:c r="M186" t="s">
        <x:v>29</x:v>
      </x:c>
      <x:c r="N186" s="18">
        <x:v>19</x:v>
      </x:c>
      <x:c r="O186" t="s">
        <x:v>29</x:v>
      </x:c>
      <x:c r="P186" s="18">
        <x:v>12.985227242689287</x:v>
      </x:c>
      <x:c r="Q186" t="s">
        <x:v>29</x:v>
      </x:c>
      <x:c r="R186" t="s">
        <x:v>46</x:v>
      </x:c>
      <x:c r="S186" t="s">
        <x:v>793</x:v>
      </x:c>
      <x:c r="T186" t="s">
        <x:v>32</x:v>
      </x:c>
      <x:c r="U186" t="s">
        <x:v>33</x:v>
      </x:c>
      <x:c r="V186" t="s">
        <x:v>26</x:v>
      </x:c>
      <x:c r="W186" s="15">
        <x:v>5.8970000000000002</x:v>
      </x:c>
      <x:c r="X186" s="16" t="s">
        <x:v>794</x:v>
      </x:c>
    </x:row>
    <x:row r="187" ht="18">
      <x:c r="A187" s="11" t="s">
        <x:v>795</x:v>
      </x:c>
      <x:c r="B187" s="3">
        <x:v>32.340000000000003</x:v>
      </x:c>
      <x:c r="C187" s="5">
        <x:v>36.509</x:v>
      </x:c>
      <x:c r="D187" s="5">
        <x:f t="shared" si="3"/>
        <x:v>4.1689999999999969</x:v>
      </x:c>
      <x:c r="E187" t="s">
        <x:v>82</x:v>
      </x:c>
      <x:c r="F187" t="s">
        <x:v>26</x:v>
      </x:c>
      <x:c r="G187" t="s">
        <x:v>796</x:v>
      </x:c>
      <x:c r="H187" t="s">
        <x:v>797</x:v>
      </x:c>
      <x:c r="I187" s="15">
        <x:v>15</x:v>
      </x:c>
      <x:c r="J187" s="15">
        <x:v>15</x:v>
      </x:c>
      <x:c r="K187" s="15">
        <x:v>11</x:v>
      </x:c>
      <x:c r="L187" s="18">
        <x:v>27.7</x:v>
      </x:c>
      <x:c r="M187" t="s">
        <x:v>29</x:v>
      </x:c>
      <x:c r="N187" s="18">
        <x:v>28</x:v>
      </x:c>
      <x:c r="O187" t="s">
        <x:v>29</x:v>
      </x:c>
      <x:c r="P187" s="18">
        <x:v>25.000420531765116</x:v>
      </x:c>
      <x:c r="Q187" t="s">
        <x:v>29</x:v>
      </x:c>
      <x:c r="R187" t="s">
        <x:v>134</x:v>
      </x:c>
      <x:c r="S187" t="s">
        <x:v>798</x:v>
      </x:c>
      <x:c r="T187" t="s">
        <x:v>32</x:v>
      </x:c>
      <x:c r="U187" t="s">
        <x:v>33</x:v>
      </x:c>
      <x:c r="V187" t="s">
        <x:v>26</x:v>
      </x:c>
      <x:c r="W187" s="15">
        <x:v>11.34</x:v>
      </x:c>
      <x:c r="X187" s="16" t="s">
        <x:v>87</x:v>
      </x:c>
    </x:row>
    <x:row r="188" ht="18">
      <x:c r="A188" s="11" t="s">
        <x:v>799</x:v>
      </x:c>
      <x:c r="B188" s="3">
        <x:v>26.36</x:v>
      </x:c>
      <x:c r="C188" s="5">
        <x:v>30.524999999999999</x:v>
      </x:c>
      <x:c r="D188" s="5">
        <x:f t="shared" si="3"/>
        <x:v>4.1649999999999991</x:v>
      </x:c>
      <x:c r="E188" t="s">
        <x:v>82</x:v>
      </x:c>
      <x:c r="F188" t="s">
        <x:v>26</x:v>
      </x:c>
      <x:c r="G188" t="s">
        <x:v>800</x:v>
      </x:c>
      <x:c r="H188" t="s">
        <x:v>801</x:v>
      </x:c>
      <x:c r="I188" s="15"/>
      <x:c r="J188" s="15"/>
      <x:c r="K188" s="15"/>
      <x:c r="L188" s="18"/>
      <x:c r="N188" s="18"/>
      <x:c r="P188" s="18"/>
      <x:c r="V188" t="s">
        <x:v>53</x:v>
      </x:c>
      <x:c r="W188" s="15">
        <x:v>11.34</x:v>
      </x:c>
      <x:c r="X188" s="16" t="s">
        <x:v>87</x:v>
      </x:c>
    </x:row>
    <x:row r="189" ht="18">
      <x:c r="A189" s="11" t="s">
        <x:v>802</x:v>
      </x:c>
      <x:c r="B189" s="3">
        <x:v>32.47</x:v>
      </x:c>
      <x:c r="C189" s="5">
        <x:v>36.585999999999999</x:v>
      </x:c>
      <x:c r="D189" s="5">
        <x:f t="shared" si="3"/>
        <x:v>4.1159999999999997</x:v>
      </x:c>
      <x:c r="E189" t="s">
        <x:v>82</x:v>
      </x:c>
      <x:c r="F189" t="s">
        <x:v>26</x:v>
      </x:c>
      <x:c r="G189" t="s">
        <x:v>803</x:v>
      </x:c>
      <x:c r="H189" t="s">
        <x:v>804</x:v>
      </x:c>
      <x:c r="I189" s="15">
        <x:v>17</x:v>
      </x:c>
      <x:c r="J189" s="15">
        <x:v>13</x:v>
      </x:c>
      <x:c r="K189" s="15">
        <x:v>11</x:v>
      </x:c>
      <x:c r="L189" s="18">
        <x:v>27.1</x:v>
      </x:c>
      <x:c r="M189" t="s">
        <x:v>29</x:v>
      </x:c>
      <x:c r="N189" s="18">
        <x:v>28</x:v>
      </x:c>
      <x:c r="O189" t="s">
        <x:v>29</x:v>
      </x:c>
      <x:c r="P189" s="18">
        <x:v>25.000420531765116</x:v>
      </x:c>
      <x:c r="Q189" t="s">
        <x:v>29</x:v>
      </x:c>
      <x:c r="R189" t="s">
        <x:v>736</x:v>
      </x:c>
      <x:c r="S189" t="s">
        <x:v>805</x:v>
      </x:c>
      <x:c r="T189" t="s">
        <x:v>32</x:v>
      </x:c>
      <x:c r="U189" t="s">
        <x:v>33</x:v>
      </x:c>
      <x:c r="V189" t="s">
        <x:v>26</x:v>
      </x:c>
      <x:c r="W189" s="15">
        <x:v>11.34</x:v>
      </x:c>
      <x:c r="X189" s="16" t="s">
        <x:v>87</x:v>
      </x:c>
    </x:row>
    <x:row r="190" ht="18">
      <x:c r="A190" s="11" t="s">
        <x:v>806</x:v>
      </x:c>
      <x:c r="B190" s="3">
        <x:v>32.47</x:v>
      </x:c>
      <x:c r="C190" s="5">
        <x:v>36.585999999999999</x:v>
      </x:c>
      <x:c r="D190" s="5">
        <x:f t="shared" si="3"/>
        <x:v>4.1159999999999997</x:v>
      </x:c>
      <x:c r="E190" t="s">
        <x:v>82</x:v>
      </x:c>
      <x:c r="F190" t="s">
        <x:v>26</x:v>
      </x:c>
      <x:c r="G190" t="s">
        <x:v>807</x:v>
      </x:c>
      <x:c r="H190" t="s">
        <x:v>808</x:v>
      </x:c>
      <x:c r="I190" s="15">
        <x:v>15</x:v>
      </x:c>
      <x:c r="J190" s="15">
        <x:v>15</x:v>
      </x:c>
      <x:c r="K190" s="15">
        <x:v>15</x:v>
      </x:c>
      <x:c r="L190" s="18">
        <x:v>27.4</x:v>
      </x:c>
      <x:c r="M190" t="s">
        <x:v>29</x:v>
      </x:c>
      <x:c r="N190" s="18">
        <x:v>28</x:v>
      </x:c>
      <x:c r="O190" t="s">
        <x:v>29</x:v>
      </x:c>
      <x:c r="P190" s="18">
        <x:v>25.000420531765116</x:v>
      </x:c>
      <x:c r="Q190" t="s">
        <x:v>29</x:v>
      </x:c>
      <x:c r="R190" t="s">
        <x:v>134</x:v>
      </x:c>
      <x:c r="S190" t="s">
        <x:v>809</x:v>
      </x:c>
      <x:c r="T190" t="s">
        <x:v>32</x:v>
      </x:c>
      <x:c r="U190" t="s">
        <x:v>33</x:v>
      </x:c>
      <x:c r="V190" t="s">
        <x:v>26</x:v>
      </x:c>
      <x:c r="W190" s="15">
        <x:v>11.34</x:v>
      </x:c>
      <x:c r="X190" s="16" t="s">
        <x:v>87</x:v>
      </x:c>
    </x:row>
    <x:row r="191" ht="18">
      <x:c r="A191" s="11" t="s">
        <x:v>810</x:v>
      </x:c>
      <x:c r="B191" s="3">
        <x:v>32.47</x:v>
      </x:c>
      <x:c r="C191" s="5">
        <x:v>36.585999999999999</x:v>
      </x:c>
      <x:c r="D191" s="5">
        <x:f t="shared" si="3"/>
        <x:v>4.1159999999999997</x:v>
      </x:c>
      <x:c r="E191" t="s">
        <x:v>82</x:v>
      </x:c>
      <x:c r="F191" t="s">
        <x:v>26</x:v>
      </x:c>
      <x:c r="G191" t="s">
        <x:v>811</x:v>
      </x:c>
      <x:c r="H191" t="s">
        <x:v>812</x:v>
      </x:c>
      <x:c r="I191" s="15">
        <x:v>16</x:v>
      </x:c>
      <x:c r="J191" s="15">
        <x:v>12</x:v>
      </x:c>
      <x:c r="K191" s="15">
        <x:v>9</x:v>
      </x:c>
      <x:c r="L191" s="18">
        <x:v>27.3</x:v>
      </x:c>
      <x:c r="M191" t="s">
        <x:v>29</x:v>
      </x:c>
      <x:c r="N191" s="18">
        <x:v>28</x:v>
      </x:c>
      <x:c r="O191" t="s">
        <x:v>29</x:v>
      </x:c>
      <x:c r="P191" s="18">
        <x:v>25.000420531765116</x:v>
      </x:c>
      <x:c r="Q191" t="s">
        <x:v>29</x:v>
      </x:c>
      <x:c r="R191" t="s">
        <x:v>813</x:v>
      </x:c>
      <x:c r="S191" t="s">
        <x:v>814</x:v>
      </x:c>
      <x:c r="T191" t="s">
        <x:v>32</x:v>
      </x:c>
      <x:c r="U191" t="s">
        <x:v>33</x:v>
      </x:c>
      <x:c r="V191" t="s">
        <x:v>26</x:v>
      </x:c>
      <x:c r="W191" s="15">
        <x:v>11.34</x:v>
      </x:c>
      <x:c r="X191" s="16" t="s">
        <x:v>87</x:v>
      </x:c>
    </x:row>
    <x:row r="192" ht="18">
      <x:c r="A192" s="11" t="s">
        <x:v>815</x:v>
      </x:c>
      <x:c r="B192" s="3">
        <x:v>45.3</x:v>
      </x:c>
      <x:c r="C192" s="5">
        <x:v>49.401000000000003</x:v>
      </x:c>
      <x:c r="D192" s="5">
        <x:f t="shared" si="3"/>
        <x:v>4.1010000000000062</x:v>
      </x:c>
      <x:c r="E192" t="s">
        <x:v>50</x:v>
      </x:c>
      <x:c r="F192" t="s">
        <x:v>26</x:v>
      </x:c>
      <x:c r="G192" t="s">
        <x:v>816</x:v>
      </x:c>
      <x:c r="H192" t="s">
        <x:v>817</x:v>
      </x:c>
      <x:c r="I192" s="15">
        <x:v>19</x:v>
      </x:c>
      <x:c r="J192" s="15">
        <x:v>18</x:v>
      </x:c>
      <x:c r="K192" s="15">
        <x:v>17</x:v>
      </x:c>
      <x:c r="L192" s="18">
        <x:v>41</x:v>
      </x:c>
      <x:c r="M192" t="s">
        <x:v>29</x:v>
      </x:c>
      <x:c r="N192" s="18">
        <x:v>41</x:v>
      </x:c>
      <x:c r="O192" t="s">
        <x:v>29</x:v>
      </x:c>
      <x:c r="P192" s="18">
        <x:v>37.985647774454407</x:v>
      </x:c>
      <x:c r="Q192" t="s">
        <x:v>29</x:v>
      </x:c>
      <x:c r="R192" t="s">
        <x:v>736</x:v>
      </x:c>
      <x:c r="S192" t="s">
        <x:v>235</x:v>
      </x:c>
      <x:c r="T192" t="s">
        <x:v>32</x:v>
      </x:c>
      <x:c r="U192" t="s">
        <x:v>33</x:v>
      </x:c>
      <x:c r="V192" t="s">
        <x:v>26</x:v>
      </x:c>
      <x:c r="W192" s="15">
        <x:v>17.236999999999998</x:v>
      </x:c>
      <x:c r="X192" s="16" t="s">
        <x:v>54</x:v>
      </x:c>
    </x:row>
    <x:row r="193" ht="18">
      <x:c r="A193" s="11" t="s">
        <x:v>818</x:v>
      </x:c>
      <x:c r="B193" s="3">
        <x:v>19.04</x:v>
      </x:c>
      <x:c r="C193" s="5">
        <x:v>23.132999999999999</x:v>
      </x:c>
      <x:c r="D193" s="5">
        <x:f t="shared" si="3"/>
        <x:v>4.093</x:v>
      </x:c>
      <x:c r="E193" t="s">
        <x:v>819</x:v>
      </x:c>
      <x:c r="F193" t="s">
        <x:v>26</x:v>
      </x:c>
      <x:c r="G193" t="s">
        <x:v>820</x:v>
      </x:c>
      <x:c r="H193" t="s">
        <x:v>821</x:v>
      </x:c>
      <x:c r="I193" s="15">
        <x:v>22</x:v>
      </x:c>
      <x:c r="J193" s="15">
        <x:v>15</x:v>
      </x:c>
      <x:c r="K193" s="15">
        <x:v>8</x:v>
      </x:c>
      <x:c r="L193" s="18">
        <x:v>20.2</x:v>
      </x:c>
      <x:c r="M193" t="s">
        <x:v>29</x:v>
      </x:c>
      <x:c r="N193" s="18">
        <x:v>21</x:v>
      </x:c>
      <x:c r="O193" t="s">
        <x:v>29</x:v>
      </x:c>
      <x:c r="P193" s="18">
        <x:v>5.9965735314286706</x:v>
      </x:c>
      <x:c r="Q193" t="s">
        <x:v>29</x:v>
      </x:c>
      <x:c r="R193" t="s">
        <x:v>46</x:v>
      </x:c>
      <x:c r="S193" t="s">
        <x:v>822</x:v>
      </x:c>
      <x:c r="T193" t="s">
        <x:v>32</x:v>
      </x:c>
      <x:c r="U193" t="s">
        <x:v>33</x:v>
      </x:c>
      <x:c r="V193" t="s">
        <x:v>26</x:v>
      </x:c>
      <x:c r="W193" s="15">
        <x:v>0</x:v>
      </x:c>
      <x:c r="X193" s="16" t="s">
        <x:v>104</x:v>
      </x:c>
    </x:row>
    <x:row r="194" ht="18">
      <x:c r="A194" s="11" t="s">
        <x:v>823</x:v>
      </x:c>
      <x:c r="B194" s="3">
        <x:v>45.21</x:v>
      </x:c>
      <x:c r="C194" s="5">
        <x:v>49.302</x:v>
      </x:c>
      <x:c r="D194" s="5">
        <x:f t="shared" si="3"/>
        <x:v>4.0919999999999987</x:v>
      </x:c>
      <x:c r="E194" t="s">
        <x:v>50</x:v>
      </x:c>
      <x:c r="F194" t="s">
        <x:v>26</x:v>
      </x:c>
      <x:c r="G194" t="s">
        <x:v>824</x:v>
      </x:c>
      <x:c r="H194" t="s">
        <x:v>825</x:v>
      </x:c>
      <x:c r="I194" s="15"/>
      <x:c r="J194" s="15"/>
      <x:c r="K194" s="15"/>
      <x:c r="L194" s="18"/>
      <x:c r="N194" s="18"/>
      <x:c r="P194" s="18"/>
      <x:c r="V194" t="s">
        <x:v>53</x:v>
      </x:c>
      <x:c r="W194" s="15">
        <x:v>17.236999999999998</x:v>
      </x:c>
      <x:c r="X194" s="16" t="s">
        <x:v>54</x:v>
      </x:c>
    </x:row>
    <x:row r="195" ht="18">
      <x:c r="A195" s="11" t="s">
        <x:v>826</x:v>
      </x:c>
      <x:c r="B195" s="3">
        <x:v>21.72</x:v>
      </x:c>
      <x:c r="C195" s="5">
        <x:v>25.795000000000002</x:v>
      </x:c>
      <x:c r="D195" s="5" t="n">
        <x:f t="shared" ref="D195:D258" si="4">C195-B195</x:f>
        <x:v>4.075000000000003</x:v>
      </x:c>
      <x:c r="F195" t="s">
        <x:v>53</x:v>
      </x:c>
      <x:c r="I195" s="15">
        <x:v>16</x:v>
      </x:c>
      <x:c r="J195" s="15">
        <x:v>16</x:v>
      </x:c>
      <x:c r="K195" s="15">
        <x:v>12</x:v>
      </x:c>
      <x:c r="L195" s="18">
        <x:v>30.1</x:v>
      </x:c>
      <x:c r="M195" t="s">
        <x:v>29</x:v>
      </x:c>
      <x:c r="N195" s="18">
        <x:v>31</x:v>
      </x:c>
      <x:c r="O195" t="s">
        <x:v>29</x:v>
      </x:c>
      <x:c r="P195" s="18">
        <x:v>25.000420531765116</x:v>
      </x:c>
      <x:c r="Q195" t="s">
        <x:v>29</x:v>
      </x:c>
      <x:c r="R195" t="s">
        <x:v>39</x:v>
      </x:c>
      <x:c r="S195" t="s">
        <x:v>827</x:v>
      </x:c>
      <x:c r="T195" t="s">
        <x:v>32</x:v>
      </x:c>
      <x:c r="U195" t="s">
        <x:v>33</x:v>
      </x:c>
      <x:c r="V195" t="s">
        <x:v>26</x:v>
      </x:c>
      <x:c r="W195" s="15">
        <x:v>0</x:v>
      </x:c>
      <x:c r="X195" s="16" t="s">
        <x:v>104</x:v>
      </x:c>
    </x:row>
    <x:row r="196" ht="18">
      <x:c r="A196" s="11" t="s">
        <x:v>828</x:v>
      </x:c>
      <x:c r="B196" s="3">
        <x:v>45.03</x:v>
      </x:c>
      <x:c r="C196" s="5">
        <x:v>49.103999999999999</x:v>
      </x:c>
      <x:c r="D196" s="5">
        <x:f t="shared" si="4"/>
        <x:v>4.0739999999999981</x:v>
      </x:c>
      <x:c r="E196" t="s">
        <x:v>50</x:v>
      </x:c>
      <x:c r="F196" t="s">
        <x:v>26</x:v>
      </x:c>
      <x:c r="G196" t="s">
        <x:v>829</x:v>
      </x:c>
      <x:c r="H196" t="s">
        <x:v>830</x:v>
      </x:c>
      <x:c r="I196" s="15">
        <x:v>19</x:v>
      </x:c>
      <x:c r="J196" s="15">
        <x:v>17</x:v>
      </x:c>
      <x:c r="K196" s="15">
        <x:v>13</x:v>
      </x:c>
      <x:c r="L196" s="18">
        <x:v>41.1</x:v>
      </x:c>
      <x:c r="M196" t="s">
        <x:v>29</x:v>
      </x:c>
      <x:c r="N196" s="18">
        <x:v>41</x:v>
      </x:c>
      <x:c r="O196" t="s">
        <x:v>29</x:v>
      </x:c>
      <x:c r="P196" s="18">
        <x:v>37.985647774454407</x:v>
      </x:c>
      <x:c r="Q196" t="s">
        <x:v>29</x:v>
      </x:c>
      <x:c r="R196" t="s">
        <x:v>634</x:v>
      </x:c>
      <x:c r="S196" t="s">
        <x:v>831</x:v>
      </x:c>
      <x:c r="T196" t="s">
        <x:v>32</x:v>
      </x:c>
      <x:c r="U196" t="s">
        <x:v>33</x:v>
      </x:c>
      <x:c r="V196" t="s">
        <x:v>26</x:v>
      </x:c>
      <x:c r="W196" s="15">
        <x:v>17.236999999999998</x:v>
      </x:c>
      <x:c r="X196" s="16" t="s">
        <x:v>54</x:v>
      </x:c>
    </x:row>
    <x:row r="197" ht="18">
      <x:c r="A197" s="11" t="s">
        <x:v>832</x:v>
      </x:c>
      <x:c r="B197" s="3">
        <x:v>26.41</x:v>
      </x:c>
      <x:c r="C197" s="5">
        <x:v>30.459</x:v>
      </x:c>
      <x:c r="D197" s="5">
        <x:f t="shared" si="4"/>
        <x:v>4.0489999999999995</x:v>
      </x:c>
      <x:c r="E197" t="s">
        <x:v>82</x:v>
      </x:c>
      <x:c r="F197" t="s">
        <x:v>26</x:v>
      </x:c>
      <x:c r="G197" t="s">
        <x:v>833</x:v>
      </x:c>
      <x:c r="H197" t="s">
        <x:v>834</x:v>
      </x:c>
      <x:c r="I197" s="15">
        <x:v>16</x:v>
      </x:c>
      <x:c r="J197" s="15">
        <x:v>16</x:v>
      </x:c>
      <x:c r="K197" s="15">
        <x:v>12</x:v>
      </x:c>
      <x:c r="L197" s="18">
        <x:v>30</x:v>
      </x:c>
      <x:c r="M197" t="s">
        <x:v>29</x:v>
      </x:c>
      <x:c r="N197" s="18">
        <x:v>30</x:v>
      </x:c>
      <x:c r="O197" t="s">
        <x:v>29</x:v>
      </x:c>
      <x:c r="P197" s="18">
        <x:v>25.000420531765116</x:v>
      </x:c>
      <x:c r="Q197" t="s">
        <x:v>29</x:v>
      </x:c>
      <x:c r="R197" t="s">
        <x:v>46</x:v>
      </x:c>
      <x:c r="S197" t="s">
        <x:v>244</x:v>
      </x:c>
      <x:c r="T197" t="s">
        <x:v>32</x:v>
      </x:c>
      <x:c r="U197" t="s">
        <x:v>33</x:v>
      </x:c>
      <x:c r="V197" t="s">
        <x:v>26</x:v>
      </x:c>
      <x:c r="W197" s="15">
        <x:v>11.34</x:v>
      </x:c>
      <x:c r="X197" s="16" t="s">
        <x:v>87</x:v>
      </x:c>
    </x:row>
    <x:row r="198" ht="18">
      <x:c r="A198" s="11" t="s">
        <x:v>835</x:v>
      </x:c>
      <x:c r="B198" s="3">
        <x:v>26.31</x:v>
      </x:c>
      <x:c r="C198" s="5">
        <x:v>30.338000000000001</x:v>
      </x:c>
      <x:c r="D198" s="5">
        <x:f t="shared" si="4"/>
        <x:v>4.0280000000000022</x:v>
      </x:c>
      <x:c r="E198" t="s">
        <x:v>82</x:v>
      </x:c>
      <x:c r="F198" t="s">
        <x:v>26</x:v>
      </x:c>
      <x:c r="G198" t="s">
        <x:v>836</x:v>
      </x:c>
      <x:c r="H198" t="s">
        <x:v>837</x:v>
      </x:c>
      <x:c r="I198" s="15">
        <x:v>16</x:v>
      </x:c>
      <x:c r="J198" s="15">
        <x:v>16</x:v>
      </x:c>
      <x:c r="K198" s="15">
        <x:v>12</x:v>
      </x:c>
      <x:c r="L198" s="18">
        <x:v>29.7</x:v>
      </x:c>
      <x:c r="M198" t="s">
        <x:v>29</x:v>
      </x:c>
      <x:c r="N198" s="18">
        <x:v>30</x:v>
      </x:c>
      <x:c r="O198" t="s">
        <x:v>29</x:v>
      </x:c>
      <x:c r="P198" s="18">
        <x:v>25.000420531765116</x:v>
      </x:c>
      <x:c r="Q198" t="s">
        <x:v>29</x:v>
      </x:c>
      <x:c r="R198" t="s">
        <x:v>102</x:v>
      </x:c>
      <x:c r="S198" t="s">
        <x:v>838</x:v>
      </x:c>
      <x:c r="T198" t="s">
        <x:v>32</x:v>
      </x:c>
      <x:c r="U198" t="s">
        <x:v>33</x:v>
      </x:c>
      <x:c r="V198" t="s">
        <x:v>26</x:v>
      </x:c>
      <x:c r="W198" s="15">
        <x:v>11.34</x:v>
      </x:c>
      <x:c r="X198" s="16" t="s">
        <x:v>87</x:v>
      </x:c>
    </x:row>
    <x:row r="199" ht="18">
      <x:c r="A199" s="11" t="s">
        <x:v>839</x:v>
      </x:c>
      <x:c r="B199" s="3">
        <x:v>26.31</x:v>
      </x:c>
      <x:c r="C199" s="5">
        <x:v>30.338000000000001</x:v>
      </x:c>
      <x:c r="D199" s="5">
        <x:f t="shared" si="4"/>
        <x:v>4.0280000000000022</x:v>
      </x:c>
      <x:c r="E199" t="s">
        <x:v>82</x:v>
      </x:c>
      <x:c r="F199" t="s">
        <x:v>26</x:v>
      </x:c>
      <x:c r="G199" t="s">
        <x:v>840</x:v>
      </x:c>
      <x:c r="H199" t="s">
        <x:v>841</x:v>
      </x:c>
      <x:c r="I199" s="15">
        <x:v>16</x:v>
      </x:c>
      <x:c r="J199" s="15">
        <x:v>16</x:v>
      </x:c>
      <x:c r="K199" s="15">
        <x:v>12</x:v>
      </x:c>
      <x:c r="L199" s="18">
        <x:v>29.5</x:v>
      </x:c>
      <x:c r="M199" t="s">
        <x:v>29</x:v>
      </x:c>
      <x:c r="N199" s="18">
        <x:v>30</x:v>
      </x:c>
      <x:c r="O199" t="s">
        <x:v>29</x:v>
      </x:c>
      <x:c r="P199" s="18">
        <x:v>25.000420531765116</x:v>
      </x:c>
      <x:c r="Q199" t="s">
        <x:v>29</x:v>
      </x:c>
      <x:c r="R199" t="s">
        <x:v>842</x:v>
      </x:c>
      <x:c r="S199" t="s">
        <x:v>843</x:v>
      </x:c>
      <x:c r="T199" t="s">
        <x:v>32</x:v>
      </x:c>
      <x:c r="U199" t="s">
        <x:v>33</x:v>
      </x:c>
      <x:c r="V199" t="s">
        <x:v>26</x:v>
      </x:c>
      <x:c r="W199" s="15">
        <x:v>11.34</x:v>
      </x:c>
      <x:c r="X199" s="16" t="s">
        <x:v>87</x:v>
      </x:c>
    </x:row>
    <x:row r="200" ht="18">
      <x:c r="A200" s="11" t="s">
        <x:v>844</x:v>
      </x:c>
      <x:c r="B200" s="3">
        <x:v>26.2</x:v>
      </x:c>
      <x:c r="C200" s="5">
        <x:v>30.228000000000002</x:v>
      </x:c>
      <x:c r="D200" s="5">
        <x:f t="shared" si="4"/>
        <x:v>4.0280000000000022</x:v>
      </x:c>
      <x:c r="E200" t="s">
        <x:v>82</x:v>
      </x:c>
      <x:c r="F200" t="s">
        <x:v>26</x:v>
      </x:c>
      <x:c r="G200" t="s">
        <x:v>845</x:v>
      </x:c>
      <x:c r="H200" t="s">
        <x:v>846</x:v>
      </x:c>
      <x:c r="I200" s="15">
        <x:v>16</x:v>
      </x:c>
      <x:c r="J200" s="15">
        <x:v>16</x:v>
      </x:c>
      <x:c r="K200" s="15">
        <x:v>12</x:v>
      </x:c>
      <x:c r="L200" s="18">
        <x:v>29.8</x:v>
      </x:c>
      <x:c r="M200" t="s">
        <x:v>29</x:v>
      </x:c>
      <x:c r="N200" s="18">
        <x:v>30</x:v>
      </x:c>
      <x:c r="O200" t="s">
        <x:v>29</x:v>
      </x:c>
      <x:c r="P200" s="18">
        <x:v>25.000420531765116</x:v>
      </x:c>
      <x:c r="Q200" t="s">
        <x:v>29</x:v>
      </x:c>
      <x:c r="R200" t="s">
        <x:v>30</x:v>
      </x:c>
      <x:c r="S200" t="s">
        <x:v>847</x:v>
      </x:c>
      <x:c r="T200" t="s">
        <x:v>32</x:v>
      </x:c>
      <x:c r="U200" t="s">
        <x:v>33</x:v>
      </x:c>
      <x:c r="V200" t="s">
        <x:v>26</x:v>
      </x:c>
      <x:c r="W200" s="15">
        <x:v>11.34</x:v>
      </x:c>
      <x:c r="X200" s="16" t="s">
        <x:v>87</x:v>
      </x:c>
    </x:row>
    <x:row r="201" ht="18">
      <x:c r="A201" s="11" t="s">
        <x:v>848</x:v>
      </x:c>
      <x:c r="B201" s="3">
        <x:v>26.2</x:v>
      </x:c>
      <x:c r="C201" s="5">
        <x:v>30.228000000000002</x:v>
      </x:c>
      <x:c r="D201" s="5">
        <x:f t="shared" si="4"/>
        <x:v>4.0280000000000022</x:v>
      </x:c>
      <x:c r="E201" t="s">
        <x:v>82</x:v>
      </x:c>
      <x:c r="F201" t="s">
        <x:v>26</x:v>
      </x:c>
      <x:c r="G201" t="s">
        <x:v>849</x:v>
      </x:c>
      <x:c r="H201" t="s">
        <x:v>850</x:v>
      </x:c>
      <x:c r="I201" s="15">
        <x:v>16</x:v>
      </x:c>
      <x:c r="J201" s="15">
        <x:v>16</x:v>
      </x:c>
      <x:c r="K201" s="15">
        <x:v>12</x:v>
      </x:c>
      <x:c r="L201" s="18">
        <x:v>29.6</x:v>
      </x:c>
      <x:c r="M201" t="s">
        <x:v>29</x:v>
      </x:c>
      <x:c r="N201" s="18">
        <x:v>30</x:v>
      </x:c>
      <x:c r="O201" t="s">
        <x:v>29</x:v>
      </x:c>
      <x:c r="P201" s="18">
        <x:v>25.000420531765116</x:v>
      </x:c>
      <x:c r="Q201" t="s">
        <x:v>29</x:v>
      </x:c>
      <x:c r="R201" t="s">
        <x:v>46</x:v>
      </x:c>
      <x:c r="S201" t="s">
        <x:v>851</x:v>
      </x:c>
      <x:c r="T201" t="s">
        <x:v>32</x:v>
      </x:c>
      <x:c r="U201" t="s">
        <x:v>33</x:v>
      </x:c>
      <x:c r="V201" t="s">
        <x:v>26</x:v>
      </x:c>
      <x:c r="W201" s="15">
        <x:v>11.34</x:v>
      </x:c>
      <x:c r="X201" s="16" t="s">
        <x:v>87</x:v>
      </x:c>
    </x:row>
    <x:row r="202" ht="18">
      <x:c r="A202" s="11" t="s">
        <x:v>852</x:v>
      </x:c>
      <x:c r="B202" s="3">
        <x:v>95.71</x:v>
      </x:c>
      <x:c r="C202" s="5">
        <x:v>99.725999999999999</x:v>
      </x:c>
      <x:c r="D202" s="5">
        <x:f t="shared" si="4"/>
        <x:v>4.0160000000000053</x:v>
      </x:c>
      <x:c r="E202" t="s">
        <x:v>43</x:v>
      </x:c>
      <x:c r="F202" t="s">
        <x:v>26</x:v>
      </x:c>
      <x:c r="G202" t="s">
        <x:v>853</x:v>
      </x:c>
      <x:c r="H202" t="s">
        <x:v>854</x:v>
      </x:c>
      <x:c r="I202" s="15">
        <x:v>19</x:v>
      </x:c>
      <x:c r="J202" s="15">
        <x:v>16</x:v>
      </x:c>
      <x:c r="K202" s="15">
        <x:v>16</x:v>
      </x:c>
      <x:c r="L202" s="18">
        <x:v>65.7</x:v>
      </x:c>
      <x:c r="M202" t="s">
        <x:v>29</x:v>
      </x:c>
      <x:c r="N202" s="18">
        <x:v>66</x:v>
      </x:c>
      <x:c r="O202" t="s">
        <x:v>29</x:v>
      </x:c>
      <x:c r="P202" s="18">
        <x:v>55.997414594958897</x:v>
      </x:c>
      <x:c r="Q202" t="s">
        <x:v>29</x:v>
      </x:c>
      <x:c r="R202" t="s">
        <x:v>46</x:v>
      </x:c>
      <x:c r="S202" t="s">
        <x:v>855</x:v>
      </x:c>
      <x:c r="T202" t="s">
        <x:v>32</x:v>
      </x:c>
      <x:c r="U202" t="s">
        <x:v>33</x:v>
      </x:c>
      <x:c r="V202" t="s">
        <x:v>26</x:v>
      </x:c>
      <x:c r="W202" s="15">
        <x:v>25.401</x:v>
      </x:c>
      <x:c r="X202" s="16" t="s">
        <x:v>774</x:v>
      </x:c>
    </x:row>
    <x:row r="203" ht="18">
      <x:c r="A203" s="11" t="s">
        <x:v>856</x:v>
      </x:c>
      <x:c r="B203" s="3">
        <x:v>26.25</x:v>
      </x:c>
      <x:c r="C203" s="5">
        <x:v>30.228000000000002</x:v>
      </x:c>
      <x:c r="D203" s="5">
        <x:f t="shared" si="4"/>
        <x:v>3.9780000000000015</x:v>
      </x:c>
      <x:c r="E203" t="s">
        <x:v>82</x:v>
      </x:c>
      <x:c r="F203" t="s">
        <x:v>26</x:v>
      </x:c>
      <x:c r="G203" t="s">
        <x:v>857</x:v>
      </x:c>
      <x:c r="H203" t="s">
        <x:v>858</x:v>
      </x:c>
      <x:c r="I203" s="15">
        <x:v>16</x:v>
      </x:c>
      <x:c r="J203" s="15">
        <x:v>16</x:v>
      </x:c>
      <x:c r="K203" s="15">
        <x:v>12</x:v>
      </x:c>
      <x:c r="L203" s="18">
        <x:v>29.8</x:v>
      </x:c>
      <x:c r="M203" t="s">
        <x:v>29</x:v>
      </x:c>
      <x:c r="N203" s="18">
        <x:v>30</x:v>
      </x:c>
      <x:c r="O203" t="s">
        <x:v>29</x:v>
      </x:c>
      <x:c r="P203" s="18">
        <x:v>25.000420531765116</x:v>
      </x:c>
      <x:c r="Q203" t="s">
        <x:v>29</x:v>
      </x:c>
      <x:c r="R203" t="s">
        <x:v>46</x:v>
      </x:c>
      <x:c r="S203" t="s">
        <x:v>565</x:v>
      </x:c>
      <x:c r="T203" t="s">
        <x:v>32</x:v>
      </x:c>
      <x:c r="U203" t="s">
        <x:v>33</x:v>
      </x:c>
      <x:c r="V203" t="s">
        <x:v>26</x:v>
      </x:c>
      <x:c r="W203" s="15">
        <x:v>0</x:v>
      </x:c>
      <x:c r="X203" s="16" t="s">
        <x:v>640</x:v>
      </x:c>
    </x:row>
    <x:row r="204" ht="18">
      <x:c r="A204" s="11" t="s">
        <x:v>859</x:v>
      </x:c>
      <x:c r="B204" s="3">
        <x:v>17.5</x:v>
      </x:c>
      <x:c r="C204" s="5">
        <x:v>21.439</x:v>
      </x:c>
      <x:c r="D204" s="5">
        <x:f t="shared" si="4"/>
        <x:v>3.9390000000000001</x:v>
      </x:c>
      <x:c r="E204" t="s">
        <x:v>860</x:v>
      </x:c>
      <x:c r="F204" t="s">
        <x:v>26</x:v>
      </x:c>
      <x:c r="G204" t="s">
        <x:v>861</x:v>
      </x:c>
      <x:c r="H204" t="s">
        <x:v>862</x:v>
      </x:c>
      <x:c r="I204" s="15">
        <x:v>15</x:v>
      </x:c>
      <x:c r="J204" s="15">
        <x:v>13</x:v>
      </x:c>
      <x:c r="K204" s="15">
        <x:v>12</x:v>
      </x:c>
      <x:c r="L204" s="18">
        <x:v>26.9</x:v>
      </x:c>
      <x:c r="M204" t="s">
        <x:v>29</x:v>
      </x:c>
      <x:c r="N204" s="18">
        <x:v>27</x:v>
      </x:c>
      <x:c r="O204" t="s">
        <x:v>29</x:v>
      </x:c>
      <x:c r="P204" s="18">
        <x:v>25.000420531765116</x:v>
      </x:c>
      <x:c r="Q204" t="s">
        <x:v>29</x:v>
      </x:c>
      <x:c r="R204" t="s">
        <x:v>92</x:v>
      </x:c>
      <x:c r="S204" t="s">
        <x:v>863</x:v>
      </x:c>
      <x:c r="T204" t="s">
        <x:v>32</x:v>
      </x:c>
      <x:c r="U204" t="s">
        <x:v>33</x:v>
      </x:c>
      <x:c r="V204" t="s">
        <x:v>26</x:v>
      </x:c>
      <x:c r="W204" s="15">
        <x:v>11.34</x:v>
      </x:c>
      <x:c r="X204" s="16" t="s">
        <x:v>87</x:v>
      </x:c>
    </x:row>
    <x:row r="205" ht="18">
      <x:c r="A205" s="11" t="s">
        <x:v>864</x:v>
      </x:c>
      <x:c r="B205" s="3">
        <x:v>125.38</x:v>
      </x:c>
      <x:c r="C205" s="5">
        <x:v>129.29400000000001</x:v>
      </x:c>
      <x:c r="D205" s="5">
        <x:f t="shared" si="4"/>
        <x:v>3.9140000000000157</x:v>
      </x:c>
      <x:c r="E205" t="s">
        <x:v>192</x:v>
      </x:c>
      <x:c r="F205" t="s">
        <x:v>26</x:v>
      </x:c>
      <x:c r="G205" t="s">
        <x:v>865</x:v>
      </x:c>
      <x:c r="H205" t="s">
        <x:v>866</x:v>
      </x:c>
      <x:c r="I205" s="15"/>
      <x:c r="J205" s="15"/>
      <x:c r="K205" s="15"/>
      <x:c r="L205" s="18"/>
      <x:c r="N205" s="18"/>
      <x:c r="P205" s="18"/>
      <x:c r="V205" t="s">
        <x:v>53</x:v>
      </x:c>
      <x:c r="W205" s="15">
        <x:v>0</x:v>
      </x:c>
      <x:c r="X205" s="16" t="s">
        <x:v>104</x:v>
      </x:c>
    </x:row>
    <x:row r="206" ht="18">
      <x:c r="A206" s="11" t="s">
        <x:v>867</x:v>
      </x:c>
      <x:c r="B206" s="3">
        <x:v>65.37</x:v>
      </x:c>
      <x:c r="C206" s="5">
        <x:v>69.179000000000002</x:v>
      </x:c>
      <x:c r="D206" s="5">
        <x:f t="shared" si="4"/>
        <x:v>3.8089999999999975</x:v>
      </x:c>
      <x:c r="E206" t="s">
        <x:v>70</x:v>
      </x:c>
      <x:c r="F206" t="s">
        <x:v>26</x:v>
      </x:c>
      <x:c r="G206" t="s">
        <x:v>868</x:v>
      </x:c>
      <x:c r="H206" t="s">
        <x:v>869</x:v>
      </x:c>
      <x:c r="I206" s="15">
        <x:v>19</x:v>
      </x:c>
      <x:c r="J206" s="15">
        <x:v>15</x:v>
      </x:c>
      <x:c r="K206" s="15">
        <x:v>13</x:v>
      </x:c>
      <x:c r="L206" s="18">
        <x:v>62.8</x:v>
      </x:c>
      <x:c r="M206" t="s">
        <x:v>29</x:v>
      </x:c>
      <x:c r="N206" s="18">
        <x:v>63</x:v>
      </x:c>
      <x:c r="O206" t="s">
        <x:v>29</x:v>
      </x:c>
      <x:c r="P206" s="18">
        <x:v>55.997414594958897</x:v>
      </x:c>
      <x:c r="Q206" t="s">
        <x:v>29</x:v>
      </x:c>
      <x:c r="R206" t="s">
        <x:v>870</x:v>
      </x:c>
      <x:c r="S206" t="s">
        <x:v>871</x:v>
      </x:c>
      <x:c r="T206" t="s">
        <x:v>32</x:v>
      </x:c>
      <x:c r="U206" t="s">
        <x:v>33</x:v>
      </x:c>
      <x:c r="V206" t="s">
        <x:v>26</x:v>
      </x:c>
      <x:c r="W206" s="15">
        <x:v>25.401</x:v>
      </x:c>
      <x:c r="X206" s="16" t="s">
        <x:v>75</x:v>
      </x:c>
    </x:row>
    <x:row r="207" ht="18">
      <x:c r="A207" s="11" t="s">
        <x:v>872</x:v>
      </x:c>
      <x:c r="B207" s="3">
        <x:v>95.73</x:v>
      </x:c>
      <x:c r="C207" s="5">
        <x:v>99.528000000000006</x:v>
      </x:c>
      <x:c r="D207" s="5">
        <x:f t="shared" si="4"/>
        <x:v>3.7980000000000018</x:v>
      </x:c>
      <x:c r="E207" t="s">
        <x:v>43</x:v>
      </x:c>
      <x:c r="F207" t="s">
        <x:v>26</x:v>
      </x:c>
      <x:c r="G207" t="s">
        <x:v>873</x:v>
      </x:c>
      <x:c r="H207" t="s">
        <x:v>874</x:v>
      </x:c>
      <x:c r="I207" s="15">
        <x:v>20</x:v>
      </x:c>
      <x:c r="J207" s="15">
        <x:v>16</x:v>
      </x:c>
      <x:c r="K207" s="15">
        <x:v>16</x:v>
      </x:c>
      <x:c r="L207" s="18">
        <x:v>65.7</x:v>
      </x:c>
      <x:c r="M207" t="s">
        <x:v>29</x:v>
      </x:c>
      <x:c r="N207" s="18">
        <x:v>66</x:v>
      </x:c>
      <x:c r="O207" t="s">
        <x:v>29</x:v>
      </x:c>
      <x:c r="P207" s="18">
        <x:v>57.981574954622801</x:v>
      </x:c>
      <x:c r="Q207" t="s">
        <x:v>29</x:v>
      </x:c>
      <x:c r="R207" t="s">
        <x:v>768</x:v>
      </x:c>
      <x:c r="S207" t="s">
        <x:v>875</x:v>
      </x:c>
      <x:c r="T207" t="s">
        <x:v>32</x:v>
      </x:c>
      <x:c r="U207" t="s">
        <x:v>33</x:v>
      </x:c>
      <x:c r="V207" t="s">
        <x:v>26</x:v>
      </x:c>
      <x:c r="W207" s="15">
        <x:v>1</x:v>
      </x:c>
      <x:c r="X207" s="16" t="s">
        <x:v>876</x:v>
      </x:c>
    </x:row>
    <x:row r="208" ht="18">
      <x:c r="A208" s="11" t="s">
        <x:v>877</x:v>
      </x:c>
      <x:c r="B208" s="3">
        <x:v>66.86</x:v>
      </x:c>
      <x:c r="C208" s="5">
        <x:v>70.597999999999999</x:v>
      </x:c>
      <x:c r="D208" s="5">
        <x:f t="shared" si="4"/>
        <x:v>3.7379999999999995</x:v>
      </x:c>
      <x:c r="E208" t="s">
        <x:v>43</x:v>
      </x:c>
      <x:c r="F208" t="s">
        <x:v>26</x:v>
      </x:c>
      <x:c r="G208" t="s">
        <x:v>878</x:v>
      </x:c>
      <x:c r="H208" t="s">
        <x:v>879</x:v>
      </x:c>
      <x:c r="I208" s="15">
        <x:v>53</x:v>
      </x:c>
      <x:c r="J208" s="15">
        <x:v>41</x:v>
      </x:c>
      <x:c r="K208" s="15">
        <x:v>41</x:v>
      </x:c>
      <x:c r="L208" s="18">
        <x:v>65.400000000000006</x:v>
      </x:c>
      <x:c r="M208" t="s">
        <x:v>29</x:v>
      </x:c>
      <x:c r="N208" s="18">
        <x:v>66</x:v>
      </x:c>
      <x:c r="O208" t="s">
        <x:v>29</x:v>
      </x:c>
      <x:c r="P208" s="18">
        <x:v>60.494844743530408</x:v>
      </x:c>
      <x:c r="Q208" t="s">
        <x:v>29</x:v>
      </x:c>
      <x:c r="R208" t="s">
        <x:v>226</x:v>
      </x:c>
      <x:c r="S208" t="s">
        <x:v>880</x:v>
      </x:c>
      <x:c r="T208" t="s">
        <x:v>32</x:v>
      </x:c>
      <x:c r="U208" t="s">
        <x:v>33</x:v>
      </x:c>
      <x:c r="V208" t="s">
        <x:v>26</x:v>
      </x:c>
      <x:c r="W208" s="15">
        <x:v>27.442</x:v>
      </x:c>
      <x:c r="X208" s="16" t="s">
        <x:v>881</x:v>
      </x:c>
    </x:row>
    <x:row r="209" ht="18">
      <x:c r="A209" s="11" t="s">
        <x:v>882</x:v>
      </x:c>
      <x:c r="B209" s="3">
        <x:v>21.72</x:v>
      </x:c>
      <x:c r="C209" s="5">
        <x:v>25.388000000000002</x:v>
      </x:c>
      <x:c r="D209" s="5">
        <x:f t="shared" si="4"/>
        <x:v>3.6680000000000028</x:v>
      </x:c>
      <x:c r="E209" t="s">
        <x:v>82</x:v>
      </x:c>
      <x:c r="F209" t="s">
        <x:v>26</x:v>
      </x:c>
      <x:c r="G209" t="s">
        <x:v>883</x:v>
      </x:c>
      <x:c r="H209" t="s">
        <x:v>884</x:v>
      </x:c>
      <x:c r="I209" s="15"/>
      <x:c r="J209" s="15"/>
      <x:c r="K209" s="15"/>
      <x:c r="L209" s="18"/>
      <x:c r="N209" s="18"/>
      <x:c r="P209" s="18"/>
      <x:c r="V209" t="s">
        <x:v>53</x:v>
      </x:c>
      <x:c r="W209" s="15">
        <x:v>11.34</x:v>
      </x:c>
      <x:c r="X209" s="16" t="s">
        <x:v>87</x:v>
      </x:c>
    </x:row>
    <x:row r="210" ht="18">
      <x:c r="A210" s="11" t="s">
        <x:v>885</x:v>
      </x:c>
      <x:c r="B210" s="3">
        <x:v>19.12</x:v>
      </x:c>
      <x:c r="C210" s="5">
        <x:v>22.780999999999999</x:v>
      </x:c>
      <x:c r="D210" s="5">
        <x:f t="shared" si="4"/>
        <x:v>3.6609999999999978</x:v>
      </x:c>
      <x:c r="E210" t="s">
        <x:v>886</x:v>
      </x:c>
      <x:c r="F210" t="s">
        <x:v>26</x:v>
      </x:c>
      <x:c r="G210" t="s">
        <x:v>887</x:v>
      </x:c>
      <x:c r="H210" t="s">
        <x:v>888</x:v>
      </x:c>
      <x:c r="I210" s="15"/>
      <x:c r="J210" s="15"/>
      <x:c r="K210" s="15"/>
      <x:c r="L210" s="18"/>
      <x:c r="N210" s="18"/>
      <x:c r="P210" s="18"/>
      <x:c r="V210" t="s">
        <x:v>53</x:v>
      </x:c>
      <x:c r="W210" s="15">
        <x:v>0</x:v>
      </x:c>
      <x:c r="X210" s="16" t="s">
        <x:v>889</x:v>
      </x:c>
    </x:row>
    <x:row r="211" ht="18">
      <x:c r="A211" s="11" t="s">
        <x:v>890</x:v>
      </x:c>
      <x:c r="B211" s="3">
        <x:v>21.67</x:v>
      </x:c>
      <x:c r="C211" s="5">
        <x:v>25.277999999999999</x:v>
      </x:c>
      <x:c r="D211" s="5">
        <x:f t="shared" si="4"/>
        <x:v>3.607999999999997</x:v>
      </x:c>
      <x:c r="F211" t="s">
        <x:v>53</x:v>
      </x:c>
      <x:c r="I211" s="15">
        <x:v>24</x:v>
      </x:c>
      <x:c r="J211" s="15">
        <x:v>15</x:v>
      </x:c>
      <x:c r="K211" s="15">
        <x:v>11</x:v>
      </x:c>
      <x:c r="L211" s="18">
        <x:v>29.2</x:v>
      </x:c>
      <x:c r="M211" t="s">
        <x:v>29</x:v>
      </x:c>
      <x:c r="N211" s="18">
        <x:v>30</x:v>
      </x:c>
      <x:c r="O211" t="s">
        <x:v>29</x:v>
      </x:c>
      <x:c r="P211" s="18">
        <x:v>25.000420531765116</x:v>
      </x:c>
      <x:c r="Q211" t="s">
        <x:v>29</x:v>
      </x:c>
      <x:c r="R211" t="s">
        <x:v>891</x:v>
      </x:c>
      <x:c r="S211" t="s">
        <x:v>892</x:v>
      </x:c>
      <x:c r="T211" t="s">
        <x:v>32</x:v>
      </x:c>
      <x:c r="U211" t="s">
        <x:v>33</x:v>
      </x:c>
      <x:c r="V211" t="s">
        <x:v>26</x:v>
      </x:c>
      <x:c r="W211" s="15">
        <x:v>11.34</x:v>
      </x:c>
      <x:c r="X211" s="16" t="s">
        <x:v>87</x:v>
      </x:c>
    </x:row>
    <x:row r="212" ht="18">
      <x:c r="A212" s="11" t="s">
        <x:v>893</x:v>
      </x:c>
      <x:c r="B212" s="3">
        <x:v>21.67</x:v>
      </x:c>
      <x:c r="C212" s="5">
        <x:v>25.277999999999999</x:v>
      </x:c>
      <x:c r="D212" s="5">
        <x:f t="shared" si="4"/>
        <x:v>3.607999999999997</x:v>
      </x:c>
      <x:c r="E212" t="s">
        <x:v>82</x:v>
      </x:c>
      <x:c r="F212" t="s">
        <x:v>26</x:v>
      </x:c>
      <x:c r="G212" t="s">
        <x:v>894</x:v>
      </x:c>
      <x:c r="H212" t="s">
        <x:v>895</x:v>
      </x:c>
      <x:c r="I212" s="15">
        <x:v>16</x:v>
      </x:c>
      <x:c r="J212" s="15">
        <x:v>16</x:v>
      </x:c>
      <x:c r="K212" s="15">
        <x:v>12</x:v>
      </x:c>
      <x:c r="L212" s="18">
        <x:v>29.1</x:v>
      </x:c>
      <x:c r="M212" t="s">
        <x:v>29</x:v>
      </x:c>
      <x:c r="N212" s="18">
        <x:v>30</x:v>
      </x:c>
      <x:c r="O212" t="s">
        <x:v>29</x:v>
      </x:c>
      <x:c r="P212" s="18">
        <x:v>25.000420531765116</x:v>
      </x:c>
      <x:c r="Q212" t="s">
        <x:v>29</x:v>
      </x:c>
      <x:c r="R212" t="s">
        <x:v>73</x:v>
      </x:c>
      <x:c r="S212" t="s">
        <x:v>896</x:v>
      </x:c>
      <x:c r="T212" t="s">
        <x:v>32</x:v>
      </x:c>
      <x:c r="U212" t="s">
        <x:v>33</x:v>
      </x:c>
      <x:c r="V212" t="s">
        <x:v>26</x:v>
      </x:c>
      <x:c r="W212" s="15">
        <x:v>11.34</x:v>
      </x:c>
      <x:c r="X212" s="16" t="s">
        <x:v>87</x:v>
      </x:c>
    </x:row>
    <x:row r="213" ht="18">
      <x:c r="A213" s="11" t="s">
        <x:v>897</x:v>
      </x:c>
      <x:c r="B213" s="3">
        <x:v>21.72</x:v>
      </x:c>
      <x:c r="C213" s="5">
        <x:v>25.277999999999999</x:v>
      </x:c>
      <x:c r="D213" s="5">
        <x:f t="shared" si="4"/>
        <x:v>3.5579999999999998</x:v>
      </x:c>
      <x:c r="E213" t="s">
        <x:v>82</x:v>
      </x:c>
      <x:c r="F213" t="s">
        <x:v>26</x:v>
      </x:c>
      <x:c r="G213" t="s">
        <x:v>898</x:v>
      </x:c>
      <x:c r="H213" t="s">
        <x:v>899</x:v>
      </x:c>
      <x:c r="I213" s="15"/>
      <x:c r="J213" s="15"/>
      <x:c r="K213" s="15"/>
      <x:c r="L213" s="18"/>
      <x:c r="N213" s="18"/>
      <x:c r="P213" s="18"/>
      <x:c r="V213" t="s">
        <x:v>53</x:v>
      </x:c>
      <x:c r="W213" s="15">
        <x:v>11.34</x:v>
      </x:c>
      <x:c r="X213" s="16" t="s">
        <x:v>87</x:v>
      </x:c>
    </x:row>
    <x:row r="214" ht="18">
      <x:c r="A214" s="11" t="s">
        <x:v>900</x:v>
      </x:c>
      <x:c r="B214" s="3">
        <x:v>21.72</x:v>
      </x:c>
      <x:c r="C214" s="5">
        <x:v>25.277999999999999</x:v>
      </x:c>
      <x:c r="D214" s="5">
        <x:f t="shared" si="4"/>
        <x:v>3.5579999999999998</x:v>
      </x:c>
      <x:c r="E214" t="s">
        <x:v>82</x:v>
      </x:c>
      <x:c r="F214" t="s">
        <x:v>26</x:v>
      </x:c>
      <x:c r="G214" t="s">
        <x:v>901</x:v>
      </x:c>
      <x:c r="H214" t="s">
        <x:v>902</x:v>
      </x:c>
      <x:c r="I214" s="15">
        <x:v>16</x:v>
      </x:c>
      <x:c r="J214" s="15">
        <x:v>16</x:v>
      </x:c>
      <x:c r="K214" s="15">
        <x:v>12</x:v>
      </x:c>
      <x:c r="L214" s="18">
        <x:v>29.5</x:v>
      </x:c>
      <x:c r="M214" t="s">
        <x:v>29</x:v>
      </x:c>
      <x:c r="N214" s="18">
        <x:v>30</x:v>
      </x:c>
      <x:c r="O214" t="s">
        <x:v>29</x:v>
      </x:c>
      <x:c r="P214" s="18">
        <x:v>25.000420531765116</x:v>
      </x:c>
      <x:c r="Q214" t="s">
        <x:v>29</x:v>
      </x:c>
      <x:c r="R214" t="s">
        <x:v>199</x:v>
      </x:c>
      <x:c r="S214" t="s">
        <x:v>903</x:v>
      </x:c>
      <x:c r="T214" t="s">
        <x:v>32</x:v>
      </x:c>
      <x:c r="U214" t="s">
        <x:v>33</x:v>
      </x:c>
      <x:c r="V214" t="s">
        <x:v>26</x:v>
      </x:c>
      <x:c r="W214" s="15">
        <x:v>11.34</x:v>
      </x:c>
      <x:c r="X214" s="16" t="s">
        <x:v>87</x:v>
      </x:c>
    </x:row>
    <x:row r="215" ht="18">
      <x:c r="A215" s="11" t="s">
        <x:v>904</x:v>
      </x:c>
      <x:c r="B215" s="3">
        <x:v>30.19</x:v>
      </x:c>
      <x:c r="C215" s="5">
        <x:v>33.725999999999999</x:v>
      </x:c>
      <x:c r="D215" s="5">
        <x:f t="shared" si="4"/>
        <x:v>3.5359999999999978</x:v>
      </x:c>
      <x:c r="E215" t="s">
        <x:v>50</x:v>
      </x:c>
      <x:c r="F215" t="s">
        <x:v>26</x:v>
      </x:c>
      <x:c r="G215" t="s">
        <x:v>905</x:v>
      </x:c>
      <x:c r="H215" t="s">
        <x:v>906</x:v>
      </x:c>
      <x:c r="I215" s="15">
        <x:v>19</x:v>
      </x:c>
      <x:c r="J215" s="15">
        <x:v>18</x:v>
      </x:c>
      <x:c r="K215" s="15">
        <x:v>15</x:v>
      </x:c>
      <x:c r="L215" s="18">
        <x:v>42.8</x:v>
      </x:c>
      <x:c r="M215" t="s">
        <x:v>29</x:v>
      </x:c>
      <x:c r="N215" s="18">
        <x:v>43</x:v>
      </x:c>
      <x:c r="O215" t="s">
        <x:v>29</x:v>
      </x:c>
      <x:c r="P215" s="18">
        <x:v>37.985647774454407</x:v>
      </x:c>
      <x:c r="Q215" t="s">
        <x:v>29</x:v>
      </x:c>
      <x:c r="R215" t="s">
        <x:v>39</x:v>
      </x:c>
      <x:c r="S215" t="s">
        <x:v>907</x:v>
      </x:c>
      <x:c r="T215" t="s">
        <x:v>32</x:v>
      </x:c>
      <x:c r="U215" t="s">
        <x:v>33</x:v>
      </x:c>
      <x:c r="V215" t="s">
        <x:v>26</x:v>
      </x:c>
      <x:c r="W215" s="15">
        <x:v>17.236999999999998</x:v>
      </x:c>
      <x:c r="X215" s="16" t="s">
        <x:v>54</x:v>
      </x:c>
    </x:row>
    <x:row r="216" ht="18">
      <x:c r="A216" s="11" t="s">
        <x:v>908</x:v>
      </x:c>
      <x:c r="B216" s="3">
        <x:v>74.099999999999994</x:v>
      </x:c>
      <x:c r="C216" s="5">
        <x:v>77.626999999999995</x:v>
      </x:c>
      <x:c r="D216" s="5">
        <x:f t="shared" si="4"/>
        <x:v>3.527000000000001</x:v>
      </x:c>
      <x:c r="E216" t="s">
        <x:v>70</x:v>
      </x:c>
      <x:c r="F216" t="s">
        <x:v>26</x:v>
      </x:c>
      <x:c r="G216" t="s">
        <x:v>909</x:v>
      </x:c>
      <x:c r="H216" t="s">
        <x:v>910</x:v>
      </x:c>
      <x:c r="I216" s="15">
        <x:v>21</x:v>
      </x:c>
      <x:c r="J216" s="15">
        <x:v>21</x:v>
      </x:c>
      <x:c r="K216" s="15">
        <x:v>16</x:v>
      </x:c>
      <x:c r="L216" s="18">
        <x:v>68.2</x:v>
      </x:c>
      <x:c r="M216" t="s">
        <x:v>29</x:v>
      </x:c>
      <x:c r="N216" s="18">
        <x:v>69</x:v>
      </x:c>
      <x:c r="O216" t="s">
        <x:v>29</x:v>
      </x:c>
      <x:c r="P216" s="18">
        <x:v>62.390820198320355</x:v>
      </x:c>
      <x:c r="Q216" t="s">
        <x:v>29</x:v>
      </x:c>
      <x:c r="R216" t="s">
        <x:v>73</x:v>
      </x:c>
      <x:c r="S216" t="s">
        <x:v>235</x:v>
      </x:c>
      <x:c r="T216" t="s">
        <x:v>32</x:v>
      </x:c>
      <x:c r="U216" t="s">
        <x:v>33</x:v>
      </x:c>
      <x:c r="V216" t="s">
        <x:v>26</x:v>
      </x:c>
      <x:c r="W216" s="15">
        <x:v>1</x:v>
      </x:c>
      <x:c r="X216" s="16" t="s">
        <x:v>231</x:v>
      </x:c>
    </x:row>
    <x:row r="217" ht="18">
      <x:c r="A217" s="11" t="s">
        <x:v>911</x:v>
      </x:c>
      <x:c r="B217" s="3">
        <x:v>35.65</x:v>
      </x:c>
      <x:c r="C217" s="5">
        <x:v>39.149000000000001</x:v>
      </x:c>
      <x:c r="D217" s="5">
        <x:f t="shared" si="4"/>
        <x:v>3.4990000000000023</x:v>
      </x:c>
      <x:c r="E217" t="s">
        <x:v>50</x:v>
      </x:c>
      <x:c r="F217" t="s">
        <x:v>26</x:v>
      </x:c>
      <x:c r="G217" t="s">
        <x:v>912</x:v>
      </x:c>
      <x:c r="H217" t="s">
        <x:v>913</x:v>
      </x:c>
      <x:c r="I217" s="15"/>
      <x:c r="J217" s="15"/>
      <x:c r="K217" s="15"/>
      <x:c r="L217" s="18"/>
      <x:c r="N217" s="18"/>
      <x:c r="P217" s="18"/>
      <x:c r="V217" t="s">
        <x:v>53</x:v>
      </x:c>
      <x:c r="W217" s="15">
        <x:v>0</x:v>
      </x:c>
      <x:c r="X217" s="16" t="s">
        <x:v>914</x:v>
      </x:c>
    </x:row>
    <x:row r="218" ht="18">
      <x:c r="A218" s="11" t="s">
        <x:v>915</x:v>
      </x:c>
      <x:c r="B218" s="3">
        <x:v>30.19</x:v>
      </x:c>
      <x:c r="C218" s="5">
        <x:v>33.670999999999999</x:v>
      </x:c>
      <x:c r="D218" s="5">
        <x:f t="shared" si="4"/>
        <x:v>3.4809999999999981</x:v>
      </x:c>
      <x:c r="E218" t="s">
        <x:v>50</x:v>
      </x:c>
      <x:c r="F218" t="s">
        <x:v>26</x:v>
      </x:c>
      <x:c r="G218" t="s">
        <x:v>916</x:v>
      </x:c>
      <x:c r="H218" t="s">
        <x:v>917</x:v>
      </x:c>
      <x:c r="I218" s="15">
        <x:v>18</x:v>
      </x:c>
      <x:c r="J218" s="15">
        <x:v>17</x:v>
      </x:c>
      <x:c r="K218" s="15">
        <x:v>13</x:v>
      </x:c>
      <x:c r="L218" s="18">
        <x:v>41.7</x:v>
      </x:c>
      <x:c r="M218" t="s">
        <x:v>29</x:v>
      </x:c>
      <x:c r="N218" s="18">
        <x:v>42</x:v>
      </x:c>
      <x:c r="O218" t="s">
        <x:v>29</x:v>
      </x:c>
      <x:c r="P218" s="18">
        <x:v>37.985647774454407</x:v>
      </x:c>
      <x:c r="Q218" t="s">
        <x:v>29</x:v>
      </x:c>
      <x:c r="R218" t="s">
        <x:v>73</x:v>
      </x:c>
      <x:c r="S218" t="s">
        <x:v>918</x:v>
      </x:c>
      <x:c r="T218" t="s">
        <x:v>32</x:v>
      </x:c>
      <x:c r="U218" t="s">
        <x:v>33</x:v>
      </x:c>
      <x:c r="V218" t="s">
        <x:v>26</x:v>
      </x:c>
      <x:c r="W218" s="15">
        <x:v>17.236999999999998</x:v>
      </x:c>
      <x:c r="X218" s="16" t="s">
        <x:v>54</x:v>
      </x:c>
    </x:row>
    <x:row r="219" ht="18">
      <x:c r="A219" s="11" t="s">
        <x:v>919</x:v>
      </x:c>
      <x:c r="B219" s="3">
        <x:v>30.19</x:v>
      </x:c>
      <x:c r="C219" s="5">
        <x:v>33.670999999999999</x:v>
      </x:c>
      <x:c r="D219" s="5">
        <x:f t="shared" si="4"/>
        <x:v>3.4809999999999981</x:v>
      </x:c>
      <x:c r="E219" t="s">
        <x:v>50</x:v>
      </x:c>
      <x:c r="F219" t="s">
        <x:v>26</x:v>
      </x:c>
      <x:c r="G219" t="s">
        <x:v>920</x:v>
      </x:c>
      <x:c r="H219" t="s">
        <x:v>921</x:v>
      </x:c>
      <x:c r="I219" s="15">
        <x:v>19</x:v>
      </x:c>
      <x:c r="J219" s="15">
        <x:v>16</x:v>
      </x:c>
      <x:c r="K219" s="15">
        <x:v>13</x:v>
      </x:c>
      <x:c r="L219" s="18">
        <x:v>41.8</x:v>
      </x:c>
      <x:c r="M219" t="s">
        <x:v>29</x:v>
      </x:c>
      <x:c r="N219" s="18">
        <x:v>42</x:v>
      </x:c>
      <x:c r="O219" t="s">
        <x:v>29</x:v>
      </x:c>
      <x:c r="P219" s="18">
        <x:v>37.985647774454407</x:v>
      </x:c>
      <x:c r="Q219" t="s">
        <x:v>29</x:v>
      </x:c>
      <x:c r="R219" t="s">
        <x:v>39</x:v>
      </x:c>
      <x:c r="S219" t="s">
        <x:v>922</x:v>
      </x:c>
      <x:c r="T219" t="s">
        <x:v>32</x:v>
      </x:c>
      <x:c r="U219" t="s">
        <x:v>33</x:v>
      </x:c>
      <x:c r="V219" t="s">
        <x:v>26</x:v>
      </x:c>
      <x:c r="W219" s="15">
        <x:v>17.236999999999998</x:v>
      </x:c>
      <x:c r="X219" s="16" t="s">
        <x:v>54</x:v>
      </x:c>
    </x:row>
    <x:row r="220" ht="18">
      <x:c r="A220" s="11" t="s">
        <x:v>923</x:v>
      </x:c>
      <x:c r="B220" s="3">
        <x:v>30.14</x:v>
      </x:c>
      <x:c r="C220" s="5">
        <x:v>33.604999999999997</x:v>
      </x:c>
      <x:c r="D220" s="5">
        <x:f t="shared" si="4"/>
        <x:v>3.4649999999999963</x:v>
      </x:c>
      <x:c r="E220" t="s">
        <x:v>50</x:v>
      </x:c>
      <x:c r="F220" t="s">
        <x:v>26</x:v>
      </x:c>
      <x:c r="G220" t="s">
        <x:v>924</x:v>
      </x:c>
      <x:c r="H220" t="s">
        <x:v>925</x:v>
      </x:c>
      <x:c r="I220" s="15">
        <x:v>18</x:v>
      </x:c>
      <x:c r="J220" s="15">
        <x:v>17</x:v>
      </x:c>
      <x:c r="K220" s="15">
        <x:v>13</x:v>
      </x:c>
      <x:c r="L220" s="18">
        <x:v>41.7</x:v>
      </x:c>
      <x:c r="M220" t="s">
        <x:v>29</x:v>
      </x:c>
      <x:c r="N220" s="18">
        <x:v>42</x:v>
      </x:c>
      <x:c r="O220" t="s">
        <x:v>29</x:v>
      </x:c>
      <x:c r="P220" s="18">
        <x:v>37.985647774454407</x:v>
      </x:c>
      <x:c r="Q220" t="s">
        <x:v>29</x:v>
      </x:c>
      <x:c r="R220" t="s">
        <x:v>39</x:v>
      </x:c>
      <x:c r="S220" t="s">
        <x:v>926</x:v>
      </x:c>
      <x:c r="T220" t="s">
        <x:v>32</x:v>
      </x:c>
      <x:c r="U220" t="s">
        <x:v>33</x:v>
      </x:c>
      <x:c r="V220" t="s">
        <x:v>26</x:v>
      </x:c>
      <x:c r="W220" s="15">
        <x:v>17.236999999999998</x:v>
      </x:c>
      <x:c r="X220" s="16" t="s">
        <x:v>54</x:v>
      </x:c>
    </x:row>
    <x:row r="221" ht="18">
      <x:c r="A221" s="11" t="s">
        <x:v>927</x:v>
      </x:c>
      <x:c r="B221" s="3">
        <x:v>29.94</x:v>
      </x:c>
      <x:c r="C221" s="5">
        <x:v>33.384999999999998</x:v>
      </x:c>
      <x:c r="D221" s="5">
        <x:f t="shared" si="4"/>
        <x:v>3.4449999999999967</x:v>
      </x:c>
      <x:c r="E221" t="s">
        <x:v>149</x:v>
      </x:c>
      <x:c r="F221" t="s">
        <x:v>26</x:v>
      </x:c>
      <x:c r="G221" t="s">
        <x:v>928</x:v>
      </x:c>
      <x:c r="H221" t="s">
        <x:v>929</x:v>
      </x:c>
      <x:c r="I221" s="15">
        <x:v>16</x:v>
      </x:c>
      <x:c r="J221" s="15">
        <x:v>16</x:v>
      </x:c>
      <x:c r="K221" s="15">
        <x:v>12</x:v>
      </x:c>
      <x:c r="L221" s="18">
        <x:v>26.1</x:v>
      </x:c>
      <x:c r="M221" t="s">
        <x:v>29</x:v>
      </x:c>
      <x:c r="N221" s="18">
        <x:v>26</x:v>
      </x:c>
      <x:c r="O221" t="s">
        <x:v>29</x:v>
      </x:c>
      <x:c r="P221" s="18">
        <x:v>22.994213945882731</x:v>
      </x:c>
      <x:c r="Q221" t="s">
        <x:v>29</x:v>
      </x:c>
      <x:c r="R221" t="s">
        <x:v>768</x:v>
      </x:c>
      <x:c r="S221" t="s">
        <x:v>930</x:v>
      </x:c>
      <x:c r="T221" t="s">
        <x:v>32</x:v>
      </x:c>
      <x:c r="U221" t="s">
        <x:v>33</x:v>
      </x:c>
      <x:c r="V221" t="s">
        <x:v>26</x:v>
      </x:c>
      <x:c r="W221" s="15">
        <x:v>10.433</x:v>
      </x:c>
      <x:c r="X221" s="16" t="s">
        <x:v>129</x:v>
      </x:c>
    </x:row>
    <x:row r="222" ht="18">
      <x:c r="A222" s="11" t="s">
        <x:v>931</x:v>
      </x:c>
      <x:c r="B222" s="3">
        <x:v>28.91</x:v>
      </x:c>
      <x:c r="C222" s="5">
        <x:v>32.350999999999999</x:v>
      </x:c>
      <x:c r="D222" s="5">
        <x:f t="shared" si="4"/>
        <x:v>3.4409999999999989</x:v>
      </x:c>
      <x:c r="E222" t="s">
        <x:v>50</x:v>
      </x:c>
      <x:c r="F222" t="s">
        <x:v>26</x:v>
      </x:c>
      <x:c r="G222" t="s">
        <x:v>932</x:v>
      </x:c>
      <x:c r="H222" t="s">
        <x:v>933</x:v>
      </x:c>
      <x:c r="I222" s="15">
        <x:v>19</x:v>
      </x:c>
      <x:c r="J222" s="15">
        <x:v>17</x:v>
      </x:c>
      <x:c r="K222" s="15">
        <x:v>12</x:v>
      </x:c>
      <x:c r="L222" s="18">
        <x:v>40.299999999999997</x:v>
      </x:c>
      <x:c r="M222" t="s">
        <x:v>29</x:v>
      </x:c>
      <x:c r="N222" s="18">
        <x:v>41</x:v>
      </x:c>
      <x:c r="O222" t="s">
        <x:v>29</x:v>
      </x:c>
      <x:c r="P222" s="18">
        <x:v>35.273961949580411</x:v>
      </x:c>
      <x:c r="Q222" t="s">
        <x:v>29</x:v>
      </x:c>
      <x:c r="R222" t="s">
        <x:v>127</x:v>
      </x:c>
      <x:c r="S222" t="s">
        <x:v>934</x:v>
      </x:c>
      <x:c r="T222" t="s">
        <x:v>32</x:v>
      </x:c>
      <x:c r="U222" t="s">
        <x:v>33</x:v>
      </x:c>
      <x:c r="V222" t="s">
        <x:v>26</x:v>
      </x:c>
      <x:c r="W222" s="15">
        <x:v>1</x:v>
      </x:c>
      <x:c r="X222" s="16" t="s">
        <x:v>452</x:v>
      </x:c>
    </x:row>
    <x:row r="223" ht="18">
      <x:c r="A223" s="11" t="s">
        <x:v>935</x:v>
      </x:c>
      <x:c r="B223" s="3">
        <x:v>30.26</x:v>
      </x:c>
      <x:c r="C223" s="5">
        <x:v>33.670999999999999</x:v>
      </x:c>
      <x:c r="D223" s="5">
        <x:f t="shared" si="4"/>
        <x:v>3.4109999999999978</x:v>
      </x:c>
      <x:c r="E223" t="s">
        <x:v>50</x:v>
      </x:c>
      <x:c r="F223" t="s">
        <x:v>26</x:v>
      </x:c>
      <x:c r="G223" t="s">
        <x:v>936</x:v>
      </x:c>
      <x:c r="H223" t="s">
        <x:v>937</x:v>
      </x:c>
      <x:c r="I223" s="15">
        <x:v>19</x:v>
      </x:c>
      <x:c r="J223" s="15">
        <x:v>17</x:v>
      </x:c>
      <x:c r="K223" s="15">
        <x:v>13</x:v>
      </x:c>
      <x:c r="L223" s="18">
        <x:v>41.9</x:v>
      </x:c>
      <x:c r="M223" t="s">
        <x:v>29</x:v>
      </x:c>
      <x:c r="N223" s="18">
        <x:v>42</x:v>
      </x:c>
      <x:c r="O223" t="s">
        <x:v>29</x:v>
      </x:c>
      <x:c r="P223" s="18">
        <x:v>37.985647774454407</x:v>
      </x:c>
      <x:c r="Q223" t="s">
        <x:v>29</x:v>
      </x:c>
      <x:c r="R223" t="s">
        <x:v>127</x:v>
      </x:c>
      <x:c r="S223" t="s">
        <x:v>938</x:v>
      </x:c>
      <x:c r="T223" t="s">
        <x:v>32</x:v>
      </x:c>
      <x:c r="U223" t="s">
        <x:v>33</x:v>
      </x:c>
      <x:c r="V223" t="s">
        <x:v>26</x:v>
      </x:c>
      <x:c r="W223" s="15">
        <x:v>17.236999999999998</x:v>
      </x:c>
      <x:c r="X223" s="16" t="s">
        <x:v>54</x:v>
      </x:c>
    </x:row>
    <x:row r="224" ht="18">
      <x:c r="A224" s="11" t="s">
        <x:v>939</x:v>
      </x:c>
      <x:c r="B224" s="3">
        <x:v>21.73</x:v>
      </x:c>
      <x:c r="C224" s="5">
        <x:v>25.135000000000002</x:v>
      </x:c>
      <x:c r="D224" s="5">
        <x:f t="shared" si="4"/>
        <x:v>3.4050000000000011</x:v>
      </x:c>
      <x:c r="E224" t="s">
        <x:v>82</x:v>
      </x:c>
      <x:c r="F224" t="s">
        <x:v>26</x:v>
      </x:c>
      <x:c r="G224" t="s">
        <x:v>940</x:v>
      </x:c>
      <x:c r="H224" t="s">
        <x:v>941</x:v>
      </x:c>
      <x:c r="I224" s="15">
        <x:v>27</x:v>
      </x:c>
      <x:c r="J224" s="15">
        <x:v>19</x:v>
      </x:c>
      <x:c r="K224" s="15">
        <x:v>19</x:v>
      </x:c>
      <x:c r="L224" s="18"/>
      <x:c r="N224" s="18">
        <x:v>59</x:v>
      </x:c>
      <x:c r="O224" t="s">
        <x:v>29</x:v>
      </x:c>
      <x:c r="P224" s="18">
        <x:v>37.985647774454407</x:v>
      </x:c>
      <x:c r="Q224" t="s">
        <x:v>29</x:v>
      </x:c>
      <x:c r="R224" t="s">
        <x:v>32</x:v>
      </x:c>
      <x:c r="S224" t="s">
        <x:v>942</x:v>
      </x:c>
      <x:c r="T224" t="s">
        <x:v>32</x:v>
      </x:c>
      <x:c r="U224" t="s">
        <x:v>33</x:v>
      </x:c>
      <x:c r="V224" t="s">
        <x:v>26</x:v>
      </x:c>
      <x:c r="W224" s="15">
        <x:v>17.236999999999998</x:v>
      </x:c>
      <x:c r="X224" s="16" t="s">
        <x:v>54</x:v>
      </x:c>
    </x:row>
    <x:row r="225" ht="18">
      <x:c r="A225" s="11" t="s">
        <x:v>943</x:v>
      </x:c>
      <x:c r="B225" s="3">
        <x:v>20.78</x:v>
      </x:c>
      <x:c r="C225" s="5">
        <x:v>24.134</x:v>
      </x:c>
      <x:c r="D225" s="5">
        <x:f t="shared" si="4"/>
        <x:v>3.3539999999999992</x:v>
      </x:c>
      <x:c r="E225" t="s">
        <x:v>149</x:v>
      </x:c>
      <x:c r="F225" t="s">
        <x:v>26</x:v>
      </x:c>
      <x:c r="G225" t="s">
        <x:v>944</x:v>
      </x:c>
      <x:c r="H225" t="s">
        <x:v>945</x:v>
      </x:c>
      <x:c r="I225" s="15">
        <x:v>16</x:v>
      </x:c>
      <x:c r="J225" s="15">
        <x:v>15</x:v>
      </x:c>
      <x:c r="K225" s="15">
        <x:v>12</x:v>
      </x:c>
      <x:c r="L225" s="18">
        <x:v>27.1</x:v>
      </x:c>
      <x:c r="M225" t="s">
        <x:v>29</x:v>
      </x:c>
      <x:c r="N225" s="18">
        <x:v>28</x:v>
      </x:c>
      <x:c r="O225" t="s">
        <x:v>29</x:v>
      </x:c>
      <x:c r="P225" s="18">
        <x:v>22.487150742857512</x:v>
      </x:c>
      <x:c r="Q225" t="s">
        <x:v>29</x:v>
      </x:c>
      <x:c r="R225" t="s">
        <x:v>39</x:v>
      </x:c>
      <x:c r="S225" t="s">
        <x:v>946</x:v>
      </x:c>
      <x:c r="T225" t="s">
        <x:v>32</x:v>
      </x:c>
      <x:c r="U225" t="s">
        <x:v>33</x:v>
      </x:c>
      <x:c r="V225" t="s">
        <x:v>26</x:v>
      </x:c>
      <x:c r="W225" s="15">
        <x:v>1</x:v>
      </x:c>
      <x:c r="X225" s="16" t="s">
        <x:v>280</x:v>
      </x:c>
    </x:row>
    <x:row r="226" ht="18">
      <x:c r="A226" s="11" t="s">
        <x:v>947</x:v>
      </x:c>
      <x:c r="B226" s="3">
        <x:v>29.14</x:v>
      </x:c>
      <x:c r="C226" s="5">
        <x:v>32.482999999999997</x:v>
      </x:c>
      <x:c r="D226" s="5">
        <x:f t="shared" si="4"/>
        <x:v>3.3429999999999964</x:v>
      </x:c>
      <x:c r="E226" t="s">
        <x:v>50</x:v>
      </x:c>
      <x:c r="F226" t="s">
        <x:v>26</x:v>
      </x:c>
      <x:c r="G226" t="s">
        <x:v>948</x:v>
      </x:c>
      <x:c r="H226" t="s">
        <x:v>949</x:v>
      </x:c>
      <x:c r="I226" s="15">
        <x:v>24</x:v>
      </x:c>
      <x:c r="J226" s="15">
        <x:v>16</x:v>
      </x:c>
      <x:c r="K226" s="15">
        <x:v>16</x:v>
      </x:c>
      <x:c r="L226" s="18">
        <x:v>40.6</x:v>
      </x:c>
      <x:c r="M226" t="s">
        <x:v>29</x:v>
      </x:c>
      <x:c r="N226" s="18">
        <x:v>41</x:v>
      </x:c>
      <x:c r="O226" t="s">
        <x:v>29</x:v>
      </x:c>
      <x:c r="P226" s="18">
        <x:v>35.273961949580411</x:v>
      </x:c>
      <x:c r="Q226" t="s">
        <x:v>29</x:v>
      </x:c>
      <x:c r="R226" t="s">
        <x:v>199</x:v>
      </x:c>
      <x:c r="S226" t="s">
        <x:v>950</x:v>
      </x:c>
      <x:c r="T226" t="s">
        <x:v>32</x:v>
      </x:c>
      <x:c r="U226" t="s">
        <x:v>33</x:v>
      </x:c>
      <x:c r="V226" t="s">
        <x:v>26</x:v>
      </x:c>
      <x:c r="W226" s="15">
        <x:v>1</x:v>
      </x:c>
      <x:c r="X226" s="16" t="s">
        <x:v>452</x:v>
      </x:c>
    </x:row>
    <x:row r="227" ht="18">
      <x:c r="A227" s="11" t="s">
        <x:v>951</x:v>
      </x:c>
      <x:c r="B227" s="3">
        <x:v>85.85</x:v>
      </x:c>
      <x:c r="C227" s="5">
        <x:v>89.165999999999997</x:v>
      </x:c>
      <x:c r="D227" s="5">
        <x:f t="shared" si="4"/>
        <x:v>3.3160000000000025</x:v>
      </x:c>
      <x:c r="E227" t="s">
        <x:v>43</x:v>
      </x:c>
      <x:c r="F227" t="s">
        <x:v>26</x:v>
      </x:c>
      <x:c r="G227" t="s">
        <x:v>952</x:v>
      </x:c>
      <x:c r="H227" t="s">
        <x:v>953</x:v>
      </x:c>
      <x:c r="I227" s="15">
        <x:v>20</x:v>
      </x:c>
      <x:c r="J227" s="15">
        <x:v>16</x:v>
      </x:c>
      <x:c r="K227" s="15">
        <x:v>16</x:v>
      </x:c>
      <x:c r="L227" s="18">
        <x:v>66.2</x:v>
      </x:c>
      <x:c r="M227" t="s">
        <x:v>29</x:v>
      </x:c>
      <x:c r="N227" s="18">
        <x:v>67</x:v>
      </x:c>
      <x:c r="O227" t="s">
        <x:v>29</x:v>
      </x:c>
      <x:c r="P227" s="18">
        <x:v>57.959528728404308</x:v>
      </x:c>
      <x:c r="Q227" t="s">
        <x:v>29</x:v>
      </x:c>
      <x:c r="R227" t="s">
        <x:v>46</x:v>
      </x:c>
      <x:c r="S227" t="s">
        <x:v>954</x:v>
      </x:c>
      <x:c r="T227" t="s">
        <x:v>32</x:v>
      </x:c>
      <x:c r="U227" t="s">
        <x:v>33</x:v>
      </x:c>
      <x:c r="V227" t="s">
        <x:v>26</x:v>
      </x:c>
      <x:c r="W227" s="15">
        <x:v>0</x:v>
      </x:c>
      <x:c r="X227" s="16" t="s">
        <x:v>109</x:v>
      </x:c>
    </x:row>
    <x:row r="228" ht="18">
      <x:c r="A228" s="11" t="s">
        <x:v>955</x:v>
      </x:c>
      <x:c r="B228" s="3">
        <x:v>72.099999999999994</x:v>
      </x:c>
      <x:c r="C228" s="5">
        <x:v>75.349999999999994</x:v>
      </x:c>
      <x:c r="D228" s="5">
        <x:f t="shared" si="4"/>
        <x:v>3.25</x:v>
      </x:c>
      <x:c r="E228" t="s">
        <x:v>43</x:v>
      </x:c>
      <x:c r="F228" t="s">
        <x:v>26</x:v>
      </x:c>
      <x:c r="G228" t="s">
        <x:v>956</x:v>
      </x:c>
      <x:c r="H228" t="s">
        <x:v>957</x:v>
      </x:c>
      <x:c r="I228" s="15"/>
      <x:c r="J228" s="15"/>
      <x:c r="K228" s="15"/>
      <x:c r="L228" s="18"/>
      <x:c r="N228" s="18"/>
      <x:c r="P228" s="18"/>
      <x:c r="V228" t="s">
        <x:v>53</x:v>
      </x:c>
      <x:c r="W228" s="15">
        <x:v>26.308</x:v>
      </x:c>
      <x:c r="X228" s="16" t="s">
        <x:v>710</x:v>
      </x:c>
    </x:row>
    <x:row r="229" ht="18">
      <x:c r="A229" s="11" t="s">
        <x:v>958</x:v>
      </x:c>
      <x:c r="B229" s="3">
        <x:v>25.3</x:v>
      </x:c>
      <x:c r="C229" s="5">
        <x:v>28.536000000000001</x:v>
      </x:c>
      <x:c r="D229" s="5">
        <x:f t="shared" si="4"/>
        <x:v>3.2360000000000007</x:v>
      </x:c>
      <x:c r="F229" t="s">
        <x:v>53</x:v>
      </x:c>
      <x:c r="I229" s="15">
        <x:v>41</x:v>
      </x:c>
      <x:c r="J229" s="15">
        <x:v>41</x:v>
      </x:c>
      <x:c r="K229" s="15">
        <x:v>30</x:v>
      </x:c>
      <x:c r="L229" s="18">
        <x:v>29.7</x:v>
      </x:c>
      <x:c r="M229" t="s">
        <x:v>29</x:v>
      </x:c>
      <x:c r="N229" s="18">
        <x:v>30</x:v>
      </x:c>
      <x:c r="O229" t="s">
        <x:v>29</x:v>
      </x:c>
      <x:c r="P229" s="18">
        <x:v>20.988007360000342</x:v>
      </x:c>
      <x:c r="Q229" t="s">
        <x:v>29</x:v>
      </x:c>
      <x:c r="R229" t="s">
        <x:v>32</x:v>
      </x:c>
      <x:c r="S229" t="s">
        <x:v>33</x:v>
      </x:c>
      <x:c r="T229" t="s">
        <x:v>226</x:v>
      </x:c>
      <x:c r="U229" t="s">
        <x:v>959</x:v>
      </x:c>
      <x:c r="V229" t="s">
        <x:v>26</x:v>
      </x:c>
      <x:c r="W229" s="15"/>
      <x:c r="X229" s="16"/>
    </x:row>
    <x:row r="230" ht="18">
      <x:c r="A230" s="11" t="s">
        <x:v>960</x:v>
      </x:c>
      <x:c r="B230" s="3">
        <x:v>85.85</x:v>
      </x:c>
      <x:c r="C230" s="5">
        <x:v>89.045000000000002</x:v>
      </x:c>
      <x:c r="D230" s="5">
        <x:f t="shared" si="4"/>
        <x:v>3.1950000000000074</x:v>
      </x:c>
      <x:c r="E230" t="s">
        <x:v>43</x:v>
      </x:c>
      <x:c r="F230" t="s">
        <x:v>26</x:v>
      </x:c>
      <x:c r="G230" t="s">
        <x:v>961</x:v>
      </x:c>
      <x:c r="H230" t="s">
        <x:v>962</x:v>
      </x:c>
      <x:c r="I230" s="15">
        <x:v>20</x:v>
      </x:c>
      <x:c r="J230" s="15">
        <x:v>19</x:v>
      </x:c>
      <x:c r="K230" s="15">
        <x:v>17</x:v>
      </x:c>
      <x:c r="L230" s="18">
        <x:v>62.3</x:v>
      </x:c>
      <x:c r="M230" t="s">
        <x:v>29</x:v>
      </x:c>
      <x:c r="N230" s="18">
        <x:v>63</x:v>
      </x:c>
      <x:c r="O230" t="s">
        <x:v>29</x:v>
      </x:c>
      <x:c r="P230" s="18">
        <x:v>57.981574954622801</x:v>
      </x:c>
      <x:c r="Q230" t="s">
        <x:v>29</x:v>
      </x:c>
      <x:c r="R230" t="s">
        <x:v>102</x:v>
      </x:c>
      <x:c r="S230" t="s">
        <x:v>963</x:v>
      </x:c>
      <x:c r="T230" t="s">
        <x:v>32</x:v>
      </x:c>
      <x:c r="U230" t="s">
        <x:v>33</x:v>
      </x:c>
      <x:c r="V230" t="s">
        <x:v>26</x:v>
      </x:c>
      <x:c r="W230" s="15">
        <x:v>26.308</x:v>
      </x:c>
      <x:c r="X230" s="16" t="s">
        <x:v>693</x:v>
      </x:c>
    </x:row>
    <x:row r="231" ht="18">
      <x:c r="A231" s="11" t="s">
        <x:v>964</x:v>
      </x:c>
      <x:c r="B231" s="3">
        <x:v>22.63</x:v>
      </x:c>
      <x:c r="C231" s="5">
        <x:v>25.806000000000001</x:v>
      </x:c>
      <x:c r="D231" s="5">
        <x:f t="shared" si="4"/>
        <x:v>3.1760000000000019</x:v>
      </x:c>
      <x:c r="E231" t="s">
        <x:v>82</x:v>
      </x:c>
      <x:c r="F231" t="s">
        <x:v>26</x:v>
      </x:c>
      <x:c r="G231" t="s">
        <x:v>965</x:v>
      </x:c>
      <x:c r="H231" t="s">
        <x:v>966</x:v>
      </x:c>
      <x:c r="I231" s="15">
        <x:v>21</x:v>
      </x:c>
      <x:c r="J231" s="15">
        <x:v>14</x:v>
      </x:c>
      <x:c r="K231" s="15">
        <x:v>11</x:v>
      </x:c>
      <x:c r="L231" s="18">
        <x:v>31.2</x:v>
      </x:c>
      <x:c r="M231" t="s">
        <x:v>29</x:v>
      </x:c>
      <x:c r="N231" s="18">
        <x:v>32</x:v>
      </x:c>
      <x:c r="O231" t="s">
        <x:v>29</x:v>
      </x:c>
      <x:c r="P231" s="18">
        <x:v>25.353160151260919</x:v>
      </x:c>
      <x:c r="Q231" t="s">
        <x:v>29</x:v>
      </x:c>
      <x:c r="R231" t="s">
        <x:v>239</x:v>
      </x:c>
      <x:c r="S231" t="s">
        <x:v>967</x:v>
      </x:c>
      <x:c r="T231" t="s">
        <x:v>32</x:v>
      </x:c>
      <x:c r="U231" t="s">
        <x:v>33</x:v>
      </x:c>
      <x:c r="V231" t="s">
        <x:v>26</x:v>
      </x:c>
      <x:c r="W231" s="15">
        <x:v>1</x:v>
      </x:c>
      <x:c r="X231" s="16" t="s">
        <x:v>245</x:v>
      </x:c>
    </x:row>
    <x:row r="232" ht="18">
      <x:c r="A232" s="11" t="s">
        <x:v>968</x:v>
      </x:c>
      <x:c r="B232" s="3">
        <x:v>29.38</x:v>
      </x:c>
      <x:c r="C232" s="5">
        <x:v>32.548999999999999</x:v>
      </x:c>
      <x:c r="D232" s="5">
        <x:f t="shared" si="4"/>
        <x:v>3.1690000000000005</x:v>
      </x:c>
      <x:c r="F232" t="s">
        <x:v>53</x:v>
      </x:c>
      <x:c r="I232" s="15"/>
      <x:c r="J232" s="15"/>
      <x:c r="K232" s="15"/>
      <x:c r="L232" s="18"/>
      <x:c r="N232" s="18"/>
      <x:c r="P232" s="18"/>
      <x:c r="V232" t="s">
        <x:v>53</x:v>
      </x:c>
      <x:c r="W232" s="15">
        <x:v>1</x:v>
      </x:c>
      <x:c r="X232" s="16" t="s">
        <x:v>231</x:v>
      </x:c>
    </x:row>
    <x:row r="233" ht="18">
      <x:c r="A233" s="11" t="s">
        <x:v>969</x:v>
      </x:c>
      <x:c r="B233" s="3">
        <x:v>20.239999999999998</x:v>
      </x:c>
      <x:c r="C233" s="5">
        <x:v>23.408000000000001</x:v>
      </x:c>
      <x:c r="D233" s="5">
        <x:f t="shared" si="4"/>
        <x:v>3.1680000000000028</x:v>
      </x:c>
      <x:c r="E233" t="s">
        <x:v>82</x:v>
      </x:c>
      <x:c r="F233" t="s">
        <x:v>26</x:v>
      </x:c>
      <x:c r="G233" t="s">
        <x:v>970</x:v>
      </x:c>
      <x:c r="H233" t="s">
        <x:v>971</x:v>
      </x:c>
      <x:c r="I233" s="15">
        <x:v>18</x:v>
      </x:c>
      <x:c r="J233" s="15">
        <x:v>16</x:v>
      </x:c>
      <x:c r="K233" s="15">
        <x:v>15</x:v>
      </x:c>
      <x:c r="L233" s="18">
        <x:v>30.2</x:v>
      </x:c>
      <x:c r="M233" t="s">
        <x:v>29</x:v>
      </x:c>
      <x:c r="N233" s="18">
        <x:v>31</x:v>
      </x:c>
      <x:c r="O233" t="s">
        <x:v>29</x:v>
      </x:c>
      <x:c r="P233" s="18">
        <x:v>25.000420531765116</x:v>
      </x:c>
      <x:c r="Q233" t="s">
        <x:v>29</x:v>
      </x:c>
      <x:c r="R233" t="s">
        <x:v>226</x:v>
      </x:c>
      <x:c r="S233" t="s">
        <x:v>972</x:v>
      </x:c>
      <x:c r="T233" t="s">
        <x:v>32</x:v>
      </x:c>
      <x:c r="U233" t="s">
        <x:v>33</x:v>
      </x:c>
      <x:c r="V233" t="s">
        <x:v>26</x:v>
      </x:c>
      <x:c r="W233" s="15">
        <x:v>11.34</x:v>
      </x:c>
      <x:c r="X233" s="16" t="s">
        <x:v>87</x:v>
      </x:c>
    </x:row>
    <x:row r="234" ht="18">
      <x:c r="A234" s="11" t="s">
        <x:v>973</x:v>
      </x:c>
      <x:c r="B234" s="3">
        <x:v>20.7</x:v>
      </x:c>
      <x:c r="C234" s="5">
        <x:v>23.847999999999999</x:v>
      </x:c>
      <x:c r="D234" s="5">
        <x:f t="shared" si="4"/>
        <x:v>3.1479999999999997</x:v>
      </x:c>
      <x:c r="E234" t="s">
        <x:v>790</x:v>
      </x:c>
      <x:c r="F234" t="s">
        <x:v>26</x:v>
      </x:c>
      <x:c r="G234" t="s">
        <x:v>974</x:v>
      </x:c>
      <x:c r="H234" t="s">
        <x:v>975</x:v>
      </x:c>
      <x:c r="I234" s="15"/>
      <x:c r="J234" s="15"/>
      <x:c r="K234" s="15"/>
      <x:c r="L234" s="18"/>
      <x:c r="N234" s="18"/>
      <x:c r="P234" s="18"/>
      <x:c r="V234" t="s">
        <x:v>53</x:v>
      </x:c>
      <x:c r="W234" s="15">
        <x:v>6.7130000000000001</x:v>
      </x:c>
      <x:c r="X234" s="16" t="s">
        <x:v>976</x:v>
      </x:c>
    </x:row>
    <x:row r="235" ht="18">
      <x:c r="A235" s="11" t="s">
        <x:v>977</x:v>
      </x:c>
      <x:c r="B235" s="3">
        <x:v>26.2</x:v>
      </x:c>
      <x:c r="C235" s="5">
        <x:v>29.347999999999999</x:v>
      </x:c>
      <x:c r="D235" s="5">
        <x:f t="shared" si="4"/>
        <x:v>3.1479999999999997</x:v>
      </x:c>
      <x:c r="E235" t="s">
        <x:v>82</x:v>
      </x:c>
      <x:c r="F235" t="s">
        <x:v>26</x:v>
      </x:c>
      <x:c r="G235" t="s">
        <x:v>978</x:v>
      </x:c>
      <x:c r="H235" t="s">
        <x:v>979</x:v>
      </x:c>
      <x:c r="I235" s="15">
        <x:v>15</x:v>
      </x:c>
      <x:c r="J235" s="15">
        <x:v>14</x:v>
      </x:c>
      <x:c r="K235" s="15">
        <x:v>11</x:v>
      </x:c>
      <x:c r="L235" s="18">
        <x:v>28.2</x:v>
      </x:c>
      <x:c r="M235" t="s">
        <x:v>29</x:v>
      </x:c>
      <x:c r="N235" s="18">
        <x:v>29</x:v>
      </x:c>
      <x:c r="O235" t="s">
        <x:v>29</x:v>
      </x:c>
      <x:c r="P235" s="18">
        <x:v>25.000420531765116</x:v>
      </x:c>
      <x:c r="Q235" t="s">
        <x:v>29</x:v>
      </x:c>
      <x:c r="R235" t="s">
        <x:v>30</x:v>
      </x:c>
      <x:c r="S235" t="s">
        <x:v>980</x:v>
      </x:c>
      <x:c r="T235" t="s">
        <x:v>32</x:v>
      </x:c>
      <x:c r="U235" t="s">
        <x:v>33</x:v>
      </x:c>
      <x:c r="V235" t="s">
        <x:v>26</x:v>
      </x:c>
      <x:c r="W235" s="15">
        <x:v>11.34</x:v>
      </x:c>
      <x:c r="X235" s="16" t="s">
        <x:v>87</x:v>
      </x:c>
    </x:row>
    <x:row r="236" ht="18">
      <x:c r="A236" s="11" t="s">
        <x:v>981</x:v>
      </x:c>
      <x:c r="B236" s="3">
        <x:v>46.82</x:v>
      </x:c>
      <x:c r="C236" s="5">
        <x:v>49.929000000000002</x:v>
      </x:c>
      <x:c r="D236" s="5">
        <x:f t="shared" si="4"/>
        <x:v>3.1090000000000018</x:v>
      </x:c>
      <x:c r="E236" t="s">
        <x:v>282</x:v>
      </x:c>
      <x:c r="F236" t="s">
        <x:v>26</x:v>
      </x:c>
      <x:c r="G236" t="s">
        <x:v>982</x:v>
      </x:c>
      <x:c r="I236" s="15">
        <x:v>39</x:v>
      </x:c>
      <x:c r="J236" s="15">
        <x:v>29</x:v>
      </x:c>
      <x:c r="K236" s="15">
        <x:v>5</x:v>
      </x:c>
      <x:c r="L236" s="18">
        <x:v>35.6</x:v>
      </x:c>
      <x:c r="M236" t="s">
        <x:v>29</x:v>
      </x:c>
      <x:c r="N236" s="18">
        <x:v>40</x:v>
      </x:c>
      <x:c r="O236" t="s">
        <x:v>29</x:v>
      </x:c>
      <x:c r="P236" s="18">
        <x:v>30.864716705882859</x:v>
      </x:c>
      <x:c r="Q236" t="s">
        <x:v>29</x:v>
      </x:c>
      <x:c r="R236" t="s">
        <x:v>59</x:v>
      </x:c>
      <x:c r="S236" t="s">
        <x:v>983</x:v>
      </x:c>
      <x:c r="T236" t="s">
        <x:v>32</x:v>
      </x:c>
      <x:c r="U236" t="s">
        <x:v>33</x:v>
      </x:c>
      <x:c r="V236" t="s">
        <x:v>26</x:v>
      </x:c>
      <x:c r="W236" s="15" t="s">
        <x:v>984</x:v>
      </x:c>
      <x:c r="X236" s="16" t="s">
        <x:v>985</x:v>
      </x:c>
    </x:row>
    <x:row r="237" ht="18">
      <x:c r="A237" s="11" t="s">
        <x:v>986</x:v>
      </x:c>
      <x:c r="B237" s="3">
        <x:v>31.56</x:v>
      </x:c>
      <x:c r="C237" s="5">
        <x:v>34.661000000000001</x:v>
      </x:c>
      <x:c r="D237" s="5">
        <x:f t="shared" si="4"/>
        <x:v>3.1010000000000026</x:v>
      </x:c>
      <x:c r="E237" t="s">
        <x:v>387</x:v>
      </x:c>
      <x:c r="F237" t="s">
        <x:v>26</x:v>
      </x:c>
      <x:c r="G237" t="s">
        <x:v>987</x:v>
      </x:c>
      <x:c r="H237" t="s">
        <x:v>988</x:v>
      </x:c>
      <x:c r="I237" s="15">
        <x:v>29</x:v>
      </x:c>
      <x:c r="J237" s="15">
        <x:v>19</x:v>
      </x:c>
      <x:c r="K237" s="15">
        <x:v>7</x:v>
      </x:c>
      <x:c r="L237" s="18">
        <x:v>43.1</x:v>
      </x:c>
      <x:c r="M237" t="s">
        <x:v>29</x:v>
      </x:c>
      <x:c r="N237" s="18">
        <x:v>44</x:v>
      </x:c>
      <x:c r="O237" t="s">
        <x:v>29</x:v>
      </x:c>
      <x:c r="P237" s="18">
        <x:v>39.683207193277966</x:v>
      </x:c>
      <x:c r="Q237" t="s">
        <x:v>29</x:v>
      </x:c>
      <x:c r="R237" t="s">
        <x:v>73</x:v>
      </x:c>
      <x:c r="S237" t="s">
        <x:v>918</x:v>
      </x:c>
      <x:c r="T237" t="s">
        <x:v>32</x:v>
      </x:c>
      <x:c r="U237" t="s">
        <x:v>33</x:v>
      </x:c>
      <x:c r="V237" t="s">
        <x:v>26</x:v>
      </x:c>
      <x:c r="W237" s="15">
        <x:v>18</x:v>
      </x:c>
      <x:c r="X237" s="16" t="s">
        <x:v>784</x:v>
      </x:c>
    </x:row>
    <x:row r="238" ht="18">
      <x:c r="A238" s="11" t="s">
        <x:v>989</x:v>
      </x:c>
      <x:c r="B238" s="3">
        <x:v>26.25</x:v>
      </x:c>
      <x:c r="C238" s="5">
        <x:v>29.347999999999999</x:v>
      </x:c>
      <x:c r="D238" s="5">
        <x:f t="shared" si="4"/>
        <x:v>3.097999999999999</x:v>
      </x:c>
      <x:c r="E238" t="s">
        <x:v>82</x:v>
      </x:c>
      <x:c r="F238" t="s">
        <x:v>26</x:v>
      </x:c>
      <x:c r="G238" t="s">
        <x:v>990</x:v>
      </x:c>
      <x:c r="H238" t="s">
        <x:v>991</x:v>
      </x:c>
      <x:c r="I238" s="15">
        <x:v>15</x:v>
      </x:c>
      <x:c r="J238" s="15">
        <x:v>13</x:v>
      </x:c>
      <x:c r="K238" s="15">
        <x:v>11</x:v>
      </x:c>
      <x:c r="L238" s="18">
        <x:v>28.3</x:v>
      </x:c>
      <x:c r="M238" t="s">
        <x:v>29</x:v>
      </x:c>
      <x:c r="N238" s="18">
        <x:v>29</x:v>
      </x:c>
      <x:c r="O238" t="s">
        <x:v>29</x:v>
      </x:c>
      <x:c r="P238" s="18">
        <x:v>25.000420531765116</x:v>
      </x:c>
      <x:c r="Q238" t="s">
        <x:v>29</x:v>
      </x:c>
      <x:c r="R238" t="s">
        <x:v>146</x:v>
      </x:c>
      <x:c r="S238" t="s">
        <x:v>992</x:v>
      </x:c>
      <x:c r="T238" t="s">
        <x:v>32</x:v>
      </x:c>
      <x:c r="U238" t="s">
        <x:v>33</x:v>
      </x:c>
      <x:c r="V238" t="s">
        <x:v>26</x:v>
      </x:c>
      <x:c r="W238" s="15">
        <x:v>11.34</x:v>
      </x:c>
      <x:c r="X238" s="16" t="s">
        <x:v>87</x:v>
      </x:c>
    </x:row>
    <x:row r="239" ht="18">
      <x:c r="A239" s="11" t="s">
        <x:v>993</x:v>
      </x:c>
      <x:c r="B239" s="3">
        <x:v>24.54</x:v>
      </x:c>
      <x:c r="C239" s="5">
        <x:v>27.620999999999999</x:v>
      </x:c>
      <x:c r="D239" s="5">
        <x:f t="shared" si="4"/>
        <x:v>3.0809999999999995</x:v>
      </x:c>
      <x:c r="E239" t="s">
        <x:v>149</x:v>
      </x:c>
      <x:c r="F239" t="s">
        <x:v>26</x:v>
      </x:c>
      <x:c r="G239" t="s">
        <x:v>277</x:v>
      </x:c>
      <x:c r="H239" t="s">
        <x:v>994</x:v>
      </x:c>
      <x:c r="I239" s="15"/>
      <x:c r="J239" s="15"/>
      <x:c r="K239" s="15"/>
      <x:c r="L239" s="18"/>
      <x:c r="N239" s="18"/>
      <x:c r="P239" s="18"/>
      <x:c r="V239" t="s">
        <x:v>53</x:v>
      </x:c>
      <x:c r="W239" s="15">
        <x:v>1</x:v>
      </x:c>
      <x:c r="X239" s="16" t="s">
        <x:v>280</x:v>
      </x:c>
    </x:row>
    <x:row r="240" ht="18">
      <x:c r="A240" s="11" t="s">
        <x:v>995</x:v>
      </x:c>
      <x:c r="B240" s="3">
        <x:v>33.520000000000003</x:v>
      </x:c>
      <x:c r="C240" s="5">
        <x:v>36.585999999999999</x:v>
      </x:c>
      <x:c r="D240" s="5">
        <x:f t="shared" si="4"/>
        <x:v>3.0659999999999954</x:v>
      </x:c>
      <x:c r="E240" t="s">
        <x:v>149</x:v>
      </x:c>
      <x:c r="F240" t="s">
        <x:v>26</x:v>
      </x:c>
      <x:c r="G240" t="s">
        <x:v>996</x:v>
      </x:c>
      <x:c r="H240" t="s">
        <x:v>997</x:v>
      </x:c>
      <x:c r="I240" s="15">
        <x:v>41</x:v>
      </x:c>
      <x:c r="J240" s="15">
        <x:v>38</x:v>
      </x:c>
      <x:c r="K240" s="15">
        <x:v>30</x:v>
      </x:c>
      <x:c r="L240" s="18">
        <x:v>27.1</x:v>
      </x:c>
      <x:c r="M240" t="s">
        <x:v>29</x:v>
      </x:c>
      <x:c r="N240" s="18">
        <x:v>28</x:v>
      </x:c>
      <x:c r="O240" t="s">
        <x:v>29</x:v>
      </x:c>
      <x:c r="P240" s="18">
        <x:v>25.088605436639067</x:v>
      </x:c>
      <x:c r="Q240" t="s">
        <x:v>29</x:v>
      </x:c>
      <x:c r="R240" t="s">
        <x:v>134</x:v>
      </x:c>
      <x:c r="S240" t="s">
        <x:v>402</x:v>
      </x:c>
      <x:c r="T240" t="s">
        <x:v>32</x:v>
      </x:c>
      <x:c r="U240" t="s">
        <x:v>33</x:v>
      </x:c>
      <x:c r="V240" t="s">
        <x:v>26</x:v>
      </x:c>
      <x:c r="W240" s="15">
        <x:v>11.385</x:v>
      </x:c>
      <x:c r="X240" s="16" t="s">
        <x:v>998</x:v>
      </x:c>
    </x:row>
    <x:row r="241" ht="18">
      <x:c r="A241" s="11" t="s">
        <x:v>999</x:v>
      </x:c>
      <x:c r="B241" s="3">
        <x:v>85.67</x:v>
      </x:c>
      <x:c r="C241" s="5">
        <x:v>88.715000000000003</x:v>
      </x:c>
      <x:c r="D241" s="5">
        <x:f t="shared" si="4"/>
        <x:v>3.0450000000000017</x:v>
      </x:c>
      <x:c r="E241" t="s">
        <x:v>43</x:v>
      </x:c>
      <x:c r="F241" t="s">
        <x:v>26</x:v>
      </x:c>
      <x:c r="G241" t="s">
        <x:v>1000</x:v>
      </x:c>
      <x:c r="H241" t="s">
        <x:v>1001</x:v>
      </x:c>
      <x:c r="I241" s="15">
        <x:v>20</x:v>
      </x:c>
      <x:c r="J241" s="15">
        <x:v>16</x:v>
      </x:c>
      <x:c r="K241" s="15">
        <x:v>16</x:v>
      </x:c>
      <x:c r="L241" s="18">
        <x:v>65.3</x:v>
      </x:c>
      <x:c r="M241" t="s">
        <x:v>29</x:v>
      </x:c>
      <x:c r="N241" s="18">
        <x:v>66</x:v>
      </x:c>
      <x:c r="O241" t="s">
        <x:v>29</x:v>
      </x:c>
      <x:c r="P241" s="18">
        <x:v>57.959528728404308</x:v>
      </x:c>
      <x:c r="Q241" t="s">
        <x:v>29</x:v>
      </x:c>
      <x:c r="R241" t="s">
        <x:v>46</x:v>
      </x:c>
      <x:c r="S241" t="s">
        <x:v>1002</x:v>
      </x:c>
      <x:c r="T241" t="s">
        <x:v>32</x:v>
      </x:c>
      <x:c r="U241" t="s">
        <x:v>33</x:v>
      </x:c>
      <x:c r="V241" t="s">
        <x:v>26</x:v>
      </x:c>
      <x:c r="W241" s="15">
        <x:v>0</x:v>
      </x:c>
      <x:c r="X241" s="16" t="s">
        <x:v>109</x:v>
      </x:c>
    </x:row>
    <x:row r="242" ht="18">
      <x:c r="A242" s="11" t="s">
        <x:v>1003</x:v>
      </x:c>
      <x:c r="B242" s="3">
        <x:v>85.85</x:v>
      </x:c>
      <x:c r="C242" s="5">
        <x:v>88.891000000000005</x:v>
      </x:c>
      <x:c r="D242" s="5">
        <x:f t="shared" si="4"/>
        <x:v>3.041000000000011</x:v>
      </x:c>
      <x:c r="E242" t="s">
        <x:v>43</x:v>
      </x:c>
      <x:c r="F242" t="s">
        <x:v>26</x:v>
      </x:c>
      <x:c r="G242" t="s">
        <x:v>1004</x:v>
      </x:c>
      <x:c r="H242" t="s">
        <x:v>1005</x:v>
      </x:c>
      <x:c r="I242" s="15">
        <x:v>19</x:v>
      </x:c>
      <x:c r="J242" s="15">
        <x:v>16</x:v>
      </x:c>
      <x:c r="K242" s="15">
        <x:v>16</x:v>
      </x:c>
      <x:c r="L242" s="18">
        <x:v>65.5</x:v>
      </x:c>
      <x:c r="M242" t="s">
        <x:v>29</x:v>
      </x:c>
      <x:c r="N242" s="18">
        <x:v>66</x:v>
      </x:c>
      <x:c r="O242" t="s">
        <x:v>29</x:v>
      </x:c>
      <x:c r="P242" s="18">
        <x:v>57.959528728404308</x:v>
      </x:c>
      <x:c r="Q242" t="s">
        <x:v>29</x:v>
      </x:c>
      <x:c r="R242" t="s">
        <x:v>46</x:v>
      </x:c>
      <x:c r="S242" t="s">
        <x:v>1006</x:v>
      </x:c>
      <x:c r="T242" t="s">
        <x:v>32</x:v>
      </x:c>
      <x:c r="U242" t="s">
        <x:v>33</x:v>
      </x:c>
      <x:c r="V242" t="s">
        <x:v>26</x:v>
      </x:c>
      <x:c r="W242" s="15">
        <x:v>0</x:v>
      </x:c>
      <x:c r="X242" s="16" t="s">
        <x:v>109</x:v>
      </x:c>
    </x:row>
    <x:row r="243" ht="18">
      <x:c r="A243" s="11" t="s">
        <x:v>1007</x:v>
      </x:c>
      <x:c r="B243" s="3">
        <x:v>58.76</x:v>
      </x:c>
      <x:c r="C243" s="5">
        <x:v>61.798000000000002</x:v>
      </x:c>
      <x:c r="D243" s="5">
        <x:f t="shared" si="4"/>
        <x:v>3.0380000000000038</x:v>
      </x:c>
      <x:c r="E243" t="s">
        <x:v>70</x:v>
      </x:c>
      <x:c r="F243" t="s">
        <x:v>26</x:v>
      </x:c>
      <x:c r="G243" t="s">
        <x:v>1008</x:v>
      </x:c>
      <x:c r="H243" t="s">
        <x:v>1009</x:v>
      </x:c>
      <x:c r="I243" s="15">
        <x:v>20</x:v>
      </x:c>
      <x:c r="J243" s="15">
        <x:v>19</x:v>
      </x:c>
      <x:c r="K243" s="15">
        <x:v>19</x:v>
      </x:c>
      <x:c r="L243" s="18">
        <x:v>72.2</x:v>
      </x:c>
      <x:c r="M243" t="s">
        <x:v>29</x:v>
      </x:c>
      <x:c r="N243" s="18">
        <x:v>73</x:v>
      </x:c>
      <x:c r="O243" t="s">
        <x:v>29</x:v>
      </x:c>
      <x:c r="P243" s="18">
        <x:v>61.729433411765719</x:v>
      </x:c>
      <x:c r="Q243" t="s">
        <x:v>29</x:v>
      </x:c>
      <x:c r="R243" t="s">
        <x:v>116</x:v>
      </x:c>
      <x:c r="S243" t="s">
        <x:v>918</x:v>
      </x:c>
      <x:c r="T243" t="s">
        <x:v>32</x:v>
      </x:c>
      <x:c r="U243" t="s">
        <x:v>33</x:v>
      </x:c>
      <x:c r="V243" t="s">
        <x:v>26</x:v>
      </x:c>
      <x:c r="W243" s="15">
        <x:v>1</x:v>
      </x:c>
      <x:c r="X243" s="16" t="s">
        <x:v>1010</x:v>
      </x:c>
    </x:row>
    <x:row r="244" ht="18">
      <x:c r="A244" s="11" t="s">
        <x:v>1011</x:v>
      </x:c>
      <x:c r="B244" s="3">
        <x:v>27.26</x:v>
      </x:c>
      <x:c r="C244" s="5">
        <x:v>30.283000000000001</x:v>
      </x:c>
      <x:c r="D244" s="5">
        <x:f t="shared" si="4"/>
        <x:v>3.0229999999999997</x:v>
      </x:c>
      <x:c r="E244" t="s">
        <x:v>82</x:v>
      </x:c>
      <x:c r="F244" t="s">
        <x:v>26</x:v>
      </x:c>
      <x:c r="G244" t="s">
        <x:v>1012</x:v>
      </x:c>
      <x:c r="H244" t="s">
        <x:v>1013</x:v>
      </x:c>
      <x:c r="I244" s="15">
        <x:v>15</x:v>
      </x:c>
      <x:c r="J244" s="15">
        <x:v>15</x:v>
      </x:c>
      <x:c r="K244" s="15">
        <x:v>11</x:v>
      </x:c>
      <x:c r="L244" s="18">
        <x:v>29.6</x:v>
      </x:c>
      <x:c r="M244" t="s">
        <x:v>29</x:v>
      </x:c>
      <x:c r="N244" s="18">
        <x:v>30</x:v>
      </x:c>
      <x:c r="O244" t="s">
        <x:v>29</x:v>
      </x:c>
      <x:c r="P244" s="18">
        <x:v>25.353160151260919</x:v>
      </x:c>
      <x:c r="Q244" t="s">
        <x:v>29</x:v>
      </x:c>
      <x:c r="R244" t="s">
        <x:v>102</x:v>
      </x:c>
      <x:c r="S244" t="s">
        <x:v>1014</x:v>
      </x:c>
      <x:c r="T244" t="s">
        <x:v>32</x:v>
      </x:c>
      <x:c r="U244" t="s">
        <x:v>33</x:v>
      </x:c>
      <x:c r="V244" t="s">
        <x:v>26</x:v>
      </x:c>
      <x:c r="W244" s="15">
        <x:v>1</x:v>
      </x:c>
      <x:c r="X244" s="16" t="s">
        <x:v>231</x:v>
      </x:c>
    </x:row>
    <x:row r="245" ht="18">
      <x:c r="A245" s="11" t="s">
        <x:v>1015</x:v>
      </x:c>
      <x:c r="B245" s="3">
        <x:v>27.41</x:v>
      </x:c>
      <x:c r="C245" s="5">
        <x:v>30.404</x:v>
      </x:c>
      <x:c r="D245" s="5">
        <x:f t="shared" si="4"/>
        <x:v>2.9939999999999998</x:v>
      </x:c>
      <x:c r="E245" t="s">
        <x:v>82</x:v>
      </x:c>
      <x:c r="F245" t="s">
        <x:v>26</x:v>
      </x:c>
      <x:c r="G245" t="s">
        <x:v>1016</x:v>
      </x:c>
      <x:c r="H245" t="s">
        <x:v>1017</x:v>
      </x:c>
      <x:c r="I245" s="15"/>
      <x:c r="J245" s="15"/>
      <x:c r="K245" s="15"/>
      <x:c r="L245" s="18"/>
      <x:c r="N245" s="18"/>
      <x:c r="P245" s="18"/>
      <x:c r="V245" t="s">
        <x:v>53</x:v>
      </x:c>
      <x:c r="W245" s="15">
        <x:v>1</x:v>
      </x:c>
      <x:c r="X245" s="16" t="s">
        <x:v>245</x:v>
      </x:c>
    </x:row>
    <x:row r="246" ht="18">
      <x:c r="A246" s="11" t="s">
        <x:v>1018</x:v>
      </x:c>
      <x:c r="B246" s="3">
        <x:v>27.26</x:v>
      </x:c>
      <x:c r="C246" s="5">
        <x:v>30.228000000000002</x:v>
      </x:c>
      <x:c r="D246" s="5">
        <x:f t="shared" si="4"/>
        <x:v>2.968</x:v>
      </x:c>
      <x:c r="E246" t="s">
        <x:v>82</x:v>
      </x:c>
      <x:c r="F246" t="s">
        <x:v>26</x:v>
      </x:c>
      <x:c r="G246" t="s">
        <x:v>1019</x:v>
      </x:c>
      <x:c r="H246" t="s">
        <x:v>1020</x:v>
      </x:c>
      <x:c r="I246" s="15">
        <x:v>16</x:v>
      </x:c>
      <x:c r="J246" s="15">
        <x:v>16</x:v>
      </x:c>
      <x:c r="K246" s="15">
        <x:v>12</x:v>
      </x:c>
      <x:c r="L246" s="18">
        <x:v>29.7</x:v>
      </x:c>
      <x:c r="M246" t="s">
        <x:v>29</x:v>
      </x:c>
      <x:c r="N246" s="18">
        <x:v>30</x:v>
      </x:c>
      <x:c r="O246" t="s">
        <x:v>29</x:v>
      </x:c>
      <x:c r="P246" s="18">
        <x:v>25.353160151260919</x:v>
      </x:c>
      <x:c r="Q246" t="s">
        <x:v>29</x:v>
      </x:c>
      <x:c r="R246" t="s">
        <x:v>290</x:v>
      </x:c>
      <x:c r="S246" t="s">
        <x:v>1021</x:v>
      </x:c>
      <x:c r="T246" t="s">
        <x:v>32</x:v>
      </x:c>
      <x:c r="U246" t="s">
        <x:v>33</x:v>
      </x:c>
      <x:c r="V246" t="s">
        <x:v>26</x:v>
      </x:c>
      <x:c r="W246" s="15">
        <x:v>1</x:v>
      </x:c>
      <x:c r="X246" s="16" t="s">
        <x:v>1022</x:v>
      </x:c>
    </x:row>
    <x:row r="247" ht="18">
      <x:c r="A247" s="11" t="s">
        <x:v>1023</x:v>
      </x:c>
      <x:c r="B247" s="3">
        <x:v>26.41</x:v>
      </x:c>
      <x:c r="C247" s="5">
        <x:v>29.359000000000002</x:v>
      </x:c>
      <x:c r="D247" s="5">
        <x:f t="shared" si="4"/>
        <x:v>2.9490000000000016</x:v>
      </x:c>
      <x:c r="E247" t="s">
        <x:v>82</x:v>
      </x:c>
      <x:c r="F247" t="s">
        <x:v>26</x:v>
      </x:c>
      <x:c r="G247" t="s">
        <x:v>1024</x:v>
      </x:c>
      <x:c r="H247" t="s">
        <x:v>1025</x:v>
      </x:c>
      <x:c r="I247" s="15"/>
      <x:c r="J247" s="15"/>
      <x:c r="K247" s="15"/>
      <x:c r="L247" s="18"/>
      <x:c r="N247" s="18"/>
      <x:c r="P247" s="18"/>
      <x:c r="V247" t="s">
        <x:v>53</x:v>
      </x:c>
      <x:c r="W247" s="15">
        <x:v>11.34</x:v>
      </x:c>
      <x:c r="X247" s="16" t="s">
        <x:v>87</x:v>
      </x:c>
    </x:row>
    <x:row r="248" ht="18">
      <x:c r="A248" s="11" t="s">
        <x:v>1026</x:v>
      </x:c>
      <x:c r="B248" s="3">
        <x:v>26.2</x:v>
      </x:c>
      <x:c r="C248" s="5">
        <x:v>29.073</x:v>
      </x:c>
      <x:c r="D248" s="5">
        <x:f t="shared" si="4"/>
        <x:v>2.8730000000000011</x:v>
      </x:c>
      <x:c r="E248" t="s">
        <x:v>82</x:v>
      </x:c>
      <x:c r="F248" t="s">
        <x:v>26</x:v>
      </x:c>
      <x:c r="G248" t="s">
        <x:v>1027</x:v>
      </x:c>
      <x:c r="H248" t="s">
        <x:v>1028</x:v>
      </x:c>
      <x:c r="I248" s="15">
        <x:v>15</x:v>
      </x:c>
      <x:c r="J248" s="15">
        <x:v>15</x:v>
      </x:c>
      <x:c r="K248" s="15">
        <x:v>11</x:v>
      </x:c>
      <x:c r="L248" s="18">
        <x:v>27.9</x:v>
      </x:c>
      <x:c r="M248" t="s">
        <x:v>29</x:v>
      </x:c>
      <x:c r="N248" s="18">
        <x:v>28</x:v>
      </x:c>
      <x:c r="O248" t="s">
        <x:v>29</x:v>
      </x:c>
      <x:c r="P248" s="18">
        <x:v>25.000420531765116</x:v>
      </x:c>
      <x:c r="Q248" t="s">
        <x:v>29</x:v>
      </x:c>
      <x:c r="R248" t="s">
        <x:v>46</x:v>
      </x:c>
      <x:c r="S248" t="s">
        <x:v>1029</x:v>
      </x:c>
      <x:c r="T248" t="s">
        <x:v>32</x:v>
      </x:c>
      <x:c r="U248" t="s">
        <x:v>33</x:v>
      </x:c>
      <x:c r="V248" t="s">
        <x:v>26</x:v>
      </x:c>
      <x:c r="W248" s="15">
        <x:v>11.34</x:v>
      </x:c>
      <x:c r="X248" s="16" t="s">
        <x:v>87</x:v>
      </x:c>
    </x:row>
    <x:row r="249" ht="18">
      <x:c r="A249" s="11" t="s">
        <x:v>1030</x:v>
      </x:c>
      <x:c r="B249" s="3">
        <x:v>26.2</x:v>
      </x:c>
      <x:c r="C249" s="5">
        <x:v>29.073</x:v>
      </x:c>
      <x:c r="D249" s="5">
        <x:f t="shared" si="4"/>
        <x:v>2.8730000000000011</x:v>
      </x:c>
      <x:c r="E249" t="s">
        <x:v>82</x:v>
      </x:c>
      <x:c r="F249" t="s">
        <x:v>26</x:v>
      </x:c>
      <x:c r="G249" t="s">
        <x:v>1031</x:v>
      </x:c>
      <x:c r="H249" t="s">
        <x:v>1032</x:v>
      </x:c>
      <x:c r="I249" s="15">
        <x:v>15</x:v>
      </x:c>
      <x:c r="J249" s="15">
        <x:v>13</x:v>
      </x:c>
      <x:c r="K249" s="15">
        <x:v>11</x:v>
      </x:c>
      <x:c r="L249" s="18">
        <x:v>27.7</x:v>
      </x:c>
      <x:c r="M249" t="s">
        <x:v>29</x:v>
      </x:c>
      <x:c r="N249" s="18">
        <x:v>28</x:v>
      </x:c>
      <x:c r="O249" t="s">
        <x:v>29</x:v>
      </x:c>
      <x:c r="P249" s="18">
        <x:v>25.000420531765116</x:v>
      </x:c>
      <x:c r="Q249" t="s">
        <x:v>29</x:v>
      </x:c>
      <x:c r="R249" t="s">
        <x:v>30</x:v>
      </x:c>
      <x:c r="S249" t="s">
        <x:v>980</x:v>
      </x:c>
      <x:c r="T249" t="s">
        <x:v>32</x:v>
      </x:c>
      <x:c r="U249" t="s">
        <x:v>33</x:v>
      </x:c>
      <x:c r="V249" t="s">
        <x:v>26</x:v>
      </x:c>
      <x:c r="W249" s="15">
        <x:v>11.34</x:v>
      </x:c>
      <x:c r="X249" s="16" t="s">
        <x:v>87</x:v>
      </x:c>
    </x:row>
    <x:row r="250" ht="18">
      <x:c r="A250" s="11" t="s">
        <x:v>1033</x:v>
      </x:c>
      <x:c r="B250" s="3">
        <x:v>25.89</x:v>
      </x:c>
      <x:c r="C250" s="5">
        <x:v>28.754000000000001</x:v>
      </x:c>
      <x:c r="D250" s="5">
        <x:f t="shared" si="4"/>
        <x:v>2.8640000000000008</x:v>
      </x:c>
      <x:c r="E250" t="s">
        <x:v>50</x:v>
      </x:c>
      <x:c r="F250" t="s">
        <x:v>26</x:v>
      </x:c>
      <x:c r="G250" t="s">
        <x:v>1034</x:v>
      </x:c>
      <x:c r="H250" t="s">
        <x:v>1035</x:v>
      </x:c>
      <x:c r="I250" s="15">
        <x:v>19</x:v>
      </x:c>
      <x:c r="J250" s="15">
        <x:v>17</x:v>
      </x:c>
      <x:c r="K250" s="15">
        <x:v>13</x:v>
      </x:c>
      <x:c r="L250" s="18">
        <x:v>41.5</x:v>
      </x:c>
      <x:c r="M250" t="s">
        <x:v>29</x:v>
      </x:c>
      <x:c r="N250" s="18">
        <x:v>42</x:v>
      </x:c>
      <x:c r="O250" t="s">
        <x:v>29</x:v>
      </x:c>
      <x:c r="P250" s="18">
        <x:v>36.993567594622462</x:v>
      </x:c>
      <x:c r="Q250" t="s">
        <x:v>29</x:v>
      </x:c>
      <x:c r="R250" t="s">
        <x:v>870</x:v>
      </x:c>
      <x:c r="S250" t="s">
        <x:v>1036</x:v>
      </x:c>
      <x:c r="T250" t="s">
        <x:v>32</x:v>
      </x:c>
      <x:c r="U250" t="s">
        <x:v>33</x:v>
      </x:c>
      <x:c r="V250" t="s">
        <x:v>26</x:v>
      </x:c>
      <x:c r="W250" s="15">
        <x:v>0</x:v>
      </x:c>
      <x:c r="X250" s="16" t="s">
        <x:v>914</x:v>
      </x:c>
    </x:row>
    <x:row r="251" ht="18">
      <x:c r="A251" s="11" t="s">
        <x:v>1037</x:v>
      </x:c>
      <x:c r="B251" s="3">
        <x:v>29.56</x:v>
      </x:c>
      <x:c r="C251" s="5">
        <x:v>32.387999999999998</x:v>
      </x:c>
      <x:c r="D251" s="5">
        <x:f t="shared" si="4"/>
        <x:v>2.8279999999999994</x:v>
      </x:c>
      <x:c r="F251" t="s">
        <x:v>53</x:v>
      </x:c>
      <x:c r="I251" s="15">
        <x:v>46</x:v>
      </x:c>
      <x:c r="J251" s="15">
        <x:v>43</x:v>
      </x:c>
      <x:c r="K251" s="15">
        <x:v>33</x:v>
      </x:c>
      <x:c r="L251" s="18">
        <x:v>38.9</x:v>
      </x:c>
      <x:c r="M251" t="s">
        <x:v>29</x:v>
      </x:c>
      <x:c r="N251" s="18">
        <x:v>39</x:v>
      </x:c>
      <x:c r="O251" t="s">
        <x:v>29</x:v>
      </x:c>
      <x:c r="P251" s="18">
        <x:v>31.989074243025733</x:v>
      </x:c>
      <x:c r="Q251" t="s">
        <x:v>29</x:v>
      </x:c>
      <x:c r="R251" t="s">
        <x:v>32</x:v>
      </x:c>
      <x:c r="S251" t="s">
        <x:v>33</x:v>
      </x:c>
      <x:c r="T251" t="s">
        <x:v>92</x:v>
      </x:c>
      <x:c r="U251" t="s">
        <x:v>1038</x:v>
      </x:c>
      <x:c r="V251" t="s">
        <x:v>26</x:v>
      </x:c>
      <x:c r="W251" s="15"/>
      <x:c r="X251" s="16"/>
    </x:row>
    <x:row r="252" ht="18">
      <x:c r="A252" s="11" t="s">
        <x:v>1039</x:v>
      </x:c>
      <x:c r="B252" s="3">
        <x:v>26.25</x:v>
      </x:c>
      <x:c r="C252" s="5">
        <x:v>29.073</x:v>
      </x:c>
      <x:c r="D252" s="5">
        <x:f t="shared" si="4"/>
        <x:v>2.8230000000000004</x:v>
      </x:c>
      <x:c r="E252" t="s">
        <x:v>82</x:v>
      </x:c>
      <x:c r="F252" t="s">
        <x:v>26</x:v>
      </x:c>
      <x:c r="G252" t="s">
        <x:v>1040</x:v>
      </x:c>
      <x:c r="H252" t="s">
        <x:v>1041</x:v>
      </x:c>
      <x:c r="I252" s="15">
        <x:v>15</x:v>
      </x:c>
      <x:c r="J252" s="15">
        <x:v>15</x:v>
      </x:c>
      <x:c r="K252" s="15">
        <x:v>14</x:v>
      </x:c>
      <x:c r="L252" s="18">
        <x:v>27.7</x:v>
      </x:c>
      <x:c r="M252" t="s">
        <x:v>29</x:v>
      </x:c>
      <x:c r="N252" s="18">
        <x:v>28</x:v>
      </x:c>
      <x:c r="O252" t="s">
        <x:v>29</x:v>
      </x:c>
      <x:c r="P252" s="18">
        <x:v>25.000420531765116</x:v>
      </x:c>
      <x:c r="Q252" t="s">
        <x:v>29</x:v>
      </x:c>
      <x:c r="R252" t="s">
        <x:v>66</x:v>
      </x:c>
      <x:c r="S252" t="s">
        <x:v>1042</x:v>
      </x:c>
      <x:c r="T252" t="s">
        <x:v>32</x:v>
      </x:c>
      <x:c r="U252" t="s">
        <x:v>33</x:v>
      </x:c>
      <x:c r="V252" t="s">
        <x:v>26</x:v>
      </x:c>
      <x:c r="W252" s="15">
        <x:v>11.34</x:v>
      </x:c>
      <x:c r="X252" s="16" t="s">
        <x:v>87</x:v>
      </x:c>
    </x:row>
    <x:row r="253" ht="18">
      <x:c r="A253" s="11" t="s">
        <x:v>1043</x:v>
      </x:c>
      <x:c r="B253" s="3">
        <x:v>26.31</x:v>
      </x:c>
      <x:c r="C253" s="5">
        <x:v>29.128</x:v>
      </x:c>
      <x:c r="D253" s="5">
        <x:f t="shared" si="4"/>
        <x:v>2.8180000000000014</x:v>
      </x:c>
      <x:c r="E253" t="s">
        <x:v>82</x:v>
      </x:c>
      <x:c r="F253" t="s">
        <x:v>26</x:v>
      </x:c>
      <x:c r="G253" t="s">
        <x:v>1044</x:v>
      </x:c>
      <x:c r="H253" t="s">
        <x:v>1045</x:v>
      </x:c>
      <x:c r="I253" s="15">
        <x:v>15</x:v>
      </x:c>
      <x:c r="J253" s="15">
        <x:v>15</x:v>
      </x:c>
      <x:c r="K253" s="15">
        <x:v>11</x:v>
      </x:c>
      <x:c r="L253" s="18">
        <x:v>28</x:v>
      </x:c>
      <x:c r="M253" t="s">
        <x:v>29</x:v>
      </x:c>
      <x:c r="N253" s="18">
        <x:v>28</x:v>
      </x:c>
      <x:c r="O253" t="s">
        <x:v>29</x:v>
      </x:c>
      <x:c r="P253" s="18">
        <x:v>25.000420531765116</x:v>
      </x:c>
      <x:c r="Q253" t="s">
        <x:v>29</x:v>
      </x:c>
      <x:c r="R253" t="s">
        <x:v>30</x:v>
      </x:c>
      <x:c r="S253" t="s">
        <x:v>1046</x:v>
      </x:c>
      <x:c r="T253" t="s">
        <x:v>32</x:v>
      </x:c>
      <x:c r="U253" t="s">
        <x:v>33</x:v>
      </x:c>
      <x:c r="V253" t="s">
        <x:v>26</x:v>
      </x:c>
      <x:c r="W253" s="15">
        <x:v>11.34</x:v>
      </x:c>
      <x:c r="X253" s="16" t="s">
        <x:v>87</x:v>
      </x:c>
    </x:row>
    <x:row r="254" ht="18">
      <x:c r="A254" s="11" t="s">
        <x:v>1047</x:v>
      </x:c>
      <x:c r="B254" s="3">
        <x:v>71.94</x:v>
      </x:c>
      <x:c r="C254" s="5">
        <x:v>74.756</x:v>
      </x:c>
      <x:c r="D254" s="5">
        <x:f t="shared" si="4"/>
        <x:v>2.8160000000000025</x:v>
      </x:c>
      <x:c r="E254" t="s">
        <x:v>43</x:v>
      </x:c>
      <x:c r="F254" t="s">
        <x:v>26</x:v>
      </x:c>
      <x:c r="G254" t="s">
        <x:v>1048</x:v>
      </x:c>
      <x:c r="H254" t="s">
        <x:v>1049</x:v>
      </x:c>
      <x:c r="I254" s="15">
        <x:v>19</x:v>
      </x:c>
      <x:c r="J254" s="15">
        <x:v>16</x:v>
      </x:c>
      <x:c r="K254" s="15">
        <x:v>16</x:v>
      </x:c>
      <x:c r="L254" s="18">
        <x:v>65.599999999999994</x:v>
      </x:c>
      <x:c r="M254" t="s">
        <x:v>29</x:v>
      </x:c>
      <x:c r="N254" s="18">
        <x:v>66</x:v>
      </x:c>
      <x:c r="O254" t="s">
        <x:v>29</x:v>
      </x:c>
      <x:c r="P254" s="18">
        <x:v>55.997414594958897</x:v>
      </x:c>
      <x:c r="Q254" t="s">
        <x:v>29</x:v>
      </x:c>
      <x:c r="R254" t="s">
        <x:v>39</x:v>
      </x:c>
      <x:c r="S254" t="s">
        <x:v>1050</x:v>
      </x:c>
      <x:c r="T254" t="s">
        <x:v>32</x:v>
      </x:c>
      <x:c r="U254" t="s">
        <x:v>33</x:v>
      </x:c>
      <x:c r="V254" t="s">
        <x:v>26</x:v>
      </x:c>
      <x:c r="W254" s="15">
        <x:v>25.401</x:v>
      </x:c>
      <x:c r="X254" s="16" t="s">
        <x:v>774</x:v>
      </x:c>
    </x:row>
    <x:row r="255" ht="18">
      <x:c r="A255" s="11" t="s">
        <x:v>1051</x:v>
      </x:c>
      <x:c r="B255" s="3">
        <x:v>27.46</x:v>
      </x:c>
      <x:c r="C255" s="5">
        <x:v>30.228000000000002</x:v>
      </x:c>
      <x:c r="D255" s="5">
        <x:f t="shared" si="4"/>
        <x:v>2.7680000000000007</x:v>
      </x:c>
      <x:c r="E255" t="s">
        <x:v>82</x:v>
      </x:c>
      <x:c r="F255" t="s">
        <x:v>26</x:v>
      </x:c>
      <x:c r="G255" t="s">
        <x:v>1052</x:v>
      </x:c>
      <x:c r="H255" t="s">
        <x:v>1053</x:v>
      </x:c>
      <x:c r="I255" s="15">
        <x:v>16</x:v>
      </x:c>
      <x:c r="J255" s="15">
        <x:v>16</x:v>
      </x:c>
      <x:c r="K255" s="15">
        <x:v>12</x:v>
      </x:c>
      <x:c r="L255" s="18">
        <x:v>29.5</x:v>
      </x:c>
      <x:c r="M255" t="s">
        <x:v>29</x:v>
      </x:c>
      <x:c r="N255" s="18">
        <x:v>30</x:v>
      </x:c>
      <x:c r="O255" t="s">
        <x:v>29</x:v>
      </x:c>
      <x:c r="P255" s="18">
        <x:v>26.455471462185308</x:v>
      </x:c>
      <x:c r="Q255" t="s">
        <x:v>29</x:v>
      </x:c>
      <x:c r="R255" t="s">
        <x:v>497</x:v>
      </x:c>
      <x:c r="S255" t="s">
        <x:v>1054</x:v>
      </x:c>
      <x:c r="T255" t="s">
        <x:v>32</x:v>
      </x:c>
      <x:c r="U255" t="s">
        <x:v>33</x:v>
      </x:c>
      <x:c r="V255" t="s">
        <x:v>26</x:v>
      </x:c>
      <x:c r="W255" s="15">
        <x:v>1</x:v>
      </x:c>
      <x:c r="X255" s="16" t="s">
        <x:v>245</x:v>
      </x:c>
    </x:row>
    <x:row r="256" ht="18">
      <x:c r="A256" s="11" t="s">
        <x:v>1055</x:v>
      </x:c>
      <x:c r="B256" s="3">
        <x:v>26.31</x:v>
      </x:c>
      <x:c r="C256" s="5">
        <x:v>29.073</x:v>
      </x:c>
      <x:c r="D256" s="5">
        <x:f t="shared" si="4"/>
        <x:v>2.7630000000000017</x:v>
      </x:c>
      <x:c r="E256" t="s">
        <x:v>82</x:v>
      </x:c>
      <x:c r="F256" t="s">
        <x:v>26</x:v>
      </x:c>
      <x:c r="G256" t="s">
        <x:v>1056</x:v>
      </x:c>
      <x:c r="H256" t="s">
        <x:v>1057</x:v>
      </x:c>
      <x:c r="I256" s="15">
        <x:v>15</x:v>
      </x:c>
      <x:c r="J256" s="15">
        <x:v>15</x:v>
      </x:c>
      <x:c r="K256" s="15">
        <x:v>11</x:v>
      </x:c>
      <x:c r="L256" s="18">
        <x:v>27.7</x:v>
      </x:c>
      <x:c r="M256" t="s">
        <x:v>29</x:v>
      </x:c>
      <x:c r="N256" s="18">
        <x:v>28</x:v>
      </x:c>
      <x:c r="O256" t="s">
        <x:v>29</x:v>
      </x:c>
      <x:c r="P256" s="18">
        <x:v>25.000420531765116</x:v>
      </x:c>
      <x:c r="Q256" t="s">
        <x:v>29</x:v>
      </x:c>
      <x:c r="R256" t="s">
        <x:v>46</x:v>
      </x:c>
      <x:c r="S256" t="s">
        <x:v>1058</x:v>
      </x:c>
      <x:c r="T256" t="s">
        <x:v>32</x:v>
      </x:c>
      <x:c r="U256" t="s">
        <x:v>33</x:v>
      </x:c>
      <x:c r="V256" t="s">
        <x:v>26</x:v>
      </x:c>
      <x:c r="W256" s="15">
        <x:v>11.34</x:v>
      </x:c>
      <x:c r="X256" s="16" t="s">
        <x:v>87</x:v>
      </x:c>
    </x:row>
    <x:row r="257" ht="18">
      <x:c r="A257" s="11" t="s">
        <x:v>1059</x:v>
      </x:c>
      <x:c r="B257" s="3">
        <x:v>17.5</x:v>
      </x:c>
      <x:c r="C257" s="5">
        <x:v>20.262</x:v>
      </x:c>
      <x:c r="D257" s="5">
        <x:f t="shared" si="4"/>
        <x:v>2.7620000000000005</x:v>
      </x:c>
      <x:c r="F257" t="s">
        <x:v>53</x:v>
      </x:c>
      <x:c r="I257" s="15"/>
      <x:c r="J257" s="15"/>
      <x:c r="K257" s="15"/>
      <x:c r="L257" s="18"/>
      <x:c r="N257" s="18"/>
      <x:c r="P257" s="18"/>
      <x:c r="V257" t="s">
        <x:v>53</x:v>
      </x:c>
      <x:c r="W257" s="15">
        <x:v>11.34</x:v>
      </x:c>
      <x:c r="X257" s="16" t="s">
        <x:v>87</x:v>
      </x:c>
    </x:row>
    <x:row r="258" ht="18">
      <x:c r="A258" s="11" t="s">
        <x:v>1060</x:v>
      </x:c>
      <x:c r="B258" s="3">
        <x:v>23.06</x:v>
      </x:c>
      <x:c r="C258" s="5">
        <x:v>25.806000000000001</x:v>
      </x:c>
      <x:c r="D258" s="5">
        <x:f t="shared" si="4"/>
        <x:v>2.7460000000000022</x:v>
      </x:c>
      <x:c r="E258" t="s">
        <x:v>776</x:v>
      </x:c>
      <x:c r="F258" t="s">
        <x:v>26</x:v>
      </x:c>
      <x:c r="G258" t="s">
        <x:v>1061</x:v>
      </x:c>
      <x:c r="H258" t="s">
        <x:v>1062</x:v>
      </x:c>
      <x:c r="I258" s="15">
        <x:v>22</x:v>
      </x:c>
      <x:c r="J258" s="15">
        <x:v>18</x:v>
      </x:c>
      <x:c r="K258" s="15">
        <x:v>13</x:v>
      </x:c>
      <x:c r="L258" s="18">
        <x:v>30</x:v>
      </x:c>
      <x:c r="M258" t="s">
        <x:v>29</x:v>
      </x:c>
      <x:c r="N258" s="18">
        <x:v>32</x:v>
      </x:c>
      <x:c r="O258" t="s">
        <x:v>29</x:v>
      </x:c>
      <x:c r="P258" s="18">
        <x:v>26.455471462185308</x:v>
      </x:c>
      <x:c r="Q258" t="s">
        <x:v>29</x:v>
      </x:c>
      <x:c r="R258" t="s">
        <x:v>199</x:v>
      </x:c>
      <x:c r="S258" t="s">
        <x:v>1063</x:v>
      </x:c>
      <x:c r="T258" t="s">
        <x:v>32</x:v>
      </x:c>
      <x:c r="U258" t="s">
        <x:v>33</x:v>
      </x:c>
      <x:c r="V258" t="s">
        <x:v>26</x:v>
      </x:c>
      <x:c r="W258" s="15">
        <x:v>1</x:v>
      </x:c>
      <x:c r="X258" s="16" t="s">
        <x:v>245</x:v>
      </x:c>
    </x:row>
    <x:row r="259" ht="18">
      <x:c r="A259" s="11" t="s">
        <x:v>1064</x:v>
      </x:c>
      <x:c r="B259" s="3">
        <x:v>26.5</x:v>
      </x:c>
      <x:c r="C259" s="5">
        <x:v>29.227</x:v>
      </x:c>
      <x:c r="D259" s="5" t="n">
        <x:f t="shared" ref="D259:D307" si="5">C259-B259</x:f>
        <x:v>2.7270000000000003</x:v>
      </x:c>
      <x:c r="E259" t="s">
        <x:v>50</x:v>
      </x:c>
      <x:c r="F259" t="s">
        <x:v>26</x:v>
      </x:c>
      <x:c r="G259" t="s">
        <x:v>1065</x:v>
      </x:c>
      <x:c r="H259" t="s">
        <x:v>1066</x:v>
      </x:c>
      <x:c r="I259" s="15">
        <x:v>19</x:v>
      </x:c>
      <x:c r="J259" s="15">
        <x:v>17</x:v>
      </x:c>
      <x:c r="K259" s="15">
        <x:v>13</x:v>
      </x:c>
      <x:c r="L259" s="18">
        <x:v>42.7</x:v>
      </x:c>
      <x:c r="M259" t="s">
        <x:v>29</x:v>
      </x:c>
      <x:c r="N259" s="18">
        <x:v>43</x:v>
      </x:c>
      <x:c r="O259" t="s">
        <x:v>29</x:v>
      </x:c>
      <x:c r="P259" s="18">
        <x:v>37.985647774454407</x:v>
      </x:c>
      <x:c r="Q259" t="s">
        <x:v>29</x:v>
      </x:c>
      <x:c r="R259" t="s">
        <x:v>870</x:v>
      </x:c>
      <x:c r="S259" t="s">
        <x:v>1067</x:v>
      </x:c>
      <x:c r="T259" t="s">
        <x:v>32</x:v>
      </x:c>
      <x:c r="U259" t="s">
        <x:v>33</x:v>
      </x:c>
      <x:c r="V259" t="s">
        <x:v>26</x:v>
      </x:c>
      <x:c r="W259" s="15">
        <x:v>17.236999999999998</x:v>
      </x:c>
      <x:c r="X259" s="16" t="s">
        <x:v>54</x:v>
      </x:c>
    </x:row>
    <x:row r="260" ht="18">
      <x:c r="A260" s="11" t="s">
        <x:v>1068</x:v>
      </x:c>
      <x:c r="B260" s="3">
        <x:v>21.67</x:v>
      </x:c>
      <x:c r="C260" s="5">
        <x:v>24.353999999999999</x:v>
      </x:c>
      <x:c r="D260" s="5">
        <x:f t="shared" si="5"/>
        <x:v>2.6839999999999975</x:v>
      </x:c>
      <x:c r="E260" t="s">
        <x:v>82</x:v>
      </x:c>
      <x:c r="F260" t="s">
        <x:v>26</x:v>
      </x:c>
      <x:c r="G260" t="s">
        <x:v>1069</x:v>
      </x:c>
      <x:c r="H260" t="s">
        <x:v>1070</x:v>
      </x:c>
      <x:c r="I260" s="15">
        <x:v>16</x:v>
      </x:c>
      <x:c r="J260" s="15">
        <x:v>16</x:v>
      </x:c>
      <x:c r="K260" s="15">
        <x:v>12</x:v>
      </x:c>
      <x:c r="L260" s="18">
        <x:v>28.3</x:v>
      </x:c>
      <x:c r="M260" t="s">
        <x:v>29</x:v>
      </x:c>
      <x:c r="N260" s="18">
        <x:v>29</x:v>
      </x:c>
      <x:c r="O260" t="s">
        <x:v>29</x:v>
      </x:c>
      <x:c r="P260" s="18">
        <x:v>25.000420531765116</x:v>
      </x:c>
      <x:c r="Q260" t="s">
        <x:v>29</x:v>
      </x:c>
      <x:c r="R260" t="s">
        <x:v>127</x:v>
      </x:c>
      <x:c r="S260" t="s">
        <x:v>1071</x:v>
      </x:c>
      <x:c r="T260" t="s">
        <x:v>32</x:v>
      </x:c>
      <x:c r="U260" t="s">
        <x:v>33</x:v>
      </x:c>
      <x:c r="V260" t="s">
        <x:v>26</x:v>
      </x:c>
      <x:c r="W260" s="15">
        <x:v>0</x:v>
      </x:c>
      <x:c r="X260" s="16" t="s">
        <x:v>1072</x:v>
      </x:c>
    </x:row>
    <x:row r="261" ht="18">
      <x:c r="A261" s="11" t="s">
        <x:v>1073</x:v>
      </x:c>
      <x:c r="B261" s="3">
        <x:v>20.2</x:v>
      </x:c>
      <x:c r="C261" s="5">
        <x:v>22.858000000000001</x:v>
      </x:c>
      <x:c r="D261" s="5">
        <x:f t="shared" si="5"/>
        <x:v>2.6580000000000013</x:v>
      </x:c>
      <x:c r="E261" t="s">
        <x:v>82</x:v>
      </x:c>
      <x:c r="F261" t="s">
        <x:v>26</x:v>
      </x:c>
      <x:c r="G261" t="s">
        <x:v>1074</x:v>
      </x:c>
      <x:c r="H261" t="s">
        <x:v>1075</x:v>
      </x:c>
      <x:c r="I261" s="15">
        <x:v>16</x:v>
      </x:c>
      <x:c r="J261" s="15">
        <x:v>16</x:v>
      </x:c>
      <x:c r="K261" s="15">
        <x:v>12</x:v>
      </x:c>
      <x:c r="L261" s="18">
        <x:v>29.8</x:v>
      </x:c>
      <x:c r="M261" t="s">
        <x:v>29</x:v>
      </x:c>
      <x:c r="N261" s="18">
        <x:v>30</x:v>
      </x:c>
      <x:c r="O261" t="s">
        <x:v>29</x:v>
      </x:c>
      <x:c r="P261" s="18">
        <x:v>25.000420531765116</x:v>
      </x:c>
      <x:c r="Q261" t="s">
        <x:v>29</x:v>
      </x:c>
      <x:c r="R261" t="s">
        <x:v>412</x:v>
      </x:c>
      <x:c r="S261" t="s">
        <x:v>1076</x:v>
      </x:c>
      <x:c r="T261" t="s">
        <x:v>32</x:v>
      </x:c>
      <x:c r="U261" t="s">
        <x:v>33</x:v>
      </x:c>
      <x:c r="V261" t="s">
        <x:v>26</x:v>
      </x:c>
      <x:c r="W261" s="15">
        <x:v>11.34</x:v>
      </x:c>
      <x:c r="X261" s="16" t="s">
        <x:v>87</x:v>
      </x:c>
    </x:row>
    <x:row r="262" ht="18">
      <x:c r="A262" s="11" t="s">
        <x:v>1077</x:v>
      </x:c>
      <x:c r="B262" s="3">
        <x:v>36.65</x:v>
      </x:c>
      <x:c r="C262" s="5">
        <x:v>39.302999999999997</x:v>
      </x:c>
      <x:c r="D262" s="5">
        <x:f t="shared" si="5"/>
        <x:v>2.6529999999999987</x:v>
      </x:c>
      <x:c r="E262" t="s">
        <x:v>50</x:v>
      </x:c>
      <x:c r="F262" t="s">
        <x:v>26</x:v>
      </x:c>
      <x:c r="G262" t="s">
        <x:v>1078</x:v>
      </x:c>
      <x:c r="H262" t="s">
        <x:v>1079</x:v>
      </x:c>
      <x:c r="I262" s="15"/>
      <x:c r="J262" s="15"/>
      <x:c r="K262" s="15"/>
      <x:c r="L262" s="18"/>
      <x:c r="N262" s="18"/>
      <x:c r="P262" s="18"/>
      <x:c r="V262" t="s">
        <x:v>53</x:v>
      </x:c>
      <x:c r="W262" s="15">
        <x:v>17.236999999999998</x:v>
      </x:c>
      <x:c r="X262" s="16" t="s">
        <x:v>54</x:v>
      </x:c>
    </x:row>
    <x:row r="263" ht="18">
      <x:c r="A263" s="11" t="s">
        <x:v>1080</x:v>
      </x:c>
      <x:c r="B263" s="3">
        <x:v>21.76</x:v>
      </x:c>
      <x:c r="C263" s="5">
        <x:v>24.408999999999999</x:v>
      </x:c>
      <x:c r="D263" s="5">
        <x:f t="shared" si="5"/>
        <x:v>2.6489999999999974</x:v>
      </x:c>
      <x:c r="E263" t="s">
        <x:v>82</x:v>
      </x:c>
      <x:c r="F263" t="s">
        <x:v>26</x:v>
      </x:c>
      <x:c r="G263" t="s">
        <x:v>1081</x:v>
      </x:c>
      <x:c r="H263" t="s">
        <x:v>1082</x:v>
      </x:c>
      <x:c r="I263" s="15">
        <x:v>16</x:v>
      </x:c>
      <x:c r="J263" s="15">
        <x:v>16</x:v>
      </x:c>
      <x:c r="K263" s="15">
        <x:v>12</x:v>
      </x:c>
      <x:c r="L263" s="18">
        <x:v>28.9</x:v>
      </x:c>
      <x:c r="M263" t="s">
        <x:v>29</x:v>
      </x:c>
      <x:c r="N263" s="18">
        <x:v>29</x:v>
      </x:c>
      <x:c r="O263" t="s">
        <x:v>29</x:v>
      </x:c>
      <x:c r="P263" s="18">
        <x:v>25.000420531765116</x:v>
      </x:c>
      <x:c r="Q263" t="s">
        <x:v>29</x:v>
      </x:c>
      <x:c r="R263" t="s">
        <x:v>757</x:v>
      </x:c>
      <x:c r="S263" t="s">
        <x:v>1083</x:v>
      </x:c>
      <x:c r="T263" t="s">
        <x:v>32</x:v>
      </x:c>
      <x:c r="U263" t="s">
        <x:v>33</x:v>
      </x:c>
      <x:c r="V263" t="s">
        <x:v>26</x:v>
      </x:c>
      <x:c r="W263" s="15">
        <x:v>11.34</x:v>
      </x:c>
      <x:c r="X263" s="16" t="s">
        <x:v>87</x:v>
      </x:c>
    </x:row>
    <x:row r="264" ht="18">
      <x:c r="A264" s="11" t="s">
        <x:v>1084</x:v>
      </x:c>
      <x:c r="B264" s="3">
        <x:v>21.72</x:v>
      </x:c>
      <x:c r="C264" s="5">
        <x:v>24.353999999999999</x:v>
      </x:c>
      <x:c r="D264" s="5">
        <x:f t="shared" si="5"/>
        <x:v>2.6340000000000003</x:v>
      </x:c>
      <x:c r="E264" t="s">
        <x:v>82</x:v>
      </x:c>
      <x:c r="F264" t="s">
        <x:v>26</x:v>
      </x:c>
      <x:c r="G264" t="s">
        <x:v>1085</x:v>
      </x:c>
      <x:c r="H264" t="s">
        <x:v>1086</x:v>
      </x:c>
      <x:c r="I264" s="15">
        <x:v>19</x:v>
      </x:c>
      <x:c r="J264" s="15">
        <x:v>17</x:v>
      </x:c>
      <x:c r="K264" s="15">
        <x:v>13</x:v>
      </x:c>
      <x:c r="L264" s="18">
        <x:v>28.8</x:v>
      </x:c>
      <x:c r="M264" t="s">
        <x:v>29</x:v>
      </x:c>
      <x:c r="N264" s="18">
        <x:v>29</x:v>
      </x:c>
      <x:c r="O264" t="s">
        <x:v>29</x:v>
      </x:c>
      <x:c r="P264" s="18">
        <x:v>25.000420531765116</x:v>
      </x:c>
      <x:c r="Q264" t="s">
        <x:v>29</x:v>
      </x:c>
      <x:c r="R264" t="s">
        <x:v>73</x:v>
      </x:c>
      <x:c r="S264" t="s">
        <x:v>1087</x:v>
      </x:c>
      <x:c r="T264" t="s">
        <x:v>32</x:v>
      </x:c>
      <x:c r="U264" t="s">
        <x:v>33</x:v>
      </x:c>
      <x:c r="V264" t="s">
        <x:v>26</x:v>
      </x:c>
      <x:c r="W264" s="15">
        <x:v>11.34</x:v>
      </x:c>
      <x:c r="X264" s="16" t="s">
        <x:v>87</x:v>
      </x:c>
    </x:row>
    <x:row r="265" ht="18">
      <x:c r="A265" s="11" t="s">
        <x:v>1088</x:v>
      </x:c>
      <x:c r="B265" s="3">
        <x:v>21.72</x:v>
      </x:c>
      <x:c r="C265" s="5">
        <x:v>24.353999999999999</x:v>
      </x:c>
      <x:c r="D265" s="5">
        <x:f t="shared" si="5"/>
        <x:v>2.6340000000000003</x:v>
      </x:c>
      <x:c r="F265" t="s">
        <x:v>53</x:v>
      </x:c>
      <x:c r="I265" s="15">
        <x:v>16</x:v>
      </x:c>
      <x:c r="J265" s="15">
        <x:v>16</x:v>
      </x:c>
      <x:c r="K265" s="15">
        <x:v>12</x:v>
      </x:c>
      <x:c r="L265" s="18">
        <x:v>28.2</x:v>
      </x:c>
      <x:c r="M265" t="s">
        <x:v>29</x:v>
      </x:c>
      <x:c r="N265" s="18">
        <x:v>29</x:v>
      </x:c>
      <x:c r="O265" t="s">
        <x:v>29</x:v>
      </x:c>
      <x:c r="P265" s="18">
        <x:v>25.000420531765116</x:v>
      </x:c>
      <x:c r="Q265" t="s">
        <x:v>29</x:v>
      </x:c>
      <x:c r="R265" t="s">
        <x:v>199</x:v>
      </x:c>
      <x:c r="S265" t="s">
        <x:v>1089</x:v>
      </x:c>
      <x:c r="T265" t="s">
        <x:v>32</x:v>
      </x:c>
      <x:c r="U265" t="s">
        <x:v>33</x:v>
      </x:c>
      <x:c r="V265" t="s">
        <x:v>26</x:v>
      </x:c>
      <x:c r="W265" s="15">
        <x:v>11.34</x:v>
      </x:c>
      <x:c r="X265" s="16" t="s">
        <x:v>87</x:v>
      </x:c>
    </x:row>
    <x:row r="266" ht="18">
      <x:c r="A266" s="11" t="s">
        <x:v>1090</x:v>
      </x:c>
      <x:c r="B266" s="3">
        <x:v>36.729999999999997</x:v>
      </x:c>
      <x:c r="C266" s="5">
        <x:v>39.347000000000001</x:v>
      </x:c>
      <x:c r="D266" s="5">
        <x:f t="shared" si="5"/>
        <x:v>2.6170000000000044</x:v>
      </x:c>
      <x:c r="E266" t="s">
        <x:v>50</x:v>
      </x:c>
      <x:c r="F266" t="s">
        <x:v>26</x:v>
      </x:c>
      <x:c r="G266" t="s">
        <x:v>1091</x:v>
      </x:c>
      <x:c r="H266" t="s">
        <x:v>1092</x:v>
      </x:c>
      <x:c r="I266" s="15">
        <x:v>18</x:v>
      </x:c>
      <x:c r="J266" s="15">
        <x:v>18</x:v>
      </x:c>
      <x:c r="K266" s="15">
        <x:v>17</x:v>
      </x:c>
      <x:c r="L266" s="18">
        <x:v>41.6</x:v>
      </x:c>
      <x:c r="M266" t="s">
        <x:v>29</x:v>
      </x:c>
      <x:c r="N266" s="18">
        <x:v>42</x:v>
      </x:c>
      <x:c r="O266" t="s">
        <x:v>29</x:v>
      </x:c>
      <x:c r="P266" s="18">
        <x:v>37.985647774454407</x:v>
      </x:c>
      <x:c r="Q266" t="s">
        <x:v>29</x:v>
      </x:c>
      <x:c r="R266" t="s">
        <x:v>30</x:v>
      </x:c>
      <x:c r="S266" t="s">
        <x:v>477</x:v>
      </x:c>
      <x:c r="T266" t="s">
        <x:v>32</x:v>
      </x:c>
      <x:c r="U266" t="s">
        <x:v>33</x:v>
      </x:c>
      <x:c r="V266" t="s">
        <x:v>26</x:v>
      </x:c>
      <x:c r="W266" s="15">
        <x:v>0</x:v>
      </x:c>
      <x:c r="X266" s="16" t="s">
        <x:v>914</x:v>
      </x:c>
    </x:row>
    <x:row r="267" ht="18">
      <x:c r="A267" s="11" t="s">
        <x:v>1093</x:v>
      </x:c>
      <x:c r="B267" s="3">
        <x:v>36.44</x:v>
      </x:c>
      <x:c r="C267" s="5">
        <x:v>39.039000000000001</x:v>
      </x:c>
      <x:c r="D267" s="5">
        <x:f t="shared" si="5"/>
        <x:v>2.5990000000000038</x:v>
      </x:c>
      <x:c r="E267" t="s">
        <x:v>50</x:v>
      </x:c>
      <x:c r="F267" t="s">
        <x:v>26</x:v>
      </x:c>
      <x:c r="G267" t="s">
        <x:v>1094</x:v>
      </x:c>
      <x:c r="H267" t="s">
        <x:v>1095</x:v>
      </x:c>
      <x:c r="I267" s="15">
        <x:v>19</x:v>
      </x:c>
      <x:c r="J267" s="15">
        <x:v>17</x:v>
      </x:c>
      <x:c r="K267" s="15">
        <x:v>13</x:v>
      </x:c>
      <x:c r="L267" s="18">
        <x:v>41.8</x:v>
      </x:c>
      <x:c r="M267" t="s">
        <x:v>29</x:v>
      </x:c>
      <x:c r="N267" s="18">
        <x:v>42</x:v>
      </x:c>
      <x:c r="O267" t="s">
        <x:v>29</x:v>
      </x:c>
      <x:c r="P267" s="18">
        <x:v>37.985647774454407</x:v>
      </x:c>
      <x:c r="Q267" t="s">
        <x:v>29</x:v>
      </x:c>
      <x:c r="R267" t="s">
        <x:v>102</x:v>
      </x:c>
      <x:c r="S267" t="s">
        <x:v>1096</x:v>
      </x:c>
      <x:c r="T267" t="s">
        <x:v>32</x:v>
      </x:c>
      <x:c r="U267" t="s">
        <x:v>33</x:v>
      </x:c>
      <x:c r="V267" t="s">
        <x:v>26</x:v>
      </x:c>
      <x:c r="W267" s="15">
        <x:v>17.236999999999998</x:v>
      </x:c>
      <x:c r="X267" s="16" t="s">
        <x:v>54</x:v>
      </x:c>
    </x:row>
    <x:row r="268" ht="18">
      <x:c r="A268" s="11" t="s">
        <x:v>1097</x:v>
      </x:c>
      <x:c r="B268" s="3">
        <x:v>36.44</x:v>
      </x:c>
      <x:c r="C268" s="5">
        <x:v>39.039000000000001</x:v>
      </x:c>
      <x:c r="D268" s="5">
        <x:f t="shared" si="5"/>
        <x:v>2.5990000000000038</x:v>
      </x:c>
      <x:c r="E268" t="s">
        <x:v>50</x:v>
      </x:c>
      <x:c r="F268" t="s">
        <x:v>26</x:v>
      </x:c>
      <x:c r="G268" t="s">
        <x:v>1098</x:v>
      </x:c>
      <x:c r="H268" t="s">
        <x:v>1099</x:v>
      </x:c>
      <x:c r="I268" s="15">
        <x:v>19</x:v>
      </x:c>
      <x:c r="J268" s="15">
        <x:v>19</x:v>
      </x:c>
      <x:c r="K268" s="15">
        <x:v>14</x:v>
      </x:c>
      <x:c r="L268" s="18">
        <x:v>41.5</x:v>
      </x:c>
      <x:c r="M268" t="s">
        <x:v>29</x:v>
      </x:c>
      <x:c r="N268" s="18">
        <x:v>42</x:v>
      </x:c>
      <x:c r="O268" t="s">
        <x:v>29</x:v>
      </x:c>
      <x:c r="P268" s="18">
        <x:v>37.985647774454407</x:v>
      </x:c>
      <x:c r="Q268" t="s">
        <x:v>29</x:v>
      </x:c>
      <x:c r="R268" t="s">
        <x:v>146</x:v>
      </x:c>
      <x:c r="S268" t="s">
        <x:v>1100</x:v>
      </x:c>
      <x:c r="T268" t="s">
        <x:v>32</x:v>
      </x:c>
      <x:c r="U268" t="s">
        <x:v>33</x:v>
      </x:c>
      <x:c r="V268" t="s">
        <x:v>26</x:v>
      </x:c>
      <x:c r="W268" s="15">
        <x:v>17.236999999999998</x:v>
      </x:c>
      <x:c r="X268" s="16" t="s">
        <x:v>54</x:v>
      </x:c>
    </x:row>
    <x:row r="269" ht="18">
      <x:c r="A269" s="11" t="s">
        <x:v>1101</x:v>
      </x:c>
      <x:c r="B269" s="3">
        <x:v>21.72</x:v>
      </x:c>
      <x:c r="C269" s="5">
        <x:v>24.31</x:v>
      </x:c>
      <x:c r="D269" s="5">
        <x:f t="shared" si="5"/>
        <x:v>2.59</x:v>
      </x:c>
      <x:c r="E269" t="s">
        <x:v>82</x:v>
      </x:c>
      <x:c r="F269" t="s">
        <x:v>26</x:v>
      </x:c>
      <x:c r="G269" t="s">
        <x:v>1102</x:v>
      </x:c>
      <x:c r="H269" t="s">
        <x:v>1103</x:v>
      </x:c>
      <x:c r="I269" s="15">
        <x:v>16</x:v>
      </x:c>
      <x:c r="J269" s="15">
        <x:v>16</x:v>
      </x:c>
      <x:c r="K269" s="15">
        <x:v>12</x:v>
      </x:c>
      <x:c r="L269" s="18">
        <x:v>28.5</x:v>
      </x:c>
      <x:c r="M269" t="s">
        <x:v>29</x:v>
      </x:c>
      <x:c r="N269" s="18">
        <x:v>29</x:v>
      </x:c>
      <x:c r="O269" t="s">
        <x:v>29</x:v>
      </x:c>
      <x:c r="P269" s="18">
        <x:v>25.000420531765116</x:v>
      </x:c>
      <x:c r="Q269" t="s">
        <x:v>29</x:v>
      </x:c>
      <x:c r="R269" t="s">
        <x:v>199</x:v>
      </x:c>
      <x:c r="S269" t="s">
        <x:v>1104</x:v>
      </x:c>
      <x:c r="T269" t="s">
        <x:v>32</x:v>
      </x:c>
      <x:c r="U269" t="s">
        <x:v>33</x:v>
      </x:c>
      <x:c r="V269" t="s">
        <x:v>26</x:v>
      </x:c>
      <x:c r="W269" s="15">
        <x:v>11.34</x:v>
      </x:c>
      <x:c r="X269" s="16" t="s">
        <x:v>87</x:v>
      </x:c>
    </x:row>
    <x:row r="270" ht="18">
      <x:c r="A270" s="11" t="s">
        <x:v>1105</x:v>
      </x:c>
      <x:c r="B270" s="3">
        <x:v>29.14</x:v>
      </x:c>
      <x:c r="C270" s="5">
        <x:v>31.68</x:v>
      </x:c>
      <x:c r="D270" s="5">
        <x:f t="shared" si="5"/>
        <x:v>2.5399999999999991</x:v>
      </x:c>
      <x:c r="E270" t="s">
        <x:v>336</x:v>
      </x:c>
      <x:c r="F270" t="s">
        <x:v>26</x:v>
      </x:c>
      <x:c r="G270" t="s">
        <x:v>1106</x:v>
      </x:c>
      <x:c r="H270" t="s">
        <x:v>1107</x:v>
      </x:c>
      <x:c r="I270" s="15">
        <x:v>24</x:v>
      </x:c>
      <x:c r="J270" s="15">
        <x:v>21</x:v>
      </x:c>
      <x:c r="K270" s="15">
        <x:v>10</x:v>
      </x:c>
      <x:c r="L270" s="18">
        <x:v>38.299999999999997</x:v>
      </x:c>
      <x:c r="M270" t="s">
        <x:v>29</x:v>
      </x:c>
      <x:c r="N270" s="18">
        <x:v>39</x:v>
      </x:c>
      <x:c r="O270" t="s">
        <x:v>29</x:v>
      </x:c>
      <x:c r="P270" s="18">
        <x:v>35.273961949580411</x:v>
      </x:c>
      <x:c r="Q270" t="s">
        <x:v>29</x:v>
      </x:c>
      <x:c r="R270" t="s">
        <x:v>39</x:v>
      </x:c>
      <x:c r="S270" t="s">
        <x:v>1108</x:v>
      </x:c>
      <x:c r="T270" t="s">
        <x:v>32</x:v>
      </x:c>
      <x:c r="U270" t="s">
        <x:v>33</x:v>
      </x:c>
      <x:c r="V270" t="s">
        <x:v>26</x:v>
      </x:c>
      <x:c r="W270" s="15">
        <x:v>1</x:v>
      </x:c>
      <x:c r="X270" s="16" t="s">
        <x:v>607</x:v>
      </x:c>
    </x:row>
    <x:row r="271" ht="18">
      <x:c r="A271" s="11" t="s">
        <x:v>1109</x:v>
      </x:c>
      <x:c r="B271" s="3">
        <x:v>29.02</x:v>
      </x:c>
      <x:c r="C271" s="5">
        <x:v>31.559000000000001</x:v>
      </x:c>
      <x:c r="D271" s="5">
        <x:f t="shared" si="5"/>
        <x:v>2.5390000000000015</x:v>
      </x:c>
      <x:c r="E271" t="s">
        <x:v>50</x:v>
      </x:c>
      <x:c r="F271" t="s">
        <x:v>26</x:v>
      </x:c>
      <x:c r="G271" t="s">
        <x:v>1110</x:v>
      </x:c>
      <x:c r="H271" t="s">
        <x:v>1111</x:v>
      </x:c>
      <x:c r="I271" s="15">
        <x:v>18</x:v>
      </x:c>
      <x:c r="J271" s="15">
        <x:v>16</x:v>
      </x:c>
      <x:c r="K271" s="15">
        <x:v>16</x:v>
      </x:c>
      <x:c r="L271" s="18">
        <x:v>39.200000000000003</x:v>
      </x:c>
      <x:c r="M271" t="s">
        <x:v>29</x:v>
      </x:c>
      <x:c r="N271" s="18">
        <x:v>40</x:v>
      </x:c>
      <x:c r="O271" t="s">
        <x:v>29</x:v>
      </x:c>
      <x:c r="P271" s="18">
        <x:v>35.273961949580411</x:v>
      </x:c>
      <x:c r="Q271" t="s">
        <x:v>29</x:v>
      </x:c>
      <x:c r="R271" t="s">
        <x:v>39</x:v>
      </x:c>
      <x:c r="S271" t="s">
        <x:v>1112</x:v>
      </x:c>
      <x:c r="T271" t="s">
        <x:v>32</x:v>
      </x:c>
      <x:c r="U271" t="s">
        <x:v>33</x:v>
      </x:c>
      <x:c r="V271" t="s">
        <x:v>26</x:v>
      </x:c>
      <x:c r="W271" s="15">
        <x:v>1</x:v>
      </x:c>
      <x:c r="X271" s="16" t="s">
        <x:v>452</x:v>
      </x:c>
    </x:row>
    <x:row r="272" ht="18">
      <x:c r="A272" s="11" t="s">
        <x:v>1113</x:v>
      </x:c>
      <x:c r="B272" s="3">
        <x:v>29.02</x:v>
      </x:c>
      <x:c r="C272" s="5">
        <x:v>31.559000000000001</x:v>
      </x:c>
      <x:c r="D272" s="5">
        <x:f t="shared" si="5"/>
        <x:v>2.5390000000000015</x:v>
      </x:c>
      <x:c r="E272" t="s">
        <x:v>50</x:v>
      </x:c>
      <x:c r="F272" t="s">
        <x:v>26</x:v>
      </x:c>
      <x:c r="G272" t="s">
        <x:v>1114</x:v>
      </x:c>
      <x:c r="H272" t="s">
        <x:v>1115</x:v>
      </x:c>
      <x:c r="I272" s="15">
        <x:v>18</x:v>
      </x:c>
      <x:c r="J272" s="15">
        <x:v>15</x:v>
      </x:c>
      <x:c r="K272" s="15">
        <x:v>13</x:v>
      </x:c>
      <x:c r="L272" s="18">
        <x:v>38.5</x:v>
      </x:c>
      <x:c r="M272" t="s">
        <x:v>29</x:v>
      </x:c>
      <x:c r="N272" s="18">
        <x:v>39</x:v>
      </x:c>
      <x:c r="O272" t="s">
        <x:v>29</x:v>
      </x:c>
      <x:c r="P272" s="18">
        <x:v>35.273961949580411</x:v>
      </x:c>
      <x:c r="Q272" t="s">
        <x:v>29</x:v>
      </x:c>
      <x:c r="R272" t="s">
        <x:v>73</x:v>
      </x:c>
      <x:c r="S272" t="s">
        <x:v>1087</x:v>
      </x:c>
      <x:c r="T272" t="s">
        <x:v>32</x:v>
      </x:c>
      <x:c r="U272" t="s">
        <x:v>33</x:v>
      </x:c>
      <x:c r="V272" t="s">
        <x:v>26</x:v>
      </x:c>
      <x:c r="W272" s="15">
        <x:v>1</x:v>
      </x:c>
      <x:c r="X272" s="16" t="s">
        <x:v>452</x:v>
      </x:c>
    </x:row>
    <x:row r="273" ht="18">
      <x:c r="A273" s="11" t="s">
        <x:v>1116</x:v>
      </x:c>
      <x:c r="B273" s="3">
        <x:v>16.62</x:v>
      </x:c>
      <x:c r="C273" s="5">
        <x:v>19.151</x:v>
      </x:c>
      <x:c r="D273" s="5">
        <x:f t="shared" si="5"/>
        <x:v>2.5309999999999988</x:v>
      </x:c>
      <x:c r="E273" t="s">
        <x:v>149</x:v>
      </x:c>
      <x:c r="F273" t="s">
        <x:v>26</x:v>
      </x:c>
      <x:c r="G273" t="s">
        <x:v>1117</x:v>
      </x:c>
      <x:c r="H273" t="s">
        <x:v>1118</x:v>
      </x:c>
      <x:c r="I273" s="15">
        <x:v>16</x:v>
      </x:c>
      <x:c r="J273" s="15">
        <x:v>16</x:v>
      </x:c>
      <x:c r="K273" s="15">
        <x:v>12</x:v>
      </x:c>
      <x:c r="L273" s="18">
        <x:v>27.2</x:v>
      </x:c>
      <x:c r="M273" t="s">
        <x:v>29</x:v>
      </x:c>
      <x:c r="N273" s="18">
        <x:v>28</x:v>
      </x:c>
      <x:c r="O273" t="s">
        <x:v>29</x:v>
      </x:c>
      <x:c r="P273" s="18">
        <x:v>15.983514008403624</x:v>
      </x:c>
      <x:c r="Q273" t="s">
        <x:v>29</x:v>
      </x:c>
      <x:c r="R273" t="s">
        <x:v>116</x:v>
      </x:c>
      <x:c r="S273" t="s">
        <x:v>1119</x:v>
      </x:c>
      <x:c r="T273" t="s">
        <x:v>32</x:v>
      </x:c>
      <x:c r="U273" t="s">
        <x:v>33</x:v>
      </x:c>
      <x:c r="V273" t="s">
        <x:v>26</x:v>
      </x:c>
      <x:c r="W273" s="15">
        <x:v>0</x:v>
      </x:c>
      <x:c r="X273" s="16" t="s">
        <x:v>1120</x:v>
      </x:c>
    </x:row>
    <x:row r="274" ht="18">
      <x:c r="A274" s="11" t="s">
        <x:v>1121</x:v>
      </x:c>
      <x:c r="B274" s="3">
        <x:v>36.51</x:v>
      </x:c>
      <x:c r="C274" s="5">
        <x:v>39.039000000000001</x:v>
      </x:c>
      <x:c r="D274" s="5">
        <x:f t="shared" si="5"/>
        <x:v>2.5290000000000035</x:v>
      </x:c>
      <x:c r="E274" t="s">
        <x:v>50</x:v>
      </x:c>
      <x:c r="F274" t="s">
        <x:v>26</x:v>
      </x:c>
      <x:c r="G274" t="s">
        <x:v>1122</x:v>
      </x:c>
      <x:c r="H274" t="s">
        <x:v>1123</x:v>
      </x:c>
      <x:c r="I274" s="15">
        <x:v>17</x:v>
      </x:c>
      <x:c r="J274" s="15">
        <x:v>16</x:v>
      </x:c>
      <x:c r="K274" s="15">
        <x:v>13</x:v>
      </x:c>
      <x:c r="L274" s="18">
        <x:v>41.9</x:v>
      </x:c>
      <x:c r="M274" t="s">
        <x:v>29</x:v>
      </x:c>
      <x:c r="N274" s="18">
        <x:v>42</x:v>
      </x:c>
      <x:c r="O274" t="s">
        <x:v>29</x:v>
      </x:c>
      <x:c r="P274" s="18">
        <x:v>37.985647774454407</x:v>
      </x:c>
      <x:c r="Q274" t="s">
        <x:v>29</x:v>
      </x:c>
      <x:c r="R274" t="s">
        <x:v>30</x:v>
      </x:c>
      <x:c r="S274" t="s">
        <x:v>1124</x:v>
      </x:c>
      <x:c r="T274" t="s">
        <x:v>32</x:v>
      </x:c>
      <x:c r="U274" t="s">
        <x:v>33</x:v>
      </x:c>
      <x:c r="V274" t="s">
        <x:v>26</x:v>
      </x:c>
      <x:c r="W274" s="15">
        <x:v>17.236999999999998</x:v>
      </x:c>
      <x:c r="X274" s="16" t="s">
        <x:v>54</x:v>
      </x:c>
    </x:row>
    <x:row r="275" ht="18">
      <x:c r="A275" s="11" t="s">
        <x:v>1125</x:v>
      </x:c>
      <x:c r="B275" s="3">
        <x:v>21.27</x:v>
      </x:c>
      <x:c r="C275" s="5">
        <x:v>23.771000000000001</x:v>
      </x:c>
      <x:c r="D275" s="5">
        <x:f t="shared" si="5"/>
        <x:v>2.5010000000000012</x:v>
      </x:c>
      <x:c r="E275" t="s">
        <x:v>287</x:v>
      </x:c>
      <x:c r="F275" t="s">
        <x:v>26</x:v>
      </x:c>
      <x:c r="G275" t="s">
        <x:v>1126</x:v>
      </x:c>
      <x:c r="I275" s="15">
        <x:v>14</x:v>
      </x:c>
      <x:c r="J275" s="15">
        <x:v>13</x:v>
      </x:c>
      <x:c r="K275" s="15">
        <x:v>13</x:v>
      </x:c>
      <x:c r="L275" s="18">
        <x:v>12.6</x:v>
      </x:c>
      <x:c r="M275" t="s">
        <x:v>29</x:v>
      </x:c>
      <x:c r="N275" s="18">
        <x:v>15</x:v>
      </x:c>
      <x:c r="O275" t="s">
        <x:v>29</x:v>
      </x:c>
      <x:c r="P275" s="18">
        <x:v>12.985227242689287</x:v>
      </x:c>
      <x:c r="Q275" t="s">
        <x:v>29</x:v>
      </x:c>
      <x:c r="R275" t="s">
        <x:v>46</x:v>
      </x:c>
      <x:c r="S275" t="s">
        <x:v>1127</x:v>
      </x:c>
      <x:c r="T275" t="s">
        <x:v>32</x:v>
      </x:c>
      <x:c r="U275" t="s">
        <x:v>33</x:v>
      </x:c>
      <x:c r="V275" t="s">
        <x:v>26</x:v>
      </x:c>
      <x:c r="W275" s="15">
        <x:v>5.8970000000000002</x:v>
      </x:c>
      <x:c r="X275" s="16" t="s">
        <x:v>1128</x:v>
      </x:c>
    </x:row>
    <x:row r="276" ht="18">
      <x:c r="A276" s="11" t="s">
        <x:v>1129</x:v>
      </x:c>
      <x:c r="B276" s="3">
        <x:v>35.08</x:v>
      </x:c>
      <x:c r="C276" s="5">
        <x:v>37.564999999999998</x:v>
      </x:c>
      <x:c r="D276" s="5">
        <x:f t="shared" si="5"/>
        <x:v>2.4849999999999994</x:v>
      </x:c>
      <x:c r="E276" t="s">
        <x:v>50</x:v>
      </x:c>
      <x:c r="F276" t="s">
        <x:v>26</x:v>
      </x:c>
      <x:c r="G276" t="s">
        <x:v>1130</x:v>
      </x:c>
      <x:c r="H276" t="s">
        <x:v>1131</x:v>
      </x:c>
      <x:c r="I276" s="15">
        <x:v>18</x:v>
      </x:c>
      <x:c r="J276" s="15">
        <x:v>16</x:v>
      </x:c>
      <x:c r="K276" s="15">
        <x:v>11</x:v>
      </x:c>
      <x:c r="L276" s="18">
        <x:v>38.299999999999997</x:v>
      </x:c>
      <x:c r="M276" t="s">
        <x:v>29</x:v>
      </x:c>
      <x:c r="N276" s="18">
        <x:v>39</x:v>
      </x:c>
      <x:c r="O276" t="s">
        <x:v>29</x:v>
      </x:c>
      <x:c r="P276" s="18">
        <x:v>34.987361008740066</x:v>
      </x:c>
      <x:c r="Q276" t="s">
        <x:v>29</x:v>
      </x:c>
      <x:c r="R276" t="s">
        <x:v>146</x:v>
      </x:c>
      <x:c r="S276" t="s">
        <x:v>1132</x:v>
      </x:c>
      <x:c r="T276" t="s">
        <x:v>32</x:v>
      </x:c>
      <x:c r="U276" t="s">
        <x:v>33</x:v>
      </x:c>
      <x:c r="V276" t="s">
        <x:v>26</x:v>
      </x:c>
      <x:c r="W276" s="15">
        <x:v>0</x:v>
      </x:c>
      <x:c r="X276" s="16" t="s">
        <x:v>104</x:v>
      </x:c>
    </x:row>
    <x:row r="277" ht="18">
      <x:c r="A277" s="11" t="s">
        <x:v>1133</x:v>
      </x:c>
      <x:c r="B277" s="3">
        <x:v>36.51</x:v>
      </x:c>
      <x:c r="C277" s="5">
        <x:v>38.994999999999997</x:v>
      </x:c>
      <x:c r="D277" s="5">
        <x:f t="shared" si="5"/>
        <x:v>2.4849999999999994</x:v>
      </x:c>
      <x:c r="E277" t="s">
        <x:v>50</x:v>
      </x:c>
      <x:c r="F277" t="s">
        <x:v>26</x:v>
      </x:c>
      <x:c r="G277" t="s">
        <x:v>1134</x:v>
      </x:c>
      <x:c r="H277" t="s">
        <x:v>1135</x:v>
      </x:c>
      <x:c r="I277" s="15">
        <x:v>19</x:v>
      </x:c>
      <x:c r="J277" s="15">
        <x:v>17</x:v>
      </x:c>
      <x:c r="K277" s="15">
        <x:v>13</x:v>
      </x:c>
      <x:c r="L277" s="18">
        <x:v>40.9</x:v>
      </x:c>
      <x:c r="M277" t="s">
        <x:v>29</x:v>
      </x:c>
      <x:c r="N277" s="18">
        <x:v>41</x:v>
      </x:c>
      <x:c r="O277" t="s">
        <x:v>29</x:v>
      </x:c>
      <x:c r="P277" s="18">
        <x:v>37.985647774454407</x:v>
      </x:c>
      <x:c r="Q277" t="s">
        <x:v>29</x:v>
      </x:c>
      <x:c r="R277" t="s">
        <x:v>66</x:v>
      </x:c>
      <x:c r="S277" t="s">
        <x:v>624</x:v>
      </x:c>
      <x:c r="T277" t="s">
        <x:v>32</x:v>
      </x:c>
      <x:c r="U277" t="s">
        <x:v>33</x:v>
      </x:c>
      <x:c r="V277" t="s">
        <x:v>26</x:v>
      </x:c>
      <x:c r="W277" s="15">
        <x:v>17.236999999999998</x:v>
      </x:c>
      <x:c r="X277" s="16" t="s">
        <x:v>54</x:v>
      </x:c>
    </x:row>
    <x:row r="278" ht="18">
      <x:c r="A278" s="11" t="s">
        <x:v>1136</x:v>
      </x:c>
      <x:c r="B278" s="3">
        <x:v>36.44</x:v>
      </x:c>
      <x:c r="C278" s="5">
        <x:v>38.917999999999999</x:v>
      </x:c>
      <x:c r="D278" s="5">
        <x:f t="shared" si="5"/>
        <x:v>2.4780000000000015</x:v>
      </x:c>
      <x:c r="E278" t="s">
        <x:v>1137</x:v>
      </x:c>
      <x:c r="F278" t="s">
        <x:v>26</x:v>
      </x:c>
      <x:c r="G278" t="s">
        <x:v>1138</x:v>
      </x:c>
      <x:c r="H278" t="s">
        <x:v>1139</x:v>
      </x:c>
      <x:c r="I278" s="15">
        <x:v>19</x:v>
      </x:c>
      <x:c r="J278" s="15">
        <x:v>16</x:v>
      </x:c>
      <x:c r="K278" s="15">
        <x:v>13</x:v>
      </x:c>
      <x:c r="L278" s="18">
        <x:v>40.700000000000003</x:v>
      </x:c>
      <x:c r="M278" t="s">
        <x:v>29</x:v>
      </x:c>
      <x:c r="N278" s="18">
        <x:v>41</x:v>
      </x:c>
      <x:c r="O278" t="s">
        <x:v>29</x:v>
      </x:c>
      <x:c r="P278" s="18">
        <x:v>37.985647774454407</x:v>
      </x:c>
      <x:c r="Q278" t="s">
        <x:v>29</x:v>
      </x:c>
      <x:c r="R278" t="s">
        <x:v>46</x:v>
      </x:c>
      <x:c r="S278" t="s">
        <x:v>1140</x:v>
      </x:c>
      <x:c r="T278" t="s">
        <x:v>32</x:v>
      </x:c>
      <x:c r="U278" t="s">
        <x:v>33</x:v>
      </x:c>
      <x:c r="V278" t="s">
        <x:v>26</x:v>
      </x:c>
      <x:c r="W278" s="15">
        <x:v>17.236999999999998</x:v>
      </x:c>
      <x:c r="X278" s="16" t="s">
        <x:v>1141</x:v>
      </x:c>
    </x:row>
    <x:row r="279" ht="18">
      <x:c r="A279" s="11" t="s">
        <x:v>1142</x:v>
      </x:c>
      <x:c r="B279" s="3">
        <x:v>20.9</x:v>
      </x:c>
      <x:c r="C279" s="5">
        <x:v>23.364000000000001</x:v>
      </x:c>
      <x:c r="D279" s="5">
        <x:f t="shared" si="5"/>
        <x:v>2.4640000000000022</x:v>
      </x:c>
      <x:c r="E279" t="s">
        <x:v>82</x:v>
      </x:c>
      <x:c r="F279" t="s">
        <x:v>26</x:v>
      </x:c>
      <x:c r="G279" t="s">
        <x:v>1143</x:v>
      </x:c>
      <x:c r="H279" t="s">
        <x:v>1144</x:v>
      </x:c>
      <x:c r="I279" s="15">
        <x:v>20</x:v>
      </x:c>
      <x:c r="J279" s="15">
        <x:v>16</x:v>
      </x:c>
      <x:c r="K279" s="15">
        <x:v>16</x:v>
      </x:c>
      <x:c r="L279" s="18"/>
      <x:c r="N279" s="18">
        <x:v>31</x:v>
      </x:c>
      <x:c r="O279" t="s">
        <x:v>29</x:v>
      </x:c>
      <x:c r="P279" s="18">
        <x:v>25.353160151260919</x:v>
      </x:c>
      <x:c r="Q279" t="s">
        <x:v>29</x:v>
      </x:c>
      <x:c r="R279" t="s">
        <x:v>226</x:v>
      </x:c>
      <x:c r="S279" t="s">
        <x:v>737</x:v>
      </x:c>
      <x:c r="T279" t="s">
        <x:v>32</x:v>
      </x:c>
      <x:c r="U279" t="s">
        <x:v>33</x:v>
      </x:c>
      <x:c r="V279" t="s">
        <x:v>26</x:v>
      </x:c>
      <x:c r="W279" s="15">
        <x:v>1</x:v>
      </x:c>
      <x:c r="X279" s="16" t="s">
        <x:v>245</x:v>
      </x:c>
    </x:row>
    <x:row r="280" ht="18">
      <x:c r="A280" s="11" t="s">
        <x:v>1145</x:v>
      </x:c>
      <x:c r="B280" s="3">
        <x:v>21.11</x:v>
      </x:c>
      <x:c r="C280" s="5">
        <x:v>23.562000000000001</x:v>
      </x:c>
      <x:c r="D280" s="5">
        <x:f t="shared" si="5"/>
        <x:v>2.4520000000000017</x:v>
      </x:c>
      <x:c r="E280" t="s">
        <x:v>886</x:v>
      </x:c>
      <x:c r="F280" t="s">
        <x:v>26</x:v>
      </x:c>
      <x:c r="G280" t="s">
        <x:v>1146</x:v>
      </x:c>
      <x:c r="H280" t="s">
        <x:v>1147</x:v>
      </x:c>
      <x:c r="I280" s="15">
        <x:v>13</x:v>
      </x:c>
      <x:c r="J280" s="15">
        <x:v>11</x:v>
      </x:c>
      <x:c r="K280" s="15">
        <x:v>8</x:v>
      </x:c>
      <x:c r="L280" s="18">
        <x:v>10.4</x:v>
      </x:c>
      <x:c r="M280" t="s">
        <x:v>29</x:v>
      </x:c>
      <x:c r="N280" s="18">
        <x:v>11</x:v>
      </x:c>
      <x:c r="O280" t="s">
        <x:v>29</x:v>
      </x:c>
      <x:c r="P280" s="18">
        <x:v>7.9807338910925685</x:v>
      </x:c>
      <x:c r="Q280" t="s">
        <x:v>29</x:v>
      </x:c>
      <x:c r="R280" t="s">
        <x:v>134</x:v>
      </x:c>
      <x:c r="S280" t="s">
        <x:v>1148</x:v>
      </x:c>
      <x:c r="T280" t="s">
        <x:v>32</x:v>
      </x:c>
      <x:c r="U280" t="s">
        <x:v>33</x:v>
      </x:c>
      <x:c r="V280" t="s">
        <x:v>26</x:v>
      </x:c>
      <x:c r="W280" s="15">
        <x:v>3.629</x:v>
      </x:c>
      <x:c r="X280" s="16" t="s">
        <x:v>1149</x:v>
      </x:c>
    </x:row>
    <x:row r="281" ht="18">
      <x:c r="A281" s="11" t="s">
        <x:v>1150</x:v>
      </x:c>
      <x:c r="B281" s="3">
        <x:v>71.67</x:v>
      </x:c>
      <x:c r="C281" s="5">
        <x:v>74.096000000000004</x:v>
      </x:c>
      <x:c r="D281" s="5">
        <x:f t="shared" si="5"/>
        <x:v>2.4260000000000019</x:v>
      </x:c>
      <x:c r="F281" t="s">
        <x:v>53</x:v>
      </x:c>
      <x:c r="I281" s="15">
        <x:v>19</x:v>
      </x:c>
      <x:c r="J281" s="15">
        <x:v>15</x:v>
      </x:c>
      <x:c r="K281" s="15">
        <x:v>15</x:v>
      </x:c>
      <x:c r="L281" s="18">
        <x:v>62.1</x:v>
      </x:c>
      <x:c r="M281" t="s">
        <x:v>29</x:v>
      </x:c>
      <x:c r="N281" s="18">
        <x:v>63</x:v>
      </x:c>
      <x:c r="O281" t="s">
        <x:v>29</x:v>
      </x:c>
      <x:c r="P281" s="18">
        <x:v>57.981574954622801</x:v>
      </x:c>
      <x:c r="Q281" t="s">
        <x:v>29</x:v>
      </x:c>
      <x:c r="R281" t="s">
        <x:v>891</x:v>
      </x:c>
      <x:c r="S281" t="s">
        <x:v>1151</x:v>
      </x:c>
      <x:c r="T281" t="s">
        <x:v>32</x:v>
      </x:c>
      <x:c r="U281" t="s">
        <x:v>33</x:v>
      </x:c>
      <x:c r="V281" t="s">
        <x:v>26</x:v>
      </x:c>
      <x:c r="W281" s="15">
        <x:v>1</x:v>
      </x:c>
      <x:c r="X281" s="16" t="s">
        <x:v>876</x:v>
      </x:c>
    </x:row>
    <x:row r="282" ht="18">
      <x:c r="A282" s="11" t="s">
        <x:v>1152</x:v>
      </x:c>
      <x:c r="B282" s="3">
        <x:v>21.81</x:v>
      </x:c>
      <x:c r="C282" s="5">
        <x:v>24.233000000000001</x:v>
      </x:c>
      <x:c r="D282" s="5">
        <x:f t="shared" si="5"/>
        <x:v>2.4230000000000018</x:v>
      </x:c>
      <x:c r="E282" t="s">
        <x:v>82</x:v>
      </x:c>
      <x:c r="F282" t="s">
        <x:v>26</x:v>
      </x:c>
      <x:c r="G282" t="s">
        <x:v>1153</x:v>
      </x:c>
      <x:c r="H282" t="s">
        <x:v>1154</x:v>
      </x:c>
      <x:c r="I282" s="15"/>
      <x:c r="J282" s="15"/>
      <x:c r="K282" s="15"/>
      <x:c r="L282" s="18"/>
      <x:c r="N282" s="18"/>
      <x:c r="P282" s="18"/>
      <x:c r="V282" t="s">
        <x:v>53</x:v>
      </x:c>
      <x:c r="W282" s="15">
        <x:v>11.34</x:v>
      </x:c>
      <x:c r="X282" s="16" t="s">
        <x:v>87</x:v>
      </x:c>
    </x:row>
    <x:row r="283" ht="18">
      <x:c r="A283" s="11" t="s">
        <x:v>1155</x:v>
      </x:c>
      <x:c r="B283" s="3">
        <x:v>21.67</x:v>
      </x:c>
      <x:c r="C283" s="5">
        <x:v>24.09</x:v>
      </x:c>
      <x:c r="D283" s="5">
        <x:f t="shared" si="5"/>
        <x:v>2.4199999999999982</x:v>
      </x:c>
      <x:c r="E283" t="s">
        <x:v>82</x:v>
      </x:c>
      <x:c r="F283" t="s">
        <x:v>26</x:v>
      </x:c>
      <x:c r="G283" t="s">
        <x:v>1156</x:v>
      </x:c>
      <x:c r="H283" t="s">
        <x:v>1157</x:v>
      </x:c>
      <x:c r="I283" s="15">
        <x:v>17</x:v>
      </x:c>
      <x:c r="J283" s="15">
        <x:v>12</x:v>
      </x:c>
      <x:c r="K283" s="15">
        <x:v>12</x:v>
      </x:c>
      <x:c r="L283" s="18">
        <x:v>27.9</x:v>
      </x:c>
      <x:c r="M283" t="s">
        <x:v>29</x:v>
      </x:c>
      <x:c r="N283" s="18">
        <x:v>28</x:v>
      </x:c>
      <x:c r="O283" t="s">
        <x:v>29</x:v>
      </x:c>
      <x:c r="P283" s="18">
        <x:v>25.000420531765116</x:v>
      </x:c>
      <x:c r="Q283" t="s">
        <x:v>29</x:v>
      </x:c>
      <x:c r="R283" t="s">
        <x:v>842</x:v>
      </x:c>
      <x:c r="S283" t="s">
        <x:v>1158</x:v>
      </x:c>
      <x:c r="T283" t="s">
        <x:v>32</x:v>
      </x:c>
      <x:c r="U283" t="s">
        <x:v>33</x:v>
      </x:c>
      <x:c r="V283" t="s">
        <x:v>26</x:v>
      </x:c>
      <x:c r="W283" s="15">
        <x:v>11.34</x:v>
      </x:c>
      <x:c r="X283" s="16" t="s">
        <x:v>87</x:v>
      </x:c>
    </x:row>
    <x:row r="284" ht="18">
      <x:c r="A284" s="11" t="s">
        <x:v>1159</x:v>
      </x:c>
      <x:c r="B284" s="3">
        <x:v>21.72</x:v>
      </x:c>
      <x:c r="C284" s="5">
        <x:v>24.134</x:v>
      </x:c>
      <x:c r="D284" s="5">
        <x:f t="shared" si="5"/>
        <x:v>2.4140000000000015</x:v>
      </x:c>
      <x:c r="F284" t="s">
        <x:v>53</x:v>
      </x:c>
      <x:c r="I284" s="15">
        <x:v>15</x:v>
      </x:c>
      <x:c r="J284" s="15">
        <x:v>15</x:v>
      </x:c>
      <x:c r="K284" s="15">
        <x:v>11</x:v>
      </x:c>
      <x:c r="L284" s="18">
        <x:v>27.8</x:v>
      </x:c>
      <x:c r="M284" t="s">
        <x:v>29</x:v>
      </x:c>
      <x:c r="N284" s="18">
        <x:v>28</x:v>
      </x:c>
      <x:c r="O284" t="s">
        <x:v>29</x:v>
      </x:c>
      <x:c r="P284" s="18">
        <x:v>25.000420531765116</x:v>
      </x:c>
      <x:c r="Q284" t="s">
        <x:v>29</x:v>
      </x:c>
      <x:c r="R284" t="s">
        <x:v>199</x:v>
      </x:c>
      <x:c r="S284" t="s">
        <x:v>1063</x:v>
      </x:c>
      <x:c r="T284" t="s">
        <x:v>32</x:v>
      </x:c>
      <x:c r="U284" t="s">
        <x:v>33</x:v>
      </x:c>
      <x:c r="V284" t="s">
        <x:v>26</x:v>
      </x:c>
      <x:c r="W284" s="15">
        <x:v>11.34</x:v>
      </x:c>
      <x:c r="X284" s="16" t="s">
        <x:v>87</x:v>
      </x:c>
    </x:row>
    <x:row r="285" ht="18">
      <x:c r="A285" s="11" t="s">
        <x:v>1160</x:v>
      </x:c>
      <x:c r="B285" s="3">
        <x:v>16.940000000000001</x:v>
      </x:c>
      <x:c r="C285" s="5">
        <x:v>19.349</x:v>
      </x:c>
      <x:c r="D285" s="5">
        <x:f t="shared" si="5"/>
        <x:v>2.4089999999999989</x:v>
      </x:c>
      <x:c r="E285" t="s">
        <x:v>82</x:v>
      </x:c>
      <x:c r="F285" t="s">
        <x:v>26</x:v>
      </x:c>
      <x:c r="G285" t="s">
        <x:v>1161</x:v>
      </x:c>
      <x:c r="H285" t="s">
        <x:v>1162</x:v>
      </x:c>
      <x:c r="I285" s="15">
        <x:v>16</x:v>
      </x:c>
      <x:c r="J285" s="15">
        <x:v>16</x:v>
      </x:c>
      <x:c r="K285" s="15">
        <x:v>12</x:v>
      </x:c>
      <x:c r="L285" s="18">
        <x:v>29.9</x:v>
      </x:c>
      <x:c r="M285" t="s">
        <x:v>29</x:v>
      </x:c>
      <x:c r="N285" s="18">
        <x:v>30</x:v>
      </x:c>
      <x:c r="O285" t="s">
        <x:v>29</x:v>
      </x:c>
      <x:c r="P285" s="18">
        <x:v>22.994213945882731</x:v>
      </x:c>
      <x:c r="Q285" t="s">
        <x:v>29</x:v>
      </x:c>
      <x:c r="R285" t="s">
        <x:v>59</x:v>
      </x:c>
      <x:c r="S285" t="s">
        <x:v>60</x:v>
      </x:c>
      <x:c r="T285" t="s">
        <x:v>32</x:v>
      </x:c>
      <x:c r="U285" t="s">
        <x:v>33</x:v>
      </x:c>
      <x:c r="V285" t="s">
        <x:v>26</x:v>
      </x:c>
      <x:c r="W285" s="15">
        <x:v>10.433</x:v>
      </x:c>
      <x:c r="X285" s="16" t="s">
        <x:v>513</x:v>
      </x:c>
    </x:row>
    <x:row r="286" ht="18">
      <x:c r="A286" s="11" t="s">
        <x:v>1163</x:v>
      </x:c>
      <x:c r="B286" s="3">
        <x:v>16.940000000000001</x:v>
      </x:c>
      <x:c r="C286" s="5">
        <x:v>19.349</x:v>
      </x:c>
      <x:c r="D286" s="5">
        <x:f t="shared" si="5"/>
        <x:v>2.4089999999999989</x:v>
      </x:c>
      <x:c r="E286" t="s">
        <x:v>82</x:v>
      </x:c>
      <x:c r="F286" t="s">
        <x:v>26</x:v>
      </x:c>
      <x:c r="G286" t="s">
        <x:v>1164</x:v>
      </x:c>
      <x:c r="H286" t="s">
        <x:v>1165</x:v>
      </x:c>
      <x:c r="I286" s="15">
        <x:v>16</x:v>
      </x:c>
      <x:c r="J286" s="15">
        <x:v>16</x:v>
      </x:c>
      <x:c r="K286" s="15">
        <x:v>12</x:v>
      </x:c>
      <x:c r="L286" s="18">
        <x:v>29.6</x:v>
      </x:c>
      <x:c r="M286" t="s">
        <x:v>29</x:v>
      </x:c>
      <x:c r="N286" s="18">
        <x:v>30</x:v>
      </x:c>
      <x:c r="O286" t="s">
        <x:v>29</x:v>
      </x:c>
      <x:c r="P286" s="18">
        <x:v>22.994213945882731</x:v>
      </x:c>
      <x:c r="Q286" t="s">
        <x:v>29</x:v>
      </x:c>
      <x:c r="R286" t="s">
        <x:v>92</x:v>
      </x:c>
      <x:c r="S286" t="s">
        <x:v>1166</x:v>
      </x:c>
      <x:c r="T286" t="s">
        <x:v>32</x:v>
      </x:c>
      <x:c r="U286" t="s">
        <x:v>33</x:v>
      </x:c>
      <x:c r="V286" t="s">
        <x:v>26</x:v>
      </x:c>
      <x:c r="W286" s="15">
        <x:v>10.433</x:v>
      </x:c>
      <x:c r="X286" s="16" t="s">
        <x:v>513</x:v>
      </x:c>
    </x:row>
    <x:row r="287" ht="18">
      <x:c r="A287" s="11" t="s">
        <x:v>1167</x:v>
      </x:c>
      <x:c r="B287" s="3">
        <x:v>110.17</x:v>
      </x:c>
      <x:c r="C287" s="5">
        <x:v>112.574</x:v>
      </x:c>
      <x:c r="D287" s="5">
        <x:f t="shared" si="5"/>
        <x:v>2.4039999999999964</x:v>
      </x:c>
      <x:c r="E287" t="s">
        <x:v>99</x:v>
      </x:c>
      <x:c r="F287" t="s">
        <x:v>26</x:v>
      </x:c>
      <x:c r="G287" t="s">
        <x:v>1168</x:v>
      </x:c>
      <x:c r="H287" t="s">
        <x:v>1169</x:v>
      </x:c>
      <x:c r="I287" s="15"/>
      <x:c r="J287" s="15"/>
      <x:c r="K287" s="15"/>
      <x:c r="L287" s="18"/>
      <x:c r="N287" s="18"/>
      <x:c r="P287" s="18"/>
      <x:c r="V287" t="s">
        <x:v>53</x:v>
      </x:c>
      <x:c r="W287" s="15">
        <x:v>43</x:v>
      </x:c>
      <x:c r="X287" s="16" t="s">
        <x:v>1170</x:v>
      </x:c>
    </x:row>
    <x:row r="288" ht="18">
      <x:c r="A288" s="11" t="s">
        <x:v>1171</x:v>
      </x:c>
      <x:c r="B288" s="3">
        <x:v>17</x:v>
      </x:c>
      <x:c r="C288" s="5">
        <x:v>19.382000000000001</x:v>
      </x:c>
      <x:c r="D288" s="5">
        <x:f t="shared" si="5"/>
        <x:v>2.3820000000000014</x:v>
      </x:c>
      <x:c r="E288" t="s">
        <x:v>82</x:v>
      </x:c>
      <x:c r="F288" t="s">
        <x:v>26</x:v>
      </x:c>
      <x:c r="G288" t="s">
        <x:v>1172</x:v>
      </x:c>
      <x:c r="H288" t="s">
        <x:v>1173</x:v>
      </x:c>
      <x:c r="I288" s="15">
        <x:v>16</x:v>
      </x:c>
      <x:c r="J288" s="15">
        <x:v>16</x:v>
      </x:c>
      <x:c r="K288" s="15">
        <x:v>12</x:v>
      </x:c>
      <x:c r="L288" s="18">
        <x:v>29.4</x:v>
      </x:c>
      <x:c r="M288" t="s">
        <x:v>29</x:v>
      </x:c>
      <x:c r="N288" s="18">
        <x:v>30</x:v>
      </x:c>
      <x:c r="O288" t="s">
        <x:v>29</x:v>
      </x:c>
      <x:c r="P288" s="18">
        <x:v>22.994213945882731</x:v>
      </x:c>
      <x:c r="Q288" t="s">
        <x:v>29</x:v>
      </x:c>
      <x:c r="R288" t="s">
        <x:v>59</x:v>
      </x:c>
      <x:c r="S288" t="s">
        <x:v>1174</x:v>
      </x:c>
      <x:c r="T288" t="s">
        <x:v>32</x:v>
      </x:c>
      <x:c r="U288" t="s">
        <x:v>33</x:v>
      </x:c>
      <x:c r="V288" t="s">
        <x:v>26</x:v>
      </x:c>
      <x:c r="W288" s="15">
        <x:v>10.433</x:v>
      </x:c>
      <x:c r="X288" s="16" t="s">
        <x:v>513</x:v>
      </x:c>
    </x:row>
    <x:row r="289" ht="18">
      <x:c r="A289" s="11" t="s">
        <x:v>1175</x:v>
      </x:c>
      <x:c r="B289" s="3">
        <x:v>26.5</x:v>
      </x:c>
      <x:c r="C289" s="5">
        <x:v>28.831</x:v>
      </x:c>
      <x:c r="D289" s="5">
        <x:f t="shared" si="5"/>
        <x:v>2.3309999999999995</x:v>
      </x:c>
      <x:c r="E289" t="s">
        <x:v>50</x:v>
      </x:c>
      <x:c r="F289" t="s">
        <x:v>26</x:v>
      </x:c>
      <x:c r="G289" t="s">
        <x:v>1176</x:v>
      </x:c>
      <x:c r="H289" t="s">
        <x:v>1177</x:v>
      </x:c>
      <x:c r="I289" s="15">
        <x:v>19</x:v>
      </x:c>
      <x:c r="J289" s="15">
        <x:v>17</x:v>
      </x:c>
      <x:c r="K289" s="15">
        <x:v>13</x:v>
      </x:c>
      <x:c r="L289" s="18">
        <x:v>40.700000000000003</x:v>
      </x:c>
      <x:c r="M289" t="s">
        <x:v>29</x:v>
      </x:c>
      <x:c r="N289" s="18">
        <x:v>41</x:v>
      </x:c>
      <x:c r="O289" t="s">
        <x:v>29</x:v>
      </x:c>
      <x:c r="P289" s="18">
        <x:v>37.985647774454407</x:v>
      </x:c>
      <x:c r="Q289" t="s">
        <x:v>29</x:v>
      </x:c>
      <x:c r="R289" t="s">
        <x:v>226</x:v>
      </x:c>
      <x:c r="S289" t="s">
        <x:v>1178</x:v>
      </x:c>
      <x:c r="T289" t="s">
        <x:v>32</x:v>
      </x:c>
      <x:c r="U289" t="s">
        <x:v>33</x:v>
      </x:c>
      <x:c r="V289" t="s">
        <x:v>26</x:v>
      </x:c>
      <x:c r="W289" s="15">
        <x:v>17.236999999999998</x:v>
      </x:c>
      <x:c r="X289" s="16" t="s">
        <x:v>54</x:v>
      </x:c>
    </x:row>
    <x:row r="290" ht="18">
      <x:c r="A290" s="11" t="s">
        <x:v>1179</x:v>
      </x:c>
      <x:c r="B290" s="3">
        <x:v>69.59</x:v>
      </x:c>
      <x:c r="C290" s="5">
        <x:v>71.918000000000006</x:v>
      </x:c>
      <x:c r="D290" s="5">
        <x:f t="shared" si="5"/>
        <x:v>2.328000000000003</x:v>
      </x:c>
      <x:c r="E290" t="s">
        <x:v>70</x:v>
      </x:c>
      <x:c r="F290" t="s">
        <x:v>26</x:v>
      </x:c>
      <x:c r="G290" t="s">
        <x:v>1180</x:v>
      </x:c>
      <x:c r="H290" t="s">
        <x:v>1181</x:v>
      </x:c>
      <x:c r="I290" s="15"/>
      <x:c r="J290" s="15"/>
      <x:c r="K290" s="15"/>
      <x:c r="L290" s="18"/>
      <x:c r="N290" s="18"/>
      <x:c r="P290" s="18"/>
      <x:c r="V290" t="s">
        <x:v>53</x:v>
      </x:c>
      <x:c r="W290" s="15">
        <x:v>0</x:v>
      </x:c>
      <x:c r="X290" s="16" t="s">
        <x:v>104</x:v>
      </x:c>
    </x:row>
    <x:row r="291" ht="18">
      <x:c r="A291" s="11" t="s">
        <x:v>1182</x:v>
      </x:c>
      <x:c r="B291" s="3">
        <x:v>97.2</x:v>
      </x:c>
      <x:c r="C291" s="5">
        <x:v>99.528000000000006</x:v>
      </x:c>
      <x:c r="D291" s="5">
        <x:f t="shared" si="5"/>
        <x:v>2.328000000000003</x:v>
      </x:c>
      <x:c r="E291" t="s">
        <x:v>43</x:v>
      </x:c>
      <x:c r="F291" t="s">
        <x:v>26</x:v>
      </x:c>
      <x:c r="G291" t="s">
        <x:v>1183</x:v>
      </x:c>
      <x:c r="H291" t="s">
        <x:v>1184</x:v>
      </x:c>
      <x:c r="I291" s="15">
        <x:v>20</x:v>
      </x:c>
      <x:c r="J291" s="15">
        <x:v>16</x:v>
      </x:c>
      <x:c r="K291" s="15">
        <x:v>16</x:v>
      </x:c>
      <x:c r="L291" s="18">
        <x:v>65.400000000000006</x:v>
      </x:c>
      <x:c r="M291" t="s">
        <x:v>29</x:v>
      </x:c>
      <x:c r="N291" s="18">
        <x:v>66</x:v>
      </x:c>
      <x:c r="O291" t="s">
        <x:v>29</x:v>
      </x:c>
      <x:c r="P291" s="18">
        <x:v>59.524810789916941</x:v>
      </x:c>
      <x:c r="Q291" t="s">
        <x:v>29</x:v>
      </x:c>
      <x:c r="R291" t="s">
        <x:v>46</x:v>
      </x:c>
      <x:c r="S291" t="s">
        <x:v>1185</x:v>
      </x:c>
      <x:c r="T291" t="s">
        <x:v>32</x:v>
      </x:c>
      <x:c r="U291" t="s">
        <x:v>33</x:v>
      </x:c>
      <x:c r="V291" t="s">
        <x:v>26</x:v>
      </x:c>
      <x:c r="W291" s="15">
        <x:v>1</x:v>
      </x:c>
      <x:c r="X291" s="16" t="s">
        <x:v>876</x:v>
      </x:c>
    </x:row>
    <x:row r="292" ht="18">
      <x:c r="A292" s="11" t="s">
        <x:v>1186</x:v>
      </x:c>
      <x:c r="B292" s="3">
        <x:v>97.4</x:v>
      </x:c>
      <x:c r="C292" s="5">
        <x:v>99.725999999999999</x:v>
      </x:c>
      <x:c r="D292" s="5">
        <x:f t="shared" si="5"/>
        <x:v>2.3259999999999934</x:v>
      </x:c>
      <x:c r="E292" t="s">
        <x:v>43</x:v>
      </x:c>
      <x:c r="F292" t="s">
        <x:v>26</x:v>
      </x:c>
      <x:c r="G292" t="s">
        <x:v>1187</x:v>
      </x:c>
      <x:c r="H292" t="s">
        <x:v>1188</x:v>
      </x:c>
      <x:c r="I292" s="15">
        <x:v>19</x:v>
      </x:c>
      <x:c r="J292" s="15">
        <x:v>16</x:v>
      </x:c>
      <x:c r="K292" s="15">
        <x:v>16</x:v>
      </x:c>
      <x:c r="L292" s="18">
        <x:v>65.599999999999994</x:v>
      </x:c>
      <x:c r="M292" t="s">
        <x:v>29</x:v>
      </x:c>
      <x:c r="N292" s="18">
        <x:v>66</x:v>
      </x:c>
      <x:c r="O292" t="s">
        <x:v>29</x:v>
      </x:c>
      <x:c r="P292" s="18">
        <x:v>59.524810789916941</x:v>
      </x:c>
      <x:c r="Q292" t="s">
        <x:v>29</x:v>
      </x:c>
      <x:c r="R292" t="s">
        <x:v>46</x:v>
      </x:c>
      <x:c r="S292" t="s">
        <x:v>1185</x:v>
      </x:c>
      <x:c r="T292" t="s">
        <x:v>32</x:v>
      </x:c>
      <x:c r="U292" t="s">
        <x:v>33</x:v>
      </x:c>
      <x:c r="V292" t="s">
        <x:v>26</x:v>
      </x:c>
      <x:c r="W292" s="15">
        <x:v>1</x:v>
      </x:c>
      <x:c r="X292" s="16" t="s">
        <x:v>876</x:v>
      </x:c>
    </x:row>
    <x:row r="293" ht="18">
      <x:c r="A293" s="11" t="s">
        <x:v>1189</x:v>
      </x:c>
      <x:c r="B293" s="3">
        <x:v>20.7</x:v>
      </x:c>
      <x:c r="C293" s="5">
        <x:v>23.023</x:v>
      </x:c>
      <x:c r="D293" s="5">
        <x:f t="shared" si="5"/>
        <x:v>2.3230000000000004</x:v>
      </x:c>
      <x:c r="E293" t="s">
        <x:v>82</x:v>
      </x:c>
      <x:c r="F293" t="s">
        <x:v>26</x:v>
      </x:c>
      <x:c r="G293" t="s">
        <x:v>1190</x:v>
      </x:c>
      <x:c r="H293" t="s">
        <x:v>1191</x:v>
      </x:c>
      <x:c r="I293" s="15">
        <x:v>19</x:v>
      </x:c>
      <x:c r="J293" s="15">
        <x:v>13</x:v>
      </x:c>
      <x:c r="K293" s="15">
        <x:v>13</x:v>
      </x:c>
      <x:c r="L293" s="18">
        <x:v>26.6</x:v>
      </x:c>
      <x:c r="M293" t="s">
        <x:v>29</x:v>
      </x:c>
      <x:c r="N293" s="18">
        <x:v>27</x:v>
      </x:c>
      <x:c r="O293" t="s">
        <x:v>29</x:v>
      </x:c>
      <x:c r="P293" s="18">
        <x:v>22.994213945882731</x:v>
      </x:c>
      <x:c r="Q293" t="s">
        <x:v>29</x:v>
      </x:c>
      <x:c r="R293" t="s">
        <x:v>39</x:v>
      </x:c>
      <x:c r="S293" t="s">
        <x:v>1192</x:v>
      </x:c>
      <x:c r="T293" t="s">
        <x:v>32</x:v>
      </x:c>
      <x:c r="U293" t="s">
        <x:v>33</x:v>
      </x:c>
      <x:c r="V293" t="s">
        <x:v>26</x:v>
      </x:c>
      <x:c r="W293" s="15">
        <x:v>10.433</x:v>
      </x:c>
      <x:c r="X293" s="16" t="s">
        <x:v>513</x:v>
      </x:c>
    </x:row>
    <x:row r="294" ht="18">
      <x:c r="A294" s="11" t="s">
        <x:v>1193</x:v>
      </x:c>
      <x:c r="B294" s="3">
        <x:v>29.99</x:v>
      </x:c>
      <x:c r="C294" s="5">
        <x:v>32.284999999999997</x:v>
      </x:c>
      <x:c r="D294" s="5">
        <x:f t="shared" si="5"/>
        <x:v>2.2949999999999982</x:v>
      </x:c>
      <x:c r="E294" t="s">
        <x:v>149</x:v>
      </x:c>
      <x:c r="F294" t="s">
        <x:v>26</x:v>
      </x:c>
      <x:c r="G294" t="s">
        <x:v>1194</x:v>
      </x:c>
      <x:c r="H294" t="s">
        <x:v>1195</x:v>
      </x:c>
      <x:c r="I294" s="15">
        <x:v>19</x:v>
      </x:c>
      <x:c r="J294" s="15">
        <x:v>14</x:v>
      </x:c>
      <x:c r="K294" s="15">
        <x:v>11</x:v>
      </x:c>
      <x:c r="L294" s="18">
        <x:v>24.5</x:v>
      </x:c>
      <x:c r="M294" t="s">
        <x:v>29</x:v>
      </x:c>
      <x:c r="N294" s="18">
        <x:v>25</x:v>
      </x:c>
      <x:c r="O294" t="s">
        <x:v>29</x:v>
      </x:c>
      <x:c r="P294" s="18">
        <x:v>22.487150742857512</x:v>
      </x:c>
      <x:c r="Q294" t="s">
        <x:v>29</x:v>
      </x:c>
      <x:c r="R294" t="s">
        <x:v>736</x:v>
      </x:c>
      <x:c r="S294" t="s">
        <x:v>1196</x:v>
      </x:c>
      <x:c r="T294" t="s">
        <x:v>32</x:v>
      </x:c>
      <x:c r="U294" t="s">
        <x:v>33</x:v>
      </x:c>
      <x:c r="V294" t="s">
        <x:v>26</x:v>
      </x:c>
      <x:c r="W294" s="15">
        <x:v>1</x:v>
      </x:c>
      <x:c r="X294" s="16" t="s">
        <x:v>280</x:v>
      </x:c>
    </x:row>
    <x:row r="295" ht="18">
      <x:c r="A295" s="11" t="s">
        <x:v>1197</x:v>
      </x:c>
      <x:c r="B295" s="3">
        <x:v>56.37</x:v>
      </x:c>
      <x:c r="C295" s="5">
        <x:v>58.652000000000001</x:v>
      </x:c>
      <x:c r="D295" s="5">
        <x:f t="shared" si="5"/>
        <x:v>2.2820000000000036</x:v>
      </x:c>
      <x:c r="E295" t="s">
        <x:v>113</x:v>
      </x:c>
      <x:c r="F295" t="s">
        <x:v>26</x:v>
      </x:c>
      <x:c r="G295" t="s">
        <x:v>1198</x:v>
      </x:c>
      <x:c r="H295" t="s">
        <x:v>1199</x:v>
      </x:c>
      <x:c r="I295" s="15">
        <x:v>19</x:v>
      </x:c>
      <x:c r="J295" s="15">
        <x:v>19</x:v>
      </x:c>
      <x:c r="K295" s="15">
        <x:v>15</x:v>
      </x:c>
      <x:c r="L295" s="18">
        <x:v>62.3</x:v>
      </x:c>
      <x:c r="M295" t="s">
        <x:v>29</x:v>
      </x:c>
      <x:c r="N295" s="18">
        <x:v>63</x:v>
      </x:c>
      <x:c r="O295" t="s">
        <x:v>29</x:v>
      </x:c>
      <x:c r="P295" s="18">
        <x:v>53.395959901177342</x:v>
      </x:c>
      <x:c r="Q295" t="s">
        <x:v>29</x:v>
      </x:c>
      <x:c r="R295" t="s">
        <x:v>116</x:v>
      </x:c>
      <x:c r="S295" t="s">
        <x:v>1200</x:v>
      </x:c>
      <x:c r="T295" t="s">
        <x:v>32</x:v>
      </x:c>
      <x:c r="U295" t="s">
        <x:v>33</x:v>
      </x:c>
      <x:c r="V295" t="s">
        <x:v>26</x:v>
      </x:c>
      <x:c r="W295" s="15">
        <x:v>0</x:v>
      </x:c>
      <x:c r="X295" s="16" t="s">
        <x:v>1201</x:v>
      </x:c>
    </x:row>
    <x:row r="296" ht="18">
      <x:c r="A296" s="11" t="s">
        <x:v>1202</x:v>
      </x:c>
      <x:c r="B296" s="3">
        <x:v>36.729999999999997</x:v>
      </x:c>
      <x:c r="C296" s="5">
        <x:v>38.994999999999997</x:v>
      </x:c>
      <x:c r="D296" s="5">
        <x:f t="shared" si="5"/>
        <x:v>2.2650000000000006</x:v>
      </x:c>
      <x:c r="E296" t="s">
        <x:v>50</x:v>
      </x:c>
      <x:c r="F296" t="s">
        <x:v>26</x:v>
      </x:c>
      <x:c r="G296" t="s">
        <x:v>1203</x:v>
      </x:c>
      <x:c r="H296" t="s">
        <x:v>1204</x:v>
      </x:c>
      <x:c r="I296" s="15">
        <x:v>22</x:v>
      </x:c>
      <x:c r="J296" s="15">
        <x:v>17</x:v>
      </x:c>
      <x:c r="K296" s="15">
        <x:v>15</x:v>
      </x:c>
      <x:c r="L296" s="18">
        <x:v>40.5</x:v>
      </x:c>
      <x:c r="M296" t="s">
        <x:v>29</x:v>
      </x:c>
      <x:c r="N296" s="18">
        <x:v>41</x:v>
      </x:c>
      <x:c r="O296" t="s">
        <x:v>29</x:v>
      </x:c>
      <x:c r="P296" s="18">
        <x:v>37.985647774454407</x:v>
      </x:c>
      <x:c r="Q296" t="s">
        <x:v>29</x:v>
      </x:c>
      <x:c r="R296" t="s">
        <x:v>842</x:v>
      </x:c>
      <x:c r="S296" t="s">
        <x:v>1205</x:v>
      </x:c>
      <x:c r="T296" t="s">
        <x:v>32</x:v>
      </x:c>
      <x:c r="U296" t="s">
        <x:v>33</x:v>
      </x:c>
      <x:c r="V296" t="s">
        <x:v>26</x:v>
      </x:c>
      <x:c r="W296" s="15">
        <x:v>17.236999999999998</x:v>
      </x:c>
      <x:c r="X296" s="16" t="s">
        <x:v>54</x:v>
      </x:c>
    </x:row>
    <x:row r="297" ht="18">
      <x:c r="A297" s="11" t="s">
        <x:v>1206</x:v>
      </x:c>
      <x:c r="B297" s="3">
        <x:v>45.03</x:v>
      </x:c>
      <x:c r="C297" s="5">
        <x:v>47.267000000000003</x:v>
      </x:c>
      <x:c r="D297" s="5">
        <x:f t="shared" si="5"/>
        <x:v>2.2370000000000019</x:v>
      </x:c>
      <x:c r="E297" t="s">
        <x:v>50</x:v>
      </x:c>
      <x:c r="F297" t="s">
        <x:v>26</x:v>
      </x:c>
      <x:c r="G297" t="s">
        <x:v>1207</x:v>
      </x:c>
      <x:c r="H297" t="s">
        <x:v>1208</x:v>
      </x:c>
      <x:c r="I297" s="15"/>
      <x:c r="J297" s="15"/>
      <x:c r="K297" s="15"/>
      <x:c r="L297" s="18"/>
      <x:c r="N297" s="18"/>
      <x:c r="P297" s="18"/>
      <x:c r="V297" t="s">
        <x:v>53</x:v>
      </x:c>
      <x:c r="W297" s="15">
        <x:v>17.236999999999998</x:v>
      </x:c>
      <x:c r="X297" s="16" t="s">
        <x:v>54</x:v>
      </x:c>
    </x:row>
    <x:row r="298" ht="18">
      <x:c r="A298" s="11" t="s">
        <x:v>1209</x:v>
      </x:c>
      <x:c r="B298" s="3">
        <x:v>46.88</x:v>
      </x:c>
      <x:c r="C298" s="5">
        <x:v>49.115000000000002</x:v>
      </x:c>
      <x:c r="D298" s="5">
        <x:f t="shared" si="5"/>
        <x:v>2.2349999999999994</x:v>
      </x:c>
      <x:c r="E298" t="s">
        <x:v>82</x:v>
      </x:c>
      <x:c r="F298" t="s">
        <x:v>26</x:v>
      </x:c>
      <x:c r="G298" t="s">
        <x:v>1210</x:v>
      </x:c>
      <x:c r="H298" t="s">
        <x:v>1211</x:v>
      </x:c>
      <x:c r="I298" s="15">
        <x:v>16</x:v>
      </x:c>
      <x:c r="J298" s="15">
        <x:v>12</x:v>
      </x:c>
      <x:c r="K298" s="15">
        <x:v>12</x:v>
      </x:c>
      <x:c r="L298" s="18">
        <x:v>27.9</x:v>
      </x:c>
      <x:c r="M298" t="s">
        <x:v>29</x:v>
      </x:c>
      <x:c r="N298" s="18">
        <x:v>28</x:v>
      </x:c>
      <x:c r="O298" t="s">
        <x:v>29</x:v>
      </x:c>
      <x:c r="P298" s="18">
        <x:v>26.455471462185308</x:v>
      </x:c>
      <x:c r="Q298" t="s">
        <x:v>29</x:v>
      </x:c>
      <x:c r="R298" t="s">
        <x:v>1212</x:v>
      </x:c>
      <x:c r="S298" t="s">
        <x:v>1213</x:v>
      </x:c>
      <x:c r="T298" t="s">
        <x:v>32</x:v>
      </x:c>
      <x:c r="U298" t="s">
        <x:v>33</x:v>
      </x:c>
      <x:c r="V298" t="s">
        <x:v>26</x:v>
      </x:c>
      <x:c r="W298" s="15">
        <x:v>1</x:v>
      </x:c>
      <x:c r="X298" s="16" t="s">
        <x:v>245</x:v>
      </x:c>
    </x:row>
    <x:row r="299" ht="18">
      <x:c r="A299" s="11" t="s">
        <x:v>1214</x:v>
      </x:c>
      <x:c r="B299" s="3">
        <x:v>20.32</x:v>
      </x:c>
      <x:c r="C299" s="5">
        <x:v>22.55</x:v>
      </x:c>
      <x:c r="D299" s="5">
        <x:f t="shared" si="5"/>
        <x:v>2.2300000000000004</x:v>
      </x:c>
      <x:c r="E299" t="s">
        <x:v>82</x:v>
      </x:c>
      <x:c r="F299" t="s">
        <x:v>26</x:v>
      </x:c>
      <x:c r="G299" t="s">
        <x:v>1215</x:v>
      </x:c>
      <x:c r="H299" t="s">
        <x:v>1216</x:v>
      </x:c>
      <x:c r="I299" s="15"/>
      <x:c r="J299" s="15"/>
      <x:c r="K299" s="15"/>
      <x:c r="L299" s="18"/>
      <x:c r="N299" s="18"/>
      <x:c r="P299" s="18"/>
      <x:c r="V299" t="s">
        <x:v>53</x:v>
      </x:c>
      <x:c r="W299" s="15">
        <x:v>11.34</x:v>
      </x:c>
      <x:c r="X299" s="16" t="s">
        <x:v>87</x:v>
      </x:c>
    </x:row>
    <x:row r="300" ht="18">
      <x:c r="A300" s="11" t="s">
        <x:v>1217</x:v>
      </x:c>
      <x:c r="B300" s="3">
        <x:v>23.06</x:v>
      </x:c>
      <x:c r="C300" s="5">
        <x:v>25.277999999999999</x:v>
      </x:c>
      <x:c r="D300" s="5">
        <x:f t="shared" si="5"/>
        <x:v>2.218</x:v>
      </x:c>
      <x:c r="F300" t="s">
        <x:v>53</x:v>
      </x:c>
      <x:c r="I300" s="15">
        <x:v>16</x:v>
      </x:c>
      <x:c r="J300" s="15">
        <x:v>16</x:v>
      </x:c>
      <x:c r="K300" s="15">
        <x:v>12</x:v>
      </x:c>
      <x:c r="L300" s="18">
        <x:v>29.9</x:v>
      </x:c>
      <x:c r="M300" t="s">
        <x:v>29</x:v>
      </x:c>
      <x:c r="N300" s="18">
        <x:v>30</x:v>
      </x:c>
      <x:c r="O300" t="s">
        <x:v>29</x:v>
      </x:c>
      <x:c r="P300" s="18">
        <x:v>26.455471462185308</x:v>
      </x:c>
      <x:c r="Q300" t="s">
        <x:v>29</x:v>
      </x:c>
      <x:c r="R300" t="s">
        <x:v>199</x:v>
      </x:c>
      <x:c r="S300" t="s">
        <x:v>258</x:v>
      </x:c>
      <x:c r="T300" t="s">
        <x:v>32</x:v>
      </x:c>
      <x:c r="U300" t="s">
        <x:v>33</x:v>
      </x:c>
      <x:c r="V300" t="s">
        <x:v>26</x:v>
      </x:c>
      <x:c r="W300" s="15">
        <x:v>1</x:v>
      </x:c>
      <x:c r="X300" s="16" t="s">
        <x:v>245</x:v>
      </x:c>
    </x:row>
    <x:row r="301" ht="18">
      <x:c r="A301" s="11" t="s">
        <x:v>1218</x:v>
      </x:c>
      <x:c r="B301" s="3">
        <x:v>17.75</x:v>
      </x:c>
      <x:c r="C301" s="5">
        <x:v>19.931999999999999</x:v>
      </x:c>
      <x:c r="D301" s="5">
        <x:f t="shared" si="5"/>
        <x:v>2.1819999999999986</x:v>
      </x:c>
      <x:c r="E301" t="s">
        <x:v>790</x:v>
      </x:c>
      <x:c r="F301" t="s">
        <x:v>26</x:v>
      </x:c>
      <x:c r="G301" t="s">
        <x:v>1219</x:v>
      </x:c>
      <x:c r="H301" t="s">
        <x:v>1220</x:v>
      </x:c>
      <x:c r="I301" s="15">
        <x:v>15</x:v>
      </x:c>
      <x:c r="J301" s="15">
        <x:v>14</x:v>
      </x:c>
      <x:c r="K301" s="15">
        <x:v>11</x:v>
      </x:c>
      <x:c r="L301" s="18">
        <x:v>18.600000000000001</x:v>
      </x:c>
      <x:c r="M301" t="s">
        <x:v>29</x:v>
      </x:c>
      <x:c r="N301" s="18">
        <x:v>19</x:v>
      </x:c>
      <x:c r="O301" t="s">
        <x:v>29</x:v>
      </x:c>
      <x:c r="P301" s="18">
        <x:v>12.985227242689287</x:v>
      </x:c>
      <x:c r="Q301" t="s">
        <x:v>29</x:v>
      </x:c>
      <x:c r="R301" t="s">
        <x:v>757</x:v>
      </x:c>
      <x:c r="S301" t="s">
        <x:v>1148</x:v>
      </x:c>
      <x:c r="T301" t="s">
        <x:v>32</x:v>
      </x:c>
      <x:c r="U301" t="s">
        <x:v>33</x:v>
      </x:c>
      <x:c r="V301" t="s">
        <x:v>26</x:v>
      </x:c>
      <x:c r="W301" s="15">
        <x:v>5.8970000000000002</x:v>
      </x:c>
      <x:c r="X301" s="16" t="s">
        <x:v>794</x:v>
      </x:c>
    </x:row>
    <x:row r="302" ht="18">
      <x:c r="A302" s="11" t="s">
        <x:v>1221</x:v>
      </x:c>
      <x:c r="B302" s="3">
        <x:v>20.7</x:v>
      </x:c>
      <x:c r="C302" s="5">
        <x:v>22.858000000000001</x:v>
      </x:c>
      <x:c r="D302" s="5">
        <x:f t="shared" si="5"/>
        <x:v>2.1580000000000013</x:v>
      </x:c>
      <x:c r="E302" t="s">
        <x:v>82</x:v>
      </x:c>
      <x:c r="F302" t="s">
        <x:v>26</x:v>
      </x:c>
      <x:c r="G302" t="s">
        <x:v>1222</x:v>
      </x:c>
      <x:c r="H302" t="s">
        <x:v>1223</x:v>
      </x:c>
      <x:c r="I302" s="15">
        <x:v>16</x:v>
      </x:c>
      <x:c r="J302" s="15">
        <x:v>16</x:v>
      </x:c>
      <x:c r="K302" s="15">
        <x:v>12</x:v>
      </x:c>
      <x:c r="L302" s="18">
        <x:v>29.8</x:v>
      </x:c>
      <x:c r="M302" t="s">
        <x:v>29</x:v>
      </x:c>
      <x:c r="N302" s="18">
        <x:v>30</x:v>
      </x:c>
      <x:c r="O302" t="s">
        <x:v>29</x:v>
      </x:c>
      <x:c r="P302" s="18">
        <x:v>22.994213945882731</x:v>
      </x:c>
      <x:c r="Q302" t="s">
        <x:v>29</x:v>
      </x:c>
      <x:c r="R302" t="s">
        <x:v>92</x:v>
      </x:c>
      <x:c r="S302" t="s">
        <x:v>1224</x:v>
      </x:c>
      <x:c r="T302" t="s">
        <x:v>32</x:v>
      </x:c>
      <x:c r="U302" t="s">
        <x:v>33</x:v>
      </x:c>
      <x:c r="V302" t="s">
        <x:v>26</x:v>
      </x:c>
      <x:c r="W302" s="15">
        <x:v>10.433</x:v>
      </x:c>
      <x:c r="X302" s="16" t="s">
        <x:v>513</x:v>
      </x:c>
    </x:row>
    <x:row r="303" ht="18">
      <x:c r="A303" s="11" t="s">
        <x:v>1225</x:v>
      </x:c>
      <x:c r="B303" s="3">
        <x:v>20.239999999999998</x:v>
      </x:c>
      <x:c r="C303" s="5">
        <x:v>22.373999999999999</x:v>
      </x:c>
      <x:c r="D303" s="5">
        <x:f t="shared" si="5"/>
        <x:v>2.1340000000000003</x:v>
      </x:c>
      <x:c r="E303" t="s">
        <x:v>82</x:v>
      </x:c>
      <x:c r="F303" t="s">
        <x:v>26</x:v>
      </x:c>
      <x:c r="G303" t="s">
        <x:v>1226</x:v>
      </x:c>
      <x:c r="H303" t="s">
        <x:v>1227</x:v>
      </x:c>
      <x:c r="I303" s="15">
        <x:v>16</x:v>
      </x:c>
      <x:c r="J303" s="15">
        <x:v>15</x:v>
      </x:c>
      <x:c r="K303" s="15">
        <x:v>12</x:v>
      </x:c>
      <x:c r="L303" s="18">
        <x:v>28.4</x:v>
      </x:c>
      <x:c r="M303" t="s">
        <x:v>29</x:v>
      </x:c>
      <x:c r="N303" s="18">
        <x:v>29</x:v>
      </x:c>
      <x:c r="O303" t="s">
        <x:v>29</x:v>
      </x:c>
      <x:c r="P303" s="18">
        <x:v>25.000420531765116</x:v>
      </x:c>
      <x:c r="Q303" t="s">
        <x:v>29</x:v>
      </x:c>
      <x:c r="R303" t="s">
        <x:v>59</x:v>
      </x:c>
      <x:c r="S303" t="s">
        <x:v>1228</x:v>
      </x:c>
      <x:c r="T303" t="s">
        <x:v>32</x:v>
      </x:c>
      <x:c r="U303" t="s">
        <x:v>33</x:v>
      </x:c>
      <x:c r="V303" t="s">
        <x:v>26</x:v>
      </x:c>
      <x:c r="W303" s="15">
        <x:v>0</x:v>
      </x:c>
      <x:c r="X303" s="16" t="s">
        <x:v>640</x:v>
      </x:c>
    </x:row>
    <x:row r="304" ht="18">
      <x:c r="A304" s="11" t="s">
        <x:v>1229</x:v>
      </x:c>
      <x:c r="B304" s="3">
        <x:v>20.2</x:v>
      </x:c>
      <x:c r="C304" s="5">
        <x:v>22.33</x:v>
      </x:c>
      <x:c r="D304" s="5">
        <x:f t="shared" si="5"/>
        <x:v>2.129999999999999</x:v>
      </x:c>
      <x:c r="E304" t="s">
        <x:v>82</x:v>
      </x:c>
      <x:c r="F304" t="s">
        <x:v>26</x:v>
      </x:c>
      <x:c r="G304" t="s">
        <x:v>1230</x:v>
      </x:c>
      <x:c r="H304" t="s">
        <x:v>1231</x:v>
      </x:c>
      <x:c r="I304" s="15">
        <x:v>15</x:v>
      </x:c>
      <x:c r="J304" s="15">
        <x:v>14</x:v>
      </x:c>
      <x:c r="K304" s="15">
        <x:v>12</x:v>
      </x:c>
      <x:c r="L304" s="18">
        <x:v>28.2</x:v>
      </x:c>
      <x:c r="M304" t="s">
        <x:v>29</x:v>
      </x:c>
      <x:c r="N304" s="18">
        <x:v>29</x:v>
      </x:c>
      <x:c r="O304" t="s">
        <x:v>29</x:v>
      </x:c>
      <x:c r="P304" s="18">
        <x:v>25.000420531765116</x:v>
      </x:c>
      <x:c r="Q304" t="s">
        <x:v>29</x:v>
      </x:c>
      <x:c r="R304" t="s">
        <x:v>59</x:v>
      </x:c>
      <x:c r="S304" t="s">
        <x:v>1232</x:v>
      </x:c>
      <x:c r="T304" t="s">
        <x:v>32</x:v>
      </x:c>
      <x:c r="U304" t="s">
        <x:v>33</x:v>
      </x:c>
      <x:c r="V304" t="s">
        <x:v>26</x:v>
      </x:c>
      <x:c r="W304" s="15">
        <x:v>11.34</x:v>
      </x:c>
      <x:c r="X304" s="16" t="s">
        <x:v>87</x:v>
      </x:c>
    </x:row>
    <x:row r="305" ht="18">
      <x:c r="A305" s="11" t="s">
        <x:v>1233</x:v>
      </x:c>
      <x:c r="B305" s="3">
        <x:v>21.77</x:v>
      </x:c>
      <x:c r="C305" s="5">
        <x:v>23.837</x:v>
      </x:c>
      <x:c r="D305" s="5">
        <x:f t="shared" si="5"/>
        <x:v>2.0670000000000002</x:v>
      </x:c>
      <x:c r="E305" t="s">
        <x:v>50</x:v>
      </x:c>
      <x:c r="F305" t="s">
        <x:v>26</x:v>
      </x:c>
      <x:c r="G305" t="s">
        <x:v>1234</x:v>
      </x:c>
      <x:c r="H305" t="s">
        <x:v>1235</x:v>
      </x:c>
      <x:c r="I305" s="15">
        <x:v>26</x:v>
      </x:c>
      <x:c r="J305" s="15">
        <x:v>17</x:v>
      </x:c>
      <x:c r="K305" s="15">
        <x:v>16</x:v>
      </x:c>
      <x:c r="L305" s="18">
        <x:v>44.7</x:v>
      </x:c>
      <x:c r="M305" t="s">
        <x:v>29</x:v>
      </x:c>
      <x:c r="N305" s="18">
        <x:v>45</x:v>
      </x:c>
      <x:c r="O305" t="s">
        <x:v>29</x:v>
      </x:c>
      <x:c r="P305" s="18">
        <x:v>37.985647774454407</x:v>
      </x:c>
      <x:c r="Q305" t="s">
        <x:v>29</x:v>
      </x:c>
      <x:c r="R305" t="s">
        <x:v>32</x:v>
      </x:c>
      <x:c r="S305" t="s">
        <x:v>1236</x:v>
      </x:c>
      <x:c r="T305" t="s">
        <x:v>32</x:v>
      </x:c>
      <x:c r="U305" t="s">
        <x:v>33</x:v>
      </x:c>
      <x:c r="V305" t="s">
        <x:v>26</x:v>
      </x:c>
      <x:c r="W305" s="15">
        <x:v>17.236999999999998</x:v>
      </x:c>
      <x:c r="X305" s="16" t="s">
        <x:v>54</x:v>
      </x:c>
    </x:row>
    <x:row r="306" ht="18">
      <x:c r="A306" s="12" t="s">
        <x:v>1237</x:v>
      </x:c>
      <x:c r="B306" s="2">
        <x:v>21.77</x:v>
      </x:c>
      <x:c r="C306" s="6">
        <x:v>23.782</x:v>
      </x:c>
      <x:c r="D306" s="5">
        <x:f t="shared" si="5"/>
        <x:v>2.0120000000000005</x:v>
      </x:c>
      <x:c r="E306" t="s">
        <x:v>1137</x:v>
      </x:c>
      <x:c r="F306" t="s">
        <x:v>26</x:v>
      </x:c>
      <x:c r="G306" t="s">
        <x:v>1238</x:v>
      </x:c>
      <x:c r="H306" t="s">
        <x:v>1239</x:v>
      </x:c>
      <x:c r="I306" s="15">
        <x:v>19</x:v>
      </x:c>
      <x:c r="J306" s="15">
        <x:v>17</x:v>
      </x:c>
      <x:c r="K306" s="15">
        <x:v>13</x:v>
      </x:c>
      <x:c r="L306" s="18">
        <x:v>43.1</x:v>
      </x:c>
      <x:c r="M306" t="s">
        <x:v>29</x:v>
      </x:c>
      <x:c r="N306" s="18">
        <x:v>44</x:v>
      </x:c>
      <x:c r="O306" t="s">
        <x:v>29</x:v>
      </x:c>
      <x:c r="P306" s="18">
        <x:v>37.985647774454407</x:v>
      </x:c>
      <x:c r="Q306" t="s">
        <x:v>29</x:v>
      </x:c>
      <x:c r="R306" t="s">
        <x:v>92</x:v>
      </x:c>
      <x:c r="S306" t="s">
        <x:v>1240</x:v>
      </x:c>
      <x:c r="T306" t="s">
        <x:v>32</x:v>
      </x:c>
      <x:c r="U306" t="s">
        <x:v>33</x:v>
      </x:c>
      <x:c r="V306" t="s">
        <x:v>26</x:v>
      </x:c>
      <x:c r="W306" s="15">
        <x:v>17.236999999999998</x:v>
      </x:c>
      <x:c r="X306" s="16" t="s">
        <x:v>1141</x:v>
      </x:c>
    </x:row>
    <x:row r="307" ht="18">
      <x:c r="A307" s="12" t="s">
        <x:v>1241</x:v>
      </x:c>
      <x:c r="B307" s="3">
        <x:v>17.399999999999999</x:v>
      </x:c>
      <x:c r="C307" s="5">
        <x:v>19.404</x:v>
      </x:c>
      <x:c r="D307" s="5">
        <x:f t="shared" si="5"/>
        <x:v>2.0040000000000013</x:v>
      </x:c>
      <x:c r="E307" t="s">
        <x:v>790</x:v>
      </x:c>
      <x:c r="F307" t="s">
        <x:v>26</x:v>
      </x:c>
      <x:c r="G307" t="s">
        <x:v>1242</x:v>
      </x:c>
      <x:c r="H307" t="s">
        <x:v>1243</x:v>
      </x:c>
      <x:c r="I307" s="15"/>
      <x:c r="J307" s="15"/>
      <x:c r="K307" s="15"/>
      <x:c r="L307" s="18"/>
      <x:c r="N307" s="18"/>
      <x:c r="P307" s="18"/>
      <x:c r="V307" t="s">
        <x:v>53</x:v>
      </x:c>
      <x:c r="W307" s="15">
        <x:v>6.8040000000000003</x:v>
      </x:c>
      <x:c r="X307" s="16" t="s">
        <x:v>1244</x:v>
      </x:c>
    </x:row>
    <x:row r="308" ht="18">
      <x:c r="A308" s="12"/>
      <x:c r="B308" s="3" t="n">
        <x:f t="shared" ref="B308:D308" si="6">SUM(B2:B307)</x:f>
        <x:v>12777.08</x:v>
      </x:c>
      <x:c r="C308" s="7">
        <x:f t="shared" si="6"/>
        <x:v>17493.560999999994</x:v>
      </x:c>
      <x:c r="D308" s="7">
        <x:f t="shared" si="6"/>
        <x:v>4716.4809999999907</x:v>
      </x:c>
    </x:row>
  </x:sheetData>
  <x:conditionalFormatting sqref="A306:A306">
    <x:cfRule type="duplicateValues" dxfId="2" priority="2"/>
  </x:conditionalFormatting>
  <x:conditionalFormatting sqref="A307:A307">
    <x:cfRule type="duplicateValues" dxfId="1" priority="1"/>
  </x:conditionalFormatting>
  <x:conditionalFormatting sqref="A308:A308 A1:D1 A2:A305">
    <x:cfRule type="duplicateValues" dxfId="0" priority="3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6" customWidth="1"/>
    <x:col min="2" max="2" width="20" customWidth="1"/>
    <x:col min="4" max="4" width="100" customWidth="1"/>
  </x:cols>
  <x:sheetData>
    <x:row r="1">
      <x:c r="A1" s="9" t="s">
        <x:v>1245</x:v>
      </x:c>
      <x:c r="B1" s="9" t="s">
        <x:v>1246</x:v>
      </x:c>
      <x:c r="D1" t="s">
        <x:v>1247</x:v>
      </x:c>
    </x:row>
    <x:row r="2">
      <x:c r="A2" t="s">
        <x:v>113</x:v>
      </x:c>
      <x:c r="B2">
        <x:v>2</x:v>
      </x:c>
      <x:c r="D2" t="s">
        <x:v>1248</x:v>
      </x:c>
    </x:row>
    <x:row r="3">
      <x:c r="A3" t="s">
        <x:v>149</x:v>
      </x:c>
      <x:c r="B3">
        <x:v>19</x:v>
      </x:c>
    </x:row>
    <x:row r="4">
      <x:c r="A4" t="s">
        <x:v>50</x:v>
      </x:c>
      <x:c r="B4">
        <x:v>45</x:v>
      </x:c>
      <x:c r="D4" t="s">
        <x:v>1249</x:v>
      </x:c>
    </x:row>
    <x:row r="5">
      <x:c r="A5" t="s">
        <x:v>82</x:v>
      </x:c>
      <x:c r="B5">
        <x:v>81</x:v>
      </x:c>
    </x:row>
    <x:row r="6">
      <x:c r="A6" t="s">
        <x:v>43</x:v>
      </x:c>
      <x:c r="B6">
        <x:v>18</x:v>
      </x:c>
    </x:row>
    <x:row r="7">
      <x:c r="A7" t="s">
        <x:v>282</x:v>
      </x:c>
      <x:c r="B7">
        <x:v>3</x:v>
      </x:c>
    </x:row>
    <x:row r="8">
      <x:c r="A8" t="s">
        <x:v>776</x:v>
      </x:c>
      <x:c r="B8">
        <x:v>2</x:v>
      </x:c>
    </x:row>
    <x:row r="9">
      <x:c r="A9" t="s">
        <x:v>287</x:v>
      </x:c>
      <x:c r="B9">
        <x:v>3</x:v>
      </x:c>
    </x:row>
    <x:row r="10">
      <x:c r="A10" t="s">
        <x:v>336</x:v>
      </x:c>
      <x:c r="B10">
        <x:v>3</x:v>
      </x:c>
    </x:row>
    <x:row r="11">
      <x:c r="A11" t="s">
        <x:v>56</x:v>
      </x:c>
      <x:c r="B11">
        <x:v>1</x:v>
      </x:c>
    </x:row>
    <x:row r="12">
      <x:c r="A12" t="s">
        <x:v>790</x:v>
      </x:c>
      <x:c r="B12">
        <x:v>4</x:v>
      </x:c>
    </x:row>
    <x:row r="13">
      <x:c r="A13" t="s">
        <x:v>404</x:v>
      </x:c>
      <x:c r="B13">
        <x:v>1</x:v>
      </x:c>
    </x:row>
    <x:row r="14">
      <x:c r="A14" t="s">
        <x:v>138</x:v>
      </x:c>
      <x:c r="B14">
        <x:v>9</x:v>
      </x:c>
    </x:row>
    <x:row r="15">
      <x:c r="A15" t="s">
        <x:v>131</x:v>
      </x:c>
      <x:c r="B15">
        <x:v>3</x:v>
      </x:c>
    </x:row>
    <x:row r="16">
      <x:c r="A16" t="s">
        <x:v>387</x:v>
      </x:c>
      <x:c r="B16">
        <x:v>3</x:v>
      </x:c>
    </x:row>
    <x:row r="17">
      <x:c r="A17" t="s">
        <x:v>187</x:v>
      </x:c>
      <x:c r="B17">
        <x:v>2</x:v>
      </x:c>
    </x:row>
    <x:row r="18">
      <x:c r="A18" t="s">
        <x:v>192</x:v>
      </x:c>
      <x:c r="B18">
        <x:v>8</x:v>
      </x:c>
    </x:row>
    <x:row r="19">
      <x:c r="A19" t="s">
        <x:v>454</x:v>
      </x:c>
      <x:c r="B19">
        <x:v>2</x:v>
      </x:c>
    </x:row>
    <x:row r="20">
      <x:c r="A20" t="s">
        <x:v>70</x:v>
      </x:c>
      <x:c r="B20">
        <x:v>11</x:v>
      </x:c>
    </x:row>
    <x:row r="21">
      <x:c r="A21" t="s">
        <x:v>376</x:v>
      </x:c>
      <x:c r="B21">
        <x:v>1</x:v>
      </x:c>
    </x:row>
    <x:row r="22">
      <x:c r="A22" t="s">
        <x:v>324</x:v>
      </x:c>
      <x:c r="B22">
        <x:v>2</x:v>
      </x:c>
    </x:row>
    <x:row r="23">
      <x:c r="A23" t="s">
        <x:v>1250</x:v>
      </x:c>
      <x:c r="B23">
        <x:v>1</x:v>
      </x:c>
    </x:row>
    <x:row r="24">
      <x:c r="A24" t="s">
        <x:v>99</x:v>
      </x:c>
      <x:c r="B24">
        <x:v>10</x:v>
      </x:c>
    </x:row>
    <x:row r="25">
      <x:c r="A25" t="s">
        <x:v>886</x:v>
      </x:c>
      <x:c r="B25">
        <x:v>2</x:v>
      </x:c>
    </x:row>
    <x:row r="26">
      <x:c r="A26" t="s">
        <x:v>89</x:v>
      </x:c>
      <x:c r="B26">
        <x:v>4</x:v>
      </x:c>
    </x:row>
    <x:row r="27">
      <x:c r="A27" t="s">
        <x:v>579</x:v>
      </x:c>
      <x:c r="B27">
        <x:v>1</x:v>
      </x:c>
    </x:row>
    <x:row r="28">
      <x:c r="A28" t="s">
        <x:v>483</x:v>
      </x:c>
      <x:c r="B28">
        <x:v>2</x:v>
      </x:c>
    </x:row>
    <x:row r="29">
      <x:c r="A29" t="s">
        <x:v>63</x:v>
      </x:c>
      <x:c r="B29">
        <x:v>3</x:v>
      </x:c>
    </x:row>
    <x:row r="30">
      <x:c r="A30" t="s">
        <x:v>216</x:v>
      </x:c>
      <x:c r="B30">
        <x:v>3</x:v>
      </x:c>
    </x:row>
    <x:row r="31">
      <x:c r="A31" t="s">
        <x:v>819</x:v>
      </x:c>
      <x:c r="B31">
        <x:v>1</x:v>
      </x:c>
    </x:row>
    <x:row r="32">
      <x:c r="A32" t="s">
        <x:v>860</x:v>
      </x:c>
      <x:c r="B32">
        <x:v>1</x:v>
      </x:c>
    </x:row>
    <x:row r="33">
      <x:c r="A33" t="s">
        <x:v>25</x:v>
      </x:c>
      <x:c r="B33">
        <x:v>1</x:v>
      </x:c>
    </x:row>
    <x:row r="34">
      <x:c r="A34" t="s">
        <x:v>739</x:v>
      </x:c>
      <x:c r="B34">
        <x:v>1</x:v>
      </x:c>
    </x:row>
    <x:row r="35">
      <x:c r="A35" t="s">
        <x:v>369</x:v>
      </x:c>
      <x:c r="B35">
        <x:v>1</x:v>
      </x:c>
    </x:row>
    <x:row r="36">
      <x:c r="A36" t="s">
        <x:v>589</x:v>
      </x:c>
      <x:c r="B36">
        <x:v>4</x:v>
      </x:c>
    </x:row>
    <x:row r="37">
      <x:c r="A37" t="s">
        <x:v>1137</x:v>
      </x:c>
      <x:c r="B37">
        <x:v>2</x:v>
      </x:c>
    </x:row>
    <x:row r="38">
      <x:c r="A38" t="s">
        <x:v>36</x:v>
      </x:c>
      <x:c r="B38">
        <x:v>1</x:v>
      </x:c>
    </x:row>
    <x:row r="39">
      <x:c r="A39" t="s">
        <x:v>459</x:v>
      </x:c>
      <x:c r="B39">
        <x:v>1</x:v>
      </x:c>
    </x:row>
    <x:row r="40">
      <x:c r="A40" t="s">
        <x:v>523</x:v>
      </x:c>
      <x:c r="B40">
        <x:v>1</x:v>
      </x:c>
    </x:row>
    <x:row r="41">
      <x:c r="A41" t="s">
        <x:v>319</x:v>
      </x:c>
      <x:c r="B41">
        <x:v>1</x:v>
      </x:c>
    </x:row>
    <x:row r="42">
      <x:c r="A42" t="s">
        <x:v>1251</x:v>
      </x:c>
      <x:c r="B42">
        <x:v>264</x:v>
      </x:c>
    </x:row>
    <x:row r="43">
      <x:c r="A43" t="s">
        <x:v>53</x:v>
      </x:c>
      <x:c r="B43">
        <x:v>42</x:v>
      </x:c>
    </x:row>
    <x:row r="44">
      <x:c r="A44" t="s">
        <x:v>1252</x:v>
      </x:c>
      <x:c r="B44">
        <x:v>306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2" customWidth="1"/>
    <x:col min="2" max="2" width="105" customWidth="1"/>
  </x:cols>
  <x:sheetData>
    <x:row r="1" ht="14.25" customHeight="1">
      <x:c r="A1" s="13" t="s">
        <x:v>1253</x:v>
      </x:c>
      <x:c r="B1" s="10" t="s">
        <x:v>1254</x:v>
      </x:c>
    </x:row>
    <x:row r="2" ht="14.25" customHeight="1">
      <x:c r="A2" t="s">
        <x:v>1255</x:v>
      </x:c>
      <x:c r="B2" s="16" t="s">
        <x:v>1256</x:v>
      </x:c>
    </x:row>
    <x:row r="3" ht="14.25" customHeight="1">
      <x:c r="A3" t="s">
        <x:v>1257</x:v>
      </x:c>
      <x:c r="B3" s="16" t="s">
        <x:v>1258</x:v>
      </x:c>
    </x:row>
    <x:row r="4" ht="14.25" customHeight="1">
      <x:c r="A4" t="s">
        <x:v>1259</x:v>
      </x:c>
      <x:c r="B4" s="16" t="s">
        <x:v>1260</x:v>
      </x:c>
    </x:row>
    <x:row r="5" ht="14.25" customHeight="1">
      <x:c r="A5" t="s">
        <x:v>1261</x:v>
      </x:c>
      <x:c r="B5" s="16" t="s">
        <x:v>1262</x:v>
      </x:c>
    </x:row>
    <x:row r="6" ht="14.25" customHeight="1">
      <x:c r="A6" t="s">
        <x:v>1263</x:v>
      </x:c>
      <x:c r="B6" s="16" t="s">
        <x:v>1264</x:v>
      </x:c>
    </x:row>
    <x:row r="7" ht="14.25" customHeight="1">
      <x:c r="A7" t="s">
        <x:v>1265</x:v>
      </x:c>
      <x:c r="B7" s="16" t="s">
        <x:v>1266</x:v>
      </x:c>
    </x:row>
    <x:row r="8" ht="14.25" customHeight="1">
      <x:c r="A8" t="s">
        <x:v>1267</x:v>
      </x:c>
      <x:c r="B8" s="16" t="s">
        <x:v>1268</x:v>
      </x:c>
    </x:row>
    <x:row r="9" ht="14.25" customHeight="1">
      <x:c r="A9" t="s">
        <x:v>1269</x:v>
      </x:c>
      <x:c r="B9" s="16" t="s">
        <x:v>1270</x:v>
      </x:c>
    </x:row>
    <x:row r="10" ht="14.25" customHeight="1">
      <x:c r="A10" t="s">
        <x:v>1271</x:v>
      </x:c>
      <x:c r="B10" s="16" t="s">
        <x:v>1272</x:v>
      </x:c>
    </x:row>
    <x:row r="11" ht="14.25" customHeight="1">
      <x:c r="A11" t="s">
        <x:v>1273</x:v>
      </x:c>
      <x:c r="B11" s="16" t="s">
        <x:v>1274</x:v>
      </x:c>
    </x:row>
    <x:row r="12" ht="14.25" customHeight="1">
      <x:c r="A12" t="s">
        <x:v>1275</x:v>
      </x:c>
      <x:c r="B12" s="16" t="s">
        <x:v>1276</x:v>
      </x:c>
    </x:row>
    <x:row r="13" ht="14.25" customHeight="1">
      <x:c r="A13" t="s">
        <x:v>1277</x:v>
      </x:c>
      <x:c r="B13" s="16" t="s">
        <x:v>1278</x:v>
      </x:c>
    </x:row>
    <x:row r="14" ht="14.25" customHeight="1">
      <x:c r="A14" t="s">
        <x:v>1279</x:v>
      </x:c>
      <x:c r="B14" s="16" t="s">
        <x:v>1280</x:v>
      </x:c>
    </x:row>
    <x:row r="15" ht="14.25" customHeight="1">
      <x:c r="A15" t="s">
        <x:v>1281</x:v>
      </x:c>
      <x:c r="B15" s="16" t="s">
        <x:v>1282</x:v>
      </x:c>
    </x:row>
    <x:row r="16" ht="14.25" customHeight="1">
      <x:c r="A16" t="s">
        <x:v>1283</x:v>
      </x:c>
      <x:c r="B16" s="16" t="s">
        <x:v>1284</x:v>
      </x:c>
    </x:row>
    <x:row r="17" ht="14.25" customHeight="1">
      <x:c r="A17" t="s">
        <x:v>1285</x:v>
      </x:c>
      <x:c r="B17" s="16" t="s">
        <x:v>1286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19" customWidth="1"/>
    <x:col min="2" max="2" width="21" customWidth="1"/>
    <x:col min="3" max="3" width="22" customWidth="1"/>
    <x:col min="4" max="27" width="19" customWidth="1"/>
    <x:col min="28" max="28" width="90" customWidth="1"/>
    <x:col min="29" max="29" width="19" customWidth="1"/>
  </x:cols>
  <x:sheetData>
    <x:row r="1" ht="54" customHeight="1">
      <x:c r="A1" s="20" t="s">
        <x:v>1287</x:v>
      </x:c>
      <x:c r="B1" s="21" t="s">
        <x:v>1288</x:v>
      </x:c>
      <x:c r="C1" s="20" t="s">
        <x:v>1245</x:v>
      </x:c>
      <x:c r="D1" s="20" t="s">
        <x:v>1289</x:v>
      </x:c>
      <x:c r="E1" s="20" t="s">
        <x:v>1290</x:v>
      </x:c>
      <x:c r="F1" s="20" t="s">
        <x:v>1291</x:v>
      </x:c>
      <x:c r="G1" s="20" t="s">
        <x:v>1292</x:v>
      </x:c>
      <x:c r="H1" s="20" t="s">
        <x:v>1293</x:v>
      </x:c>
      <x:c r="I1" s="20" t="s">
        <x:v>1294</x:v>
      </x:c>
      <x:c r="J1" s="20" t="s">
        <x:v>1295</x:v>
      </x:c>
      <x:c r="K1" s="20" t="s">
        <x:v>1296</x:v>
      </x:c>
      <x:c r="L1" s="20" t="s">
        <x:v>1297</x:v>
      </x:c>
      <x:c r="M1" s="20" t="s">
        <x:v>1298</x:v>
      </x:c>
      <x:c r="N1" s="20" t="s">
        <x:v>1299</x:v>
      </x:c>
      <x:c r="O1" s="20" t="s">
        <x:v>1300</x:v>
      </x:c>
      <x:c r="P1" s="20" t="s">
        <x:v>1301</x:v>
      </x:c>
      <x:c r="Q1" s="20" t="s">
        <x:v>1302</x:v>
      </x:c>
      <x:c r="R1" s="20" t="s">
        <x:v>1303</x:v>
      </x:c>
      <x:c r="S1" s="20" t="s">
        <x:v>1304</x:v>
      </x:c>
      <x:c r="T1" s="20" t="s">
        <x:v>1305</x:v>
      </x:c>
      <x:c r="U1" s="20" t="s">
        <x:v>1306</x:v>
      </x:c>
      <x:c r="V1" s="20" t="s">
        <x:v>1307</x:v>
      </x:c>
      <x:c r="W1" s="20" t="s">
        <x:v>1308</x:v>
      </x:c>
      <x:c r="X1" s="20" t="s">
        <x:v>1309</x:v>
      </x:c>
      <x:c r="Y1" s="20" t="s">
        <x:v>1310</x:v>
      </x:c>
      <x:c r="Z1" s="20" t="s">
        <x:v>1311</x:v>
      </x:c>
      <x:c r="AA1" s="20" t="s">
        <x:v>1312</x:v>
      </x:c>
      <x:c r="AB1" s="20" t="s">
        <x:v>1313</x:v>
      </x:c>
      <x:c r="AC1" s="20" t="s">
        <x:v>1314</x:v>
      </x:c>
    </x:row>
    <x:row r="2" ht="54.95000076293945" customHeight="1">
      <x:c r="A2">
        <x:v>1</x:v>
      </x:c>
      <x:c r="B2" t="s">
        <x:v>24</x:v>
      </x:c>
      <x:c r="C2" t="s">
        <x:v>25</x:v>
      </x:c>
      <x:c r="D2" s="22">
        <x:v>114.59</x:v>
      </x:c>
      <x:c r="E2" s="22">
        <x:v>308.55</x:v>
      </x:c>
      <x:c r="F2" s="22" t="n">
        <x:f t="shared" ref="F2:F11" si="0">E2-D2</x:f>
        <x:v>193.96</x:v>
      </x:c>
      <x:c r="G2" s="22">
        <x:v>104.83</x:v>
      </x:c>
      <x:c r="H2" s="22">
        <x:v>-40.880000000000003</x:v>
      </x:c>
      <x:c r="I2" s="22">
        <x:v>160</x:v>
      </x:c>
      <x:c r="J2" s="22">
        <x:v>56.55</x:v>
      </x:c>
      <x:c r="K2" s="22">
        <x:v>280.5</x:v>
      </x:c>
      <x:c r="L2" s="22" t="n">
        <x:f>K2-SUM(G2:J2)</x:f>
        <x:v>0</x:v>
      </x:c>
      <x:c r="M2" t="s">
        <x:v>1315</x:v>
      </x:c>
      <x:c r="N2">
        <x:v>5</x:v>
      </x:c>
      <x:c r="O2" s="18">
        <x:v>101.41264060504368</x:v>
      </x:c>
      <x:c r="P2" s="18">
        <x:v>116.4</x:v>
      </x:c>
      <x:c r="Q2" s="18">
        <x:v>117</x:v>
      </x:c>
      <x:c r="R2">
        <x:v>166</x:v>
      </x:c>
      <x:c r="S2">
        <x:v>102</x:v>
      </x:c>
      <x:c r="T2">
        <x:v>5</x:v>
      </x:c>
      <x:c r="U2" s="22">
        <x:v>90.25</x:v>
      </x:c>
      <x:c r="V2" s="22">
        <x:v>55.05</x:v>
      </x:c>
      <x:c r="W2" s="22">
        <x:v>28.13</x:v>
      </x:c>
      <x:c r="X2" s="23">
        <x:v>0.2525</x:v>
      </x:c>
      <x:c r="Y2" s="22">
        <x:v>21</x:v>
      </x:c>
      <x:c r="Z2" s="22">
        <x:v>114.6</x:v>
      </x:c>
      <x:c r="AA2" s="22" t="n">
        <x:f>Z2-D2</x:f>
        <x:v>0.009999999999990905</x:v>
      </x:c>
      <x:c r="AB2" s="16" t="s">
        <x:v>1316</x:v>
      </x:c>
      <x:c r="AC2">
        <x:v>474</x:v>
      </x:c>
    </x:row>
    <x:row r="3" ht="54.95000076293945" customHeight="1">
      <x:c r="A3">
        <x:v>2</x:v>
      </x:c>
      <x:c r="B3" t="s">
        <x:v>35</x:v>
      </x:c>
      <x:c r="C3" t="s">
        <x:v>36</x:v>
      </x:c>
      <x:c r="D3" s="22">
        <x:v>108.51</x:v>
      </x:c>
      <x:c r="E3" s="22">
        <x:v>270.52300000000002</x:v>
      </x:c>
      <x:c r="F3" s="22">
        <x:f t="shared" si="0"/>
        <x:v>162.01300000000003</x:v>
      </x:c>
      <x:c r="G3" s="22">
        <x:v>97.11</x:v>
      </x:c>
      <x:c r="H3" s="22">
        <x:v>-37.869999999999997</x:v>
      </x:c>
      <x:c r="I3" s="22">
        <x:v>137.5</x:v>
      </x:c>
      <x:c r="J3" s="22">
        <x:v>49.19</x:v>
      </x:c>
      <x:c r="K3" s="22">
        <x:v>245.93</x:v>
      </x:c>
      <x:c r="L3" s="22" t="n">
        <x:f>K3-SUM(G3:J3)</x:f>
        <x:v>0</x:v>
      </x:c>
      <x:c r="M3" t="s">
        <x:v>1317</x:v>
      </x:c>
      <x:c r="N3">
        <x:v>4</x:v>
      </x:c>
      <x:c r="O3" s="18">
        <x:v>106.28485659932947</x:v>
      </x:c>
      <x:c r="P3" s="18">
        <x:v>113.4</x:v>
      </x:c>
      <x:c r="Q3" s="18">
        <x:v>114</x:v>
      </x:c>
      <x:c r="R3">
        <x:v>166</x:v>
      </x:c>
      <x:c r="S3">
        <x:v>107</x:v>
      </x:c>
      <x:c r="T3">
        <x:v>4</x:v>
      </x:c>
      <x:c r="U3" s="22">
        <x:v>88.19</x:v>
      </x:c>
      <x:c r="V3" s="22">
        <x:v>53.8</x:v>
      </x:c>
      <x:c r="W3" s="22">
        <x:v>25.13</x:v>
      </x:c>
      <x:c r="X3" s="23">
        <x:v>0.25</x:v>
      </x:c>
      <x:c r="Y3" s="22">
        <x:v>19.73</x:v>
      </x:c>
      <x:c r="Z3" s="22">
        <x:v>108.53</x:v>
      </x:c>
      <x:c r="AA3" s="22" t="n">
        <x:f>Z3-D3</x:f>
        <x:v>0.01999999999999602</x:v>
      </x:c>
      <x:c r="AB3" s="16" t="s">
        <x:v>1318</x:v>
      </x:c>
      <x:c r="AC3">
        <x:v>338</x:v>
      </x:c>
    </x:row>
    <x:row r="4" ht="54.95000076293945" customHeight="1">
      <x:c r="A4">
        <x:v>3</x:v>
      </x:c>
      <x:c r="B4" t="s">
        <x:v>42</x:v>
      </x:c>
      <x:c r="C4" t="s">
        <x:v>43</x:v>
      </x:c>
      <x:c r="D4" s="22">
        <x:v>95.69</x:v>
      </x:c>
      <x:c r="E4" s="22">
        <x:v>237.83099999999999</x:v>
      </x:c>
      <x:c r="F4" s="22">
        <x:f t="shared" si="0"/>
        <x:v>142.14099999999999</x:v>
      </x:c>
      <x:c r="G4" s="22">
        <x:v>116.72</x:v>
      </x:c>
      <x:c r="H4" s="22">
        <x:v>0</x:v>
      </x:c>
      <x:c r="I4" s="22">
        <x:v>56.25</x:v>
      </x:c>
      <x:c r="J4" s="22">
        <x:v>43.24</x:v>
      </x:c>
      <x:c r="K4" s="22">
        <x:v>216.21</x:v>
      </x:c>
      <x:c r="L4" s="22" t="n">
        <x:f>K4-SUM(G4:J4)</x:f>
        <x:v>0</x:v>
      </x:c>
      <x:c r="M4" t="s">
        <x:v>1319</x:v>
      </x:c>
      <x:c r="N4">
        <x:v>6</x:v>
      </x:c>
      <x:c r="O4" s="18">
        <x:v>52.999127829244564</x:v>
      </x:c>
      <x:c r="P4" s="18">
        <x:v>66.099999999999994</x:v>
      </x:c>
      <x:c r="Q4" s="18">
        <x:v>67</x:v>
      </x:c>
      <x:c r="R4">
        <x:v>139</x:v>
      </x:c>
      <x:c r="S4">
        <x:v>53</x:v>
      </x:c>
      <x:c r="T4">
        <x:v>6</x:v>
      </x:c>
      <x:c r="U4" s="22">
        <x:v>67.959999999999994</x:v>
      </x:c>
      <x:c r="V4" s="22">
        <x:v>41.46</x:v>
      </x:c>
      <x:c r="W4" s="22">
        <x:v>28.13</x:v>
      </x:c>
      <x:c r="X4" s="23">
        <x:v>0.25</x:v>
      </x:c>
      <x:c r="Y4" s="22">
        <x:v>17.399999999999999</x:v>
      </x:c>
      <x:c r="Z4" s="22">
        <x:v>95.69</x:v>
      </x:c>
      <x:c r="AA4" s="22" t="n">
        <x:f>Z4-D4</x:f>
        <x:v>0</x:v>
      </x:c>
      <x:c r="AB4" s="16" t="s">
        <x:v>1320</x:v>
      </x:c>
      <x:c r="AC4">
        <x:v>402</x:v>
      </x:c>
    </x:row>
    <x:row r="5" ht="54.95000076293945" customHeight="1">
      <x:c r="A5">
        <x:v>4</x:v>
      </x:c>
      <x:c r="B5" t="s">
        <x:v>49</x:v>
      </x:c>
      <x:c r="C5" t="s">
        <x:v>50</x:v>
      </x:c>
      <x:c r="D5" s="22">
        <x:v>31.24</x:v>
      </x:c>
      <x:c r="E5" s="22">
        <x:v>171.512</x:v>
      </x:c>
      <x:c r="F5" s="22">
        <x:f t="shared" si="0"/>
        <x:v>140.27199999999999</x:v>
      </x:c>
      <x:c r="G5" s="22"/>
      <x:c r="H5" s="22"/>
      <x:c r="I5" s="22"/>
      <x:c r="J5" s="22"/>
      <x:c r="K5" s="22"/>
      <x:c r="L5" s="22"/>
      <x:c r="O5" s="18"/>
      <x:c r="P5" s="18"/>
      <x:c r="Q5" s="18"/>
      <x:c r="U5" s="22"/>
      <x:c r="V5" s="22"/>
      <x:c r="W5" s="22"/>
      <x:c r="X5" s="23"/>
      <x:c r="Y5" s="22"/>
      <x:c r="Z5" s="22"/>
      <x:c r="AA5" s="22"/>
      <x:c r="AB5" s="16" t="s">
        <x:v>1321</x:v>
      </x:c>
    </x:row>
    <x:row r="6" ht="54.95000076293945" customHeight="1">
      <x:c r="A6">
        <x:v>5</x:v>
      </x:c>
      <x:c r="B6" t="s">
        <x:v>55</x:v>
      </x:c>
      <x:c r="C6" t="s">
        <x:v>56</x:v>
      </x:c>
      <x:c r="D6" s="22">
        <x:v>23.53</x:v>
      </x:c>
      <x:c r="E6" s="22">
        <x:v>140.66800000000001</x:v>
      </x:c>
      <x:c r="F6" s="22">
        <x:f t="shared" si="0"/>
        <x:v>117.13800000000001</x:v>
      </x:c>
      <x:c r="G6" s="22">
        <x:v>56.3</x:v>
      </x:c>
      <x:c r="H6" s="22">
        <x:v>0</x:v>
      </x:c>
      <x:c r="I6" s="22">
        <x:v>46</x:v>
      </x:c>
      <x:c r="J6" s="22">
        <x:v>25.58</x:v>
      </x:c>
      <x:c r="K6" s="22">
        <x:v>127.88</x:v>
      </x:c>
      <x:c r="L6" s="22" t="n">
        <x:f t="shared" ref="L6:L11" si="1">K6-SUM(G6:J6)</x:f>
        <x:v>0</x:v>
      </x:c>
      <x:c r="M6" t="s">
        <x:v>1319</x:v>
      </x:c>
      <x:c r="N6">
        <x:v>2</x:v>
      </x:c>
      <x:c r="O6" s="18">
        <x:v>42.990141126051128</x:v>
      </x:c>
      <x:c r="P6" s="18">
        <x:v>71.3</x:v>
      </x:c>
      <x:c r="Q6" s="18">
        <x:v>72</x:v>
      </x:c>
      <x:c r="R6">
        <x:v>139</x:v>
      </x:c>
      <x:c r="S6">
        <x:v>43</x:v>
      </x:c>
      <x:c r="T6">
        <x:v>2</x:v>
      </x:c>
      <x:c r="U6" s="22">
        <x:v>27.93</x:v>
      </x:c>
      <x:c r="V6" s="22">
        <x:v>17.04</x:v>
      </x:c>
      <x:c r="W6" s="22">
        <x:v>0</x:v>
      </x:c>
      <x:c r="X6" s="23">
        <x:v>0.25</x:v>
      </x:c>
      <x:c r="Y6" s="22">
        <x:v>4.26</x:v>
      </x:c>
      <x:c r="Z6" s="22">
        <x:v>23.43</x:v>
      </x:c>
      <x:c r="AA6" s="22" t="n">
        <x:f t="shared" ref="AA6:AA11" si="2">Z6-D6</x:f>
        <x:v>-0.10000000000000142</x:v>
      </x:c>
      <x:c r="AB6" s="16" t="s">
        <x:v>1322</x:v>
      </x:c>
      <x:c r="AC6">
        <x:v>365</x:v>
      </x:c>
    </x:row>
    <x:row r="7" ht="54.95000076293945" customHeight="1">
      <x:c r="A7">
        <x:v>6</x:v>
      </x:c>
      <x:c r="B7" t="s">
        <x:v>62</x:v>
      </x:c>
      <x:c r="C7" t="s">
        <x:v>63</x:v>
      </x:c>
      <x:c r="D7" s="22">
        <x:v>88.7</x:v>
      </x:c>
      <x:c r="E7" s="22">
        <x:v>204.71</x:v>
      </x:c>
      <x:c r="F7" s="22">
        <x:f t="shared" si="0"/>
        <x:v>116.01</x:v>
      </x:c>
      <x:c r="G7" s="22">
        <x:v>92.63</x:v>
      </x:c>
      <x:c r="H7" s="22">
        <x:v>0</x:v>
      </x:c>
      <x:c r="I7" s="22">
        <x:v>56.25</x:v>
      </x:c>
      <x:c r="J7" s="22">
        <x:v>37.22</x:v>
      </x:c>
      <x:c r="K7" s="22">
        <x:v>186.1</x:v>
      </x:c>
      <x:c r="L7" s="22">
        <x:f t="shared" si="1"/>
        <x:v>0</x:v>
      </x:c>
      <x:c r="M7" t="s">
        <x:v>1319</x:v>
      </x:c>
      <x:c r="N7">
        <x:v>5</x:v>
      </x:c>
      <x:c r="O7" s="18">
        <x:v>64.000194712269959</x:v>
      </x:c>
      <x:c r="P7" s="18">
        <x:v>62.4</x:v>
      </x:c>
      <x:c r="Q7" s="18">
        <x:v>63</x:v>
      </x:c>
      <x:c r="R7">
        <x:v>139</x:v>
      </x:c>
      <x:c r="S7">
        <x:v>64</x:v>
      </x:c>
      <x:c r="T7">
        <x:v>5</x:v>
      </x:c>
      <x:c r="U7" s="22">
        <x:v>59.65</x:v>
      </x:c>
      <x:c r="V7" s="22">
        <x:v>36.39</x:v>
      </x:c>
      <x:c r="W7" s="22">
        <x:v>28.13</x:v>
      </x:c>
      <x:c r="X7" s="23">
        <x:v>0.25</x:v>
      </x:c>
      <x:c r="Y7" s="22">
        <x:v>16.13</x:v>
      </x:c>
      <x:c r="Z7" s="22">
        <x:v>88.72</x:v>
      </x:c>
      <x:c r="AA7" s="22">
        <x:f t="shared" si="2"/>
        <x:v>1.9999999999996021E-2</x:v>
      </x:c>
      <x:c r="AB7" s="16" t="s">
        <x:v>1323</x:v>
      </x:c>
      <x:c r="AC7">
        <x:v>381</x:v>
      </x:c>
    </x:row>
    <x:row r="8" ht="54.95000076293945" customHeight="1">
      <x:c r="A8">
        <x:v>7</x:v>
      </x:c>
      <x:c r="B8" t="s">
        <x:v>69</x:v>
      </x:c>
      <x:c r="C8" t="s">
        <x:v>70</x:v>
      </x:c>
      <x:c r="D8" s="22">
        <x:v>71.650000000000006</x:v>
      </x:c>
      <x:c r="E8" s="22">
        <x:v>179.42099999999999</x:v>
      </x:c>
      <x:c r="F8" s="22">
        <x:f t="shared" si="0"/>
        <x:v>107.77099999999999</x:v>
      </x:c>
      <x:c r="G8" s="22">
        <x:v>80.239999999999995</x:v>
      </x:c>
      <x:c r="H8" s="22">
        <x:v>0</x:v>
      </x:c>
      <x:c r="I8" s="22">
        <x:v>50.25</x:v>
      </x:c>
      <x:c r="J8" s="22">
        <x:v>32.619999999999997</x:v>
      </x:c>
      <x:c r="K8" s="22">
        <x:v>163.11000000000001</x:v>
      </x:c>
      <x:c r="L8" s="22">
        <x:f t="shared" si="1"/>
        <x:v>0</x:v>
      </x:c>
      <x:c r="M8" t="s">
        <x:v>1319</x:v>
      </x:c>
      <x:c r="N8">
        <x:v>4</x:v>
      </x:c>
      <x:c r="O8" s="18">
        <x:v>55.997414594958897</x:v>
      </x:c>
      <x:c r="P8" s="18">
        <x:v>71.7</x:v>
      </x:c>
      <x:c r="Q8" s="18">
        <x:v>72</x:v>
      </x:c>
      <x:c r="R8">
        <x:v>139</x:v>
      </x:c>
      <x:c r="S8">
        <x:v>56</x:v>
      </x:c>
      <x:c r="T8">
        <x:v>4</x:v>
      </x:c>
      <x:c r="U8" s="22">
        <x:v>44.24</x:v>
      </x:c>
      <x:c r="V8" s="22">
        <x:v>26.99</x:v>
      </x:c>
      <x:c r="W8" s="22">
        <x:v>25.13</x:v>
      </x:c>
      <x:c r="X8" s="23">
        <x:v>0.25</x:v>
      </x:c>
      <x:c r="Y8" s="22">
        <x:v>13.03</x:v>
      </x:c>
      <x:c r="Z8" s="22">
        <x:v>71.66</x:v>
      </x:c>
      <x:c r="AA8" s="22">
        <x:f t="shared" si="2"/>
        <x:v>9.9999999999909051E-3</x:v>
      </x:c>
      <x:c r="AB8" s="16" t="s">
        <x:v>1324</x:v>
      </x:c>
      <x:c r="AC8">
        <x:v>392</x:v>
      </x:c>
    </x:row>
    <x:row r="9" ht="54.95000076293945" customHeight="1">
      <x:c r="A9">
        <x:v>8</x:v>
      </x:c>
      <x:c r="B9" t="s">
        <x:v>76</x:v>
      </x:c>
      <x:c r="C9" t="s">
        <x:v>50</x:v>
      </x:c>
      <x:c r="D9" s="22">
        <x:v>62.65</x:v>
      </x:c>
      <x:c r="E9" s="22">
        <x:v>168.916</x:v>
      </x:c>
      <x:c r="F9" s="22">
        <x:f t="shared" si="0"/>
        <x:v>106.26599999999999</x:v>
      </x:c>
      <x:c r="G9" s="22">
        <x:v>122.85</x:v>
      </x:c>
      <x:c r="H9" s="22">
        <x:v>0</x:v>
      </x:c>
      <x:c r="I9" s="22">
        <x:v>0</x:v>
      </x:c>
      <x:c r="J9" s="22">
        <x:v>30.71</x:v>
      </x:c>
      <x:c r="K9" s="22">
        <x:v>153.56</x:v>
      </x:c>
      <x:c r="L9" s="22">
        <x:f t="shared" si="1"/>
        <x:v>0</x:v>
      </x:c>
      <x:c r="M9" t="s">
        <x:v>1319</x:v>
      </x:c>
      <x:c r="N9">
        <x:v>8</x:v>
      </x:c>
      <x:c r="O9" s="18">
        <x:v>37.985647774454407</x:v>
      </x:c>
      <x:c r="P9" s="18">
        <x:v>39.4</x:v>
      </x:c>
      <x:c r="Q9" s="18">
        <x:v>40</x:v>
      </x:c>
      <x:c r="R9">
        <x:v>139</x:v>
      </x:c>
      <x:c r="S9">
        <x:v>38</x:v>
      </x:c>
      <x:c r="T9">
        <x:v>8</x:v>
      </x:c>
      <x:c r="U9" s="22">
        <x:v>74.69</x:v>
      </x:c>
      <x:c r="V9" s="22">
        <x:v>45.56</x:v>
      </x:c>
      <x:c r="W9" s="22">
        <x:v>0</x:v>
      </x:c>
      <x:c r="X9" s="23">
        <x:v>0.25</x:v>
      </x:c>
      <x:c r="Y9" s="22">
        <x:v>11.39</x:v>
      </x:c>
      <x:c r="Z9" s="22">
        <x:v>62.65</x:v>
      </x:c>
      <x:c r="AA9" s="22">
        <x:f t="shared" si="2"/>
        <x:v>0</x:v>
      </x:c>
      <x:c r="AB9" s="16" t="s">
        <x:v>1325</x:v>
      </x:c>
      <x:c r="AC9">
        <x:v>439</x:v>
      </x:c>
    </x:row>
    <x:row r="10" ht="54.95000076293945" customHeight="1">
      <x:c r="A10">
        <x:v>9</x:v>
      </x:c>
      <x:c r="B10" t="s">
        <x:v>81</x:v>
      </x:c>
      <x:c r="C10" t="s">
        <x:v>82</x:v>
      </x:c>
      <x:c r="D10" s="22">
        <x:v>26.2</x:v>
      </x:c>
      <x:c r="E10" s="22">
        <x:v>130.416</x:v>
      </x:c>
      <x:c r="F10" s="22">
        <x:f t="shared" si="0"/>
        <x:v>104.21599999999999</x:v>
      </x:c>
      <x:c r="G10" s="22">
        <x:v>94.85</x:v>
      </x:c>
      <x:c r="H10" s="22">
        <x:v>0</x:v>
      </x:c>
      <x:c r="I10" s="22">
        <x:v>0</x:v>
      </x:c>
      <x:c r="J10" s="22">
        <x:v>23.71</x:v>
      </x:c>
      <x:c r="K10" s="22">
        <x:v>118.56</x:v>
      </x:c>
      <x:c r="L10" s="22">
        <x:f t="shared" si="1"/>
        <x:v>0</x:v>
      </x:c>
      <x:c r="M10" t="s">
        <x:v>1319</x:v>
      </x:c>
      <x:c r="N10">
        <x:v>8</x:v>
      </x:c>
      <x:c r="O10" s="18">
        <x:v>25.000420531765116</x:v>
      </x:c>
      <x:c r="P10" s="18">
        <x:v>28.2</x:v>
      </x:c>
      <x:c r="Q10" s="18">
        <x:v>29</x:v>
      </x:c>
      <x:c r="R10">
        <x:v>139</x:v>
      </x:c>
      <x:c r="S10">
        <x:v>25</x:v>
      </x:c>
      <x:c r="T10">
        <x:v>5</x:v>
      </x:c>
      <x:c r="U10" s="22">
        <x:v>31.23</x:v>
      </x:c>
      <x:c r="V10" s="22">
        <x:v>19.05</x:v>
      </x:c>
      <x:c r="W10" s="22">
        <x:v>0</x:v>
      </x:c>
      <x:c r="X10" s="23">
        <x:v>0.25</x:v>
      </x:c>
      <x:c r="Y10" s="22">
        <x:v>4.76</x:v>
      </x:c>
      <x:c r="Z10" s="22">
        <x:v>26.19</x:v>
      </x:c>
      <x:c r="AA10" s="22">
        <x:f t="shared" si="2"/>
        <x:v>-9.9999999999980105E-3</x:v>
      </x:c>
      <x:c r="AB10" s="16" t="s">
        <x:v>1326</x:v>
      </x:c>
      <x:c r="AC10">
        <x:v>400</x:v>
      </x:c>
    </x:row>
    <x:row r="11" ht="54.95000076293945" customHeight="1">
      <x:c r="A11">
        <x:v>10</x:v>
      </x:c>
      <x:c r="B11" t="s">
        <x:v>88</x:v>
      </x:c>
      <x:c r="C11" t="s">
        <x:v>89</x:v>
      </x:c>
      <x:c r="D11" s="22">
        <x:v>23.79</x:v>
      </x:c>
      <x:c r="E11" s="22">
        <x:v>118.074</x:v>
      </x:c>
      <x:c r="F11" s="22">
        <x:f t="shared" si="0"/>
        <x:v>94.283999999999992</x:v>
      </x:c>
      <x:c r="G11" s="22">
        <x:v>92.35</x:v>
      </x:c>
      <x:c r="H11" s="22">
        <x:v>-36.020000000000003</x:v>
      </x:c>
      <x:c r="I11" s="22">
        <x:v>29.37</x:v>
      </x:c>
      <x:c r="J11" s="22">
        <x:v>21.64</x:v>
      </x:c>
      <x:c r="K11" s="22">
        <x:v>107.34</x:v>
      </x:c>
      <x:c r="L11" s="22">
        <x:f t="shared" si="1"/>
        <x:v>0</x:v>
      </x:c>
      <x:c r="M11" t="s">
        <x:v>1315</x:v>
      </x:c>
      <x:c r="N11">
        <x:v>8</x:v>
      </x:c>
      <x:c r="O11" s="18">
        <x:v>44.092452436975513</x:v>
      </x:c>
      <x:c r="P11" s="18">
        <x:v>51.1</x:v>
      </x:c>
      <x:c r="Q11" s="18">
        <x:v>52</x:v>
      </x:c>
      <x:c r="R11">
        <x:v>166</x:v>
      </x:c>
      <x:c r="S11">
        <x:v>45</x:v>
      </x:c>
      <x:c r="T11">
        <x:v>2</x:v>
      </x:c>
      <x:c r="U11" s="22">
        <x:v>28.36</x:v>
      </x:c>
      <x:c r="V11" s="22">
        <x:v>17.3</x:v>
      </x:c>
      <x:c r="W11" s="22">
        <x:v>0</x:v>
      </x:c>
      <x:c r="X11" s="23">
        <x:v>0.25</x:v>
      </x:c>
      <x:c r="Y11" s="22">
        <x:v>4.33</x:v>
      </x:c>
      <x:c r="Z11" s="22">
        <x:v>23.79</x:v>
      </x:c>
      <x:c r="AA11" s="22">
        <x:f t="shared" si="2"/>
        <x:v>0</x:v>
      </x:c>
      <x:c r="AB11" s="16" t="s">
        <x:v>1327</x:v>
      </x:c>
      <x:c r="AC11">
        <x:v>461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31" customWidth="1"/>
    <x:col min="2" max="2" width="118" customWidth="1"/>
  </x:cols>
  <x:sheetData>
    <x:row r="1" ht="15" customHeight="1">
      <x:c r="A1" s="20" t="s">
        <x:v>1253</x:v>
      </x:c>
      <x:c r="B1" s="20" t="s">
        <x:v>1328</x:v>
      </x:c>
    </x:row>
    <x:row r="2" ht="15" customHeight="1">
      <x:c r="A2" s="16" t="s">
        <x:v>1329</x:v>
      </x:c>
      <x:c r="B2" s="16" t="s">
        <x:v>1330</x:v>
      </x:c>
    </x:row>
    <x:row r="3" ht="15" customHeight="1">
      <x:c r="A3" s="16" t="s">
        <x:v>1331</x:v>
      </x:c>
      <x:c r="B3" s="16" t="s">
        <x:v>1332</x:v>
      </x:c>
    </x:row>
    <x:row r="4" ht="15" customHeight="1">
      <x:c r="A4" s="16" t="s">
        <x:v>1333</x:v>
      </x:c>
      <x:c r="B4" s="16" t="s">
        <x:v>1334</x:v>
      </x:c>
    </x:row>
    <x:row r="5" ht="15" customHeight="1">
      <x:c r="A5" s="16" t="s">
        <x:v>1335</x:v>
      </x:c>
      <x:c r="B5" s="16" t="s">
        <x:v>1336</x:v>
      </x:c>
    </x:row>
    <x:row r="6" ht="26.450000762939453" customHeight="1">
      <x:c r="A6" s="16" t="s">
        <x:v>1337</x:v>
      </x:c>
      <x:c r="B6" s="16" t="s">
        <x:v>1338</x:v>
      </x:c>
    </x:row>
    <x:row r="7" ht="15" customHeight="1">
      <x:c r="A7" s="16" t="s">
        <x:v>1339</x:v>
      </x:c>
      <x:c r="B7" s="16" t="s">
        <x:v>1340</x:v>
      </x:c>
    </x:row>
    <x:row r="8" ht="15" customHeight="1">
      <x:c r="A8" s="16" t="s">
        <x:v>1341</x:v>
      </x:c>
      <x:c r="B8" s="16" t="s">
        <x:v>1342</x:v>
      </x:c>
    </x:row>
    <x:row r="9" ht="15" customHeight="1">
      <x:c r="A9" s="16" t="s">
        <x:v>1343</x:v>
      </x:c>
      <x:c r="B9" s="16" t="s">
        <x:v>1344</x:v>
      </x:c>
    </x:row>
    <x:row r="10" ht="15" customHeight="1">
      <x:c r="A10" s="16" t="s">
        <x:v>1345</x:v>
      </x:c>
      <x:c r="B10" s="16" t="s">
        <x:v>1346</x:v>
      </x:c>
    </x:row>
    <x:row r="11" ht="15" customHeight="1">
      <x:c r="A11" s="16" t="s">
        <x:v>1347</x:v>
      </x:c>
      <x:c r="B11" s="16" t="s">
        <x:v>1348</x:v>
      </x:c>
    </x:row>
    <x:row r="12" ht="15" customHeight="1">
      <x:c r="A12" s="16" t="s">
        <x:v>1349</x:v>
      </x:c>
      <x:c r="B12" s="16" t="s">
        <x:v>1350</x:v>
      </x:c>
    </x:row>
    <x:row r="13" ht="15" customHeight="1">
      <x:c r="A13" s="16" t="s">
        <x:v>1351</x:v>
      </x:c>
      <x:c r="B13" s="16" t="s">
        <x:v>1352</x:v>
      </x:c>
    </x:row>
    <x:row r="14" ht="15" customHeight="1">
      <x:c r="A14" s="16" t="s">
        <x:v>1353</x:v>
      </x:c>
      <x:c r="B14" s="16" t="s">
        <x:v>1354</x:v>
      </x:c>
    </x:row>
    <x:row r="15" ht="15" customHeight="1">
      <x:c r="A15" s="16" t="s">
        <x:v>1355</x:v>
      </x:c>
      <x:c r="B15" s="16" t="s">
        <x:v>1356</x:v>
      </x:c>
    </x:row>
    <x:row r="16" ht="15" customHeight="1">
      <x:c r="A16" s="16" t="s">
        <x:v>1357</x:v>
      </x:c>
      <x:c r="B16" s="16" t="s">
        <x:v>1358</x:v>
      </x:c>
    </x:row>
    <x:row r="17" ht="26.450000762939453" customHeight="1">
      <x:c r="A17" s="16" t="s">
        <x:v>1359</x:v>
      </x:c>
      <x:c r="B17" s="16" t="s">
        <x:v>1360</x:v>
      </x:c>
    </x:row>
    <x:row r="18" ht="15" customHeight="1">
      <x:c r="A18" s="16" t="s">
        <x:v>1361</x:v>
      </x:c>
      <x:c r="B18" s="16" t="s">
        <x:v>1362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8" customWidth="1"/>
    <x:col min="2" max="2" width="21" customWidth="1"/>
    <x:col min="3" max="3" width="22" customWidth="1"/>
    <x:col min="4" max="4" width="18" customWidth="1"/>
    <x:col min="5" max="5" width="58" customWidth="1"/>
    <x:col min="6" max="7" width="18" customWidth="1"/>
    <x:col min="8" max="8" width="58" customWidth="1"/>
    <x:col min="9" max="11" width="18" customWidth="1"/>
    <x:col min="12" max="12" width="74" customWidth="1"/>
    <x:col min="13" max="13" width="26" customWidth="1"/>
    <x:col min="14" max="14" width="18" customWidth="1"/>
  </x:cols>
  <x:sheetData>
    <x:row r="1" ht="44.099998474121094" customHeight="1">
      <x:c r="A1" s="24" t="s">
        <x:v>1287</x:v>
      </x:c>
      <x:c r="B1" s="25" t="s">
        <x:v>1288</x:v>
      </x:c>
      <x:c r="C1" s="24" t="s">
        <x:v>1245</x:v>
      </x:c>
      <x:c r="D1" s="24" t="s">
        <x:v>1363</x:v>
      </x:c>
      <x:c r="E1" s="24" t="s">
        <x:v>1364</x:v>
      </x:c>
      <x:c r="F1" s="24" t="s">
        <x:v>1365</x:v>
      </x:c>
      <x:c r="G1" s="24" t="s">
        <x:v>1366</x:v>
      </x:c>
      <x:c r="H1" s="24" t="s">
        <x:v>1367</x:v>
      </x:c>
      <x:c r="I1" s="24" t="s">
        <x:v>1368</x:v>
      </x:c>
      <x:c r="J1" s="24" t="s">
        <x:v>1369</x:v>
      </x:c>
      <x:c r="K1" s="24" t="s">
        <x:v>1291</x:v>
      </x:c>
      <x:c r="L1" s="24" t="s">
        <x:v>1370</x:v>
      </x:c>
      <x:c r="M1" s="24" t="s">
        <x:v>1371</x:v>
      </x:c>
      <x:c r="N1" s="24" t="s">
        <x:v>1372</x:v>
      </x:c>
    </x:row>
    <x:row r="2" ht="122.0999984741211" customHeight="1">
      <x:c r="A2" s="26">
        <x:v>1</x:v>
      </x:c>
      <x:c r="B2" s="26" t="s">
        <x:v>24</x:v>
      </x:c>
      <x:c r="C2" s="26" t="s">
        <x:v>25</x:v>
      </x:c>
      <x:c r="D2" s="27">
        <x:v>114.59</x:v>
      </x:c>
      <x:c r="E2" s="26" t="s">
        <x:v>1373</x:v>
      </x:c>
      <x:c r="F2" s="27">
        <x:v>114.6</x:v>
      </x:c>
      <x:c r="G2" s="27" t="n">
        <x:f>F2-D2</x:f>
        <x:v>0.009999999999990905</x:v>
      </x:c>
      <x:c r="H2" s="26" t="s">
        <x:v>1374</x:v>
      </x:c>
      <x:c r="I2" s="27">
        <x:v>280.5</x:v>
      </x:c>
      <x:c r="J2" s="27">
        <x:v>308.55</x:v>
      </x:c>
      <x:c r="K2" s="27" t="n">
        <x:f t="shared" ref="K2:K11" si="0">J2-D2</x:f>
        <x:v>193.96</x:v>
      </x:c>
      <x:c r="L2" s="26" t="s">
        <x:v>1375</x:v>
      </x:c>
      <x:c r="M2" s="26" t="s">
        <x:v>1376</x:v>
      </x:c>
      <x:c r="N2" s="26">
        <x:v>474</x:v>
      </x:c>
    </x:row>
    <x:row r="3" ht="122.0999984741211" customHeight="1">
      <x:c r="A3" s="26">
        <x:v>2</x:v>
      </x:c>
      <x:c r="B3" s="26" t="s">
        <x:v>35</x:v>
      </x:c>
      <x:c r="C3" s="26" t="s">
        <x:v>36</x:v>
      </x:c>
      <x:c r="D3" s="27">
        <x:v>108.51</x:v>
      </x:c>
      <x:c r="E3" s="26" t="s">
        <x:v>1377</x:v>
      </x:c>
      <x:c r="F3" s="27">
        <x:v>108.53</x:v>
      </x:c>
      <x:c r="G3" s="27" t="n">
        <x:f>F3-D3</x:f>
        <x:v>0.01999999999999602</x:v>
      </x:c>
      <x:c r="H3" s="26" t="s">
        <x:v>1378</x:v>
      </x:c>
      <x:c r="I3" s="27">
        <x:v>245.93</x:v>
      </x:c>
      <x:c r="J3" s="27">
        <x:v>270.52300000000002</x:v>
      </x:c>
      <x:c r="K3" s="27">
        <x:f t="shared" si="0"/>
        <x:v>162.01300000000003</x:v>
      </x:c>
      <x:c r="L3" s="26" t="s">
        <x:v>1379</x:v>
      </x:c>
      <x:c r="M3" s="26" t="s">
        <x:v>1376</x:v>
      </x:c>
      <x:c r="N3" s="26">
        <x:v>338</x:v>
      </x:c>
    </x:row>
    <x:row r="4" ht="122.0999984741211" customHeight="1">
      <x:c r="A4" s="26">
        <x:v>3</x:v>
      </x:c>
      <x:c r="B4" s="26" t="s">
        <x:v>42</x:v>
      </x:c>
      <x:c r="C4" s="26" t="s">
        <x:v>43</x:v>
      </x:c>
      <x:c r="D4" s="27">
        <x:v>95.69</x:v>
      </x:c>
      <x:c r="E4" s="26" t="s">
        <x:v>1380</x:v>
      </x:c>
      <x:c r="F4" s="27">
        <x:v>95.69</x:v>
      </x:c>
      <x:c r="G4" s="27" t="n">
        <x:f>F4-D4</x:f>
        <x:v>0</x:v>
      </x:c>
      <x:c r="H4" s="26" t="s">
        <x:v>1381</x:v>
      </x:c>
      <x:c r="I4" s="27">
        <x:v>216.21</x:v>
      </x:c>
      <x:c r="J4" s="27">
        <x:v>237.83099999999999</x:v>
      </x:c>
      <x:c r="K4" s="27">
        <x:f t="shared" si="0"/>
        <x:v>142.14099999999999</x:v>
      </x:c>
      <x:c r="L4" s="26" t="s">
        <x:v>1382</x:v>
      </x:c>
      <x:c r="M4" s="26" t="s">
        <x:v>1376</x:v>
      </x:c>
      <x:c r="N4" s="26">
        <x:v>402</x:v>
      </x:c>
    </x:row>
    <x:row r="5" ht="122.0999984741211" customHeight="1">
      <x:c r="A5" s="26">
        <x:v>4</x:v>
      </x:c>
      <x:c r="B5" s="26" t="s">
        <x:v>49</x:v>
      </x:c>
      <x:c r="C5" s="26" t="s">
        <x:v>50</x:v>
      </x:c>
      <x:c r="D5" s="27">
        <x:v>31.24</x:v>
      </x:c>
      <x:c r="E5" s="26" t="s">
        <x:v>1383</x:v>
      </x:c>
      <x:c r="F5" s="27"/>
      <x:c r="G5" s="27"/>
      <x:c r="H5" s="26" t="s">
        <x:v>1384</x:v>
      </x:c>
      <x:c r="I5" s="27"/>
      <x:c r="J5" s="27">
        <x:v>171.512</x:v>
      </x:c>
      <x:c r="K5" s="27">
        <x:f t="shared" si="0"/>
        <x:v>140.27199999999999</x:v>
      </x:c>
      <x:c r="L5" s="26" t="s">
        <x:v>1385</x:v>
      </x:c>
      <x:c r="M5" s="26" t="s">
        <x:v>1386</x:v>
      </x:c>
      <x:c r="N5" s="26"/>
    </x:row>
    <x:row r="6" ht="122.0999984741211" customHeight="1">
      <x:c r="A6" s="26">
        <x:v>5</x:v>
      </x:c>
      <x:c r="B6" s="26" t="s">
        <x:v>55</x:v>
      </x:c>
      <x:c r="C6" s="26" t="s">
        <x:v>56</x:v>
      </x:c>
      <x:c r="D6" s="27">
        <x:v>23.53</x:v>
      </x:c>
      <x:c r="E6" s="26" t="s">
        <x:v>1387</x:v>
      </x:c>
      <x:c r="F6" s="27">
        <x:v>23.43</x:v>
      </x:c>
      <x:c r="G6" s="27" t="n">
        <x:f t="shared" ref="G6:G11" si="1">F6-D6</x:f>
        <x:v>-0.10000000000000142</x:v>
      </x:c>
      <x:c r="H6" s="26" t="s">
        <x:v>1388</x:v>
      </x:c>
      <x:c r="I6" s="27">
        <x:v>127.88</x:v>
      </x:c>
      <x:c r="J6" s="27">
        <x:v>140.66800000000001</x:v>
      </x:c>
      <x:c r="K6" s="27">
        <x:f t="shared" si="0"/>
        <x:v>117.13800000000001</x:v>
      </x:c>
      <x:c r="L6" s="26" t="s">
        <x:v>1389</x:v>
      </x:c>
      <x:c r="M6" s="26" t="s">
        <x:v>1376</x:v>
      </x:c>
      <x:c r="N6" s="26">
        <x:v>365</x:v>
      </x:c>
    </x:row>
    <x:row r="7" ht="122.0999984741211" customHeight="1">
      <x:c r="A7" s="26">
        <x:v>6</x:v>
      </x:c>
      <x:c r="B7" s="26" t="s">
        <x:v>62</x:v>
      </x:c>
      <x:c r="C7" s="26" t="s">
        <x:v>63</x:v>
      </x:c>
      <x:c r="D7" s="27">
        <x:v>88.7</x:v>
      </x:c>
      <x:c r="E7" s="26" t="s">
        <x:v>1390</x:v>
      </x:c>
      <x:c r="F7" s="27">
        <x:v>88.72</x:v>
      </x:c>
      <x:c r="G7" s="27">
        <x:f t="shared" si="1"/>
        <x:v>1.9999999999996021E-2</x:v>
      </x:c>
      <x:c r="H7" s="26" t="s">
        <x:v>1391</x:v>
      </x:c>
      <x:c r="I7" s="27">
        <x:v>186.1</x:v>
      </x:c>
      <x:c r="J7" s="27">
        <x:v>204.71</x:v>
      </x:c>
      <x:c r="K7" s="27">
        <x:f t="shared" si="0"/>
        <x:v>116.01</x:v>
      </x:c>
      <x:c r="L7" s="26" t="s">
        <x:v>1392</x:v>
      </x:c>
      <x:c r="M7" s="26" t="s">
        <x:v>1376</x:v>
      </x:c>
      <x:c r="N7" s="26">
        <x:v>381</x:v>
      </x:c>
    </x:row>
    <x:row r="8" ht="122.0999984741211" customHeight="1">
      <x:c r="A8" s="26">
        <x:v>7</x:v>
      </x:c>
      <x:c r="B8" s="26" t="s">
        <x:v>69</x:v>
      </x:c>
      <x:c r="C8" s="26" t="s">
        <x:v>70</x:v>
      </x:c>
      <x:c r="D8" s="27">
        <x:v>71.650000000000006</x:v>
      </x:c>
      <x:c r="E8" s="26" t="s">
        <x:v>1393</x:v>
      </x:c>
      <x:c r="F8" s="27">
        <x:v>71.66</x:v>
      </x:c>
      <x:c r="G8" s="27">
        <x:f t="shared" si="1"/>
        <x:v>9.9999999999909051E-3</x:v>
      </x:c>
      <x:c r="H8" s="26" t="s">
        <x:v>1394</x:v>
      </x:c>
      <x:c r="I8" s="27">
        <x:v>163.11000000000001</x:v>
      </x:c>
      <x:c r="J8" s="27">
        <x:v>179.42099999999999</x:v>
      </x:c>
      <x:c r="K8" s="27">
        <x:f t="shared" si="0"/>
        <x:v>107.77099999999999</x:v>
      </x:c>
      <x:c r="L8" s="26" t="s">
        <x:v>1395</x:v>
      </x:c>
      <x:c r="M8" s="26" t="s">
        <x:v>1376</x:v>
      </x:c>
      <x:c r="N8" s="26">
        <x:v>392</x:v>
      </x:c>
    </x:row>
    <x:row r="9" ht="122.0999984741211" customHeight="1">
      <x:c r="A9" s="26">
        <x:v>8</x:v>
      </x:c>
      <x:c r="B9" s="26" t="s">
        <x:v>76</x:v>
      </x:c>
      <x:c r="C9" s="26" t="s">
        <x:v>50</x:v>
      </x:c>
      <x:c r="D9" s="27">
        <x:v>62.65</x:v>
      </x:c>
      <x:c r="E9" s="26" t="s">
        <x:v>1396</x:v>
      </x:c>
      <x:c r="F9" s="27">
        <x:v>62.65</x:v>
      </x:c>
      <x:c r="G9" s="27">
        <x:f t="shared" si="1"/>
        <x:v>0</x:v>
      </x:c>
      <x:c r="H9" s="26" t="s">
        <x:v>1397</x:v>
      </x:c>
      <x:c r="I9" s="27">
        <x:v>153.56</x:v>
      </x:c>
      <x:c r="J9" s="27">
        <x:v>168.916</x:v>
      </x:c>
      <x:c r="K9" s="27">
        <x:f t="shared" si="0"/>
        <x:v>106.26599999999999</x:v>
      </x:c>
      <x:c r="L9" s="26" t="s">
        <x:v>1398</x:v>
      </x:c>
      <x:c r="M9" s="26" t="s">
        <x:v>1376</x:v>
      </x:c>
      <x:c r="N9" s="26">
        <x:v>439</x:v>
      </x:c>
    </x:row>
    <x:row r="10" ht="122.0999984741211" customHeight="1">
      <x:c r="A10" s="26">
        <x:v>9</x:v>
      </x:c>
      <x:c r="B10" s="26" t="s">
        <x:v>81</x:v>
      </x:c>
      <x:c r="C10" s="26" t="s">
        <x:v>82</x:v>
      </x:c>
      <x:c r="D10" s="27">
        <x:v>26.2</x:v>
      </x:c>
      <x:c r="E10" s="26" t="s">
        <x:v>1399</x:v>
      </x:c>
      <x:c r="F10" s="27">
        <x:v>26.19</x:v>
      </x:c>
      <x:c r="G10" s="27">
        <x:f t="shared" si="1"/>
        <x:v>-9.9999999999980105E-3</x:v>
      </x:c>
      <x:c r="H10" s="26" t="s">
        <x:v>1400</x:v>
      </x:c>
      <x:c r="I10" s="27">
        <x:v>118.56</x:v>
      </x:c>
      <x:c r="J10" s="27">
        <x:v>130.416</x:v>
      </x:c>
      <x:c r="K10" s="27">
        <x:f t="shared" si="0"/>
        <x:v>104.21599999999999</x:v>
      </x:c>
      <x:c r="L10" s="26" t="s">
        <x:v>1401</x:v>
      </x:c>
      <x:c r="M10" s="26" t="s">
        <x:v>1376</x:v>
      </x:c>
      <x:c r="N10" s="26">
        <x:v>400</x:v>
      </x:c>
    </x:row>
    <x:row r="11" ht="122.0999984741211" customHeight="1">
      <x:c r="A11" s="26">
        <x:v>10</x:v>
      </x:c>
      <x:c r="B11" s="26" t="s">
        <x:v>88</x:v>
      </x:c>
      <x:c r="C11" s="26" t="s">
        <x:v>89</x:v>
      </x:c>
      <x:c r="D11" s="27">
        <x:v>23.79</x:v>
      </x:c>
      <x:c r="E11" s="26" t="s">
        <x:v>1402</x:v>
      </x:c>
      <x:c r="F11" s="27">
        <x:v>23.79</x:v>
      </x:c>
      <x:c r="G11" s="27">
        <x:f t="shared" si="1"/>
        <x:v>0</x:v>
      </x:c>
      <x:c r="H11" s="26" t="s">
        <x:v>1403</x:v>
      </x:c>
      <x:c r="I11" s="27">
        <x:v>107.34</x:v>
      </x:c>
      <x:c r="J11" s="27">
        <x:v>118.074</x:v>
      </x:c>
      <x:c r="K11" s="27">
        <x:f t="shared" si="0"/>
        <x:v>94.283999999999992</x:v>
      </x:c>
      <x:c r="L11" s="26" t="s">
        <x:v>1404</x:v>
      </x:c>
      <x:c r="M11" s="26" t="s">
        <x:v>1376</x:v>
      </x:c>
      <x:c r="N11" s="26">
        <x:v>461</x:v>
      </x:c>
    </x:row>
    <x:row r="13">
      <x:c r="D13" t="s">
        <x:v>1405</x:v>
      </x:c>
      <x:c r="K13" s="22" t="n">
        <x:f>SUM(K2:K11)</x:f>
        <x:v>1284.071</x:v>
      </x:c>
    </x:row>
    <x:row r="14">
      <x:c r="E14" t="s">
        <x:v>1406</x:v>
      </x:c>
    </x:row>
    <x:row r="15">
      <x:c r="E15" t="s">
        <x:v>1407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8" customWidth="1"/>
    <x:col min="2" max="2" width="21" customWidth="1"/>
    <x:col min="3" max="3" width="22" customWidth="1"/>
    <x:col min="4" max="4" width="19" customWidth="1"/>
    <x:col min="5" max="5" width="62" customWidth="1"/>
    <x:col min="6" max="7" width="19" customWidth="1"/>
    <x:col min="8" max="8" width="62" customWidth="1"/>
    <x:col min="9" max="11" width="19" customWidth="1"/>
    <x:col min="12" max="12" width="80" customWidth="1"/>
    <x:col min="13" max="13" width="34" customWidth="1"/>
    <x:col min="14" max="29" width="19" customWidth="1"/>
  </x:cols>
  <x:sheetData>
    <x:row r="1" ht="51.95000076293945" customHeight="1">
      <x:c r="A1" s="28" t="s">
        <x:v>1287</x:v>
      </x:c>
      <x:c r="B1" s="29" t="s">
        <x:v>1288</x:v>
      </x:c>
      <x:c r="C1" s="28" t="s">
        <x:v>1245</x:v>
      </x:c>
      <x:c r="D1" s="28" t="s">
        <x:v>1363</x:v>
      </x:c>
      <x:c r="E1" s="28" t="s">
        <x:v>1364</x:v>
      </x:c>
      <x:c r="F1" s="28" t="s">
        <x:v>1365</x:v>
      </x:c>
      <x:c r="G1" s="28" t="s">
        <x:v>1366</x:v>
      </x:c>
      <x:c r="H1" s="28" t="s">
        <x:v>1367</x:v>
      </x:c>
      <x:c r="I1" s="28" t="s">
        <x:v>1368</x:v>
      </x:c>
      <x:c r="J1" s="28" t="s">
        <x:v>1369</x:v>
      </x:c>
      <x:c r="K1" s="28" t="s">
        <x:v>1291</x:v>
      </x:c>
      <x:c r="L1" s="28" t="s">
        <x:v>1370</x:v>
      </x:c>
      <x:c r="M1" s="28" t="s">
        <x:v>1371</x:v>
      </x:c>
      <x:c r="N1" s="28" t="s">
        <x:v>1298</x:v>
      </x:c>
      <x:c r="O1" s="28" t="s">
        <x:v>1299</x:v>
      </x:c>
      <x:c r="P1" s="28" t="s">
        <x:v>1300</x:v>
      </x:c>
      <x:c r="Q1" s="28" t="s">
        <x:v>1301</x:v>
      </x:c>
      <x:c r="R1" s="28" t="s">
        <x:v>1302</x:v>
      </x:c>
      <x:c r="S1" s="28" t="s">
        <x:v>1303</x:v>
      </x:c>
      <x:c r="T1" s="28" t="s">
        <x:v>1292</x:v>
      </x:c>
      <x:c r="U1" s="28" t="s">
        <x:v>1293</x:v>
      </x:c>
      <x:c r="V1" s="28" t="s">
        <x:v>1408</x:v>
      </x:c>
      <x:c r="W1" s="28" t="s">
        <x:v>1295</x:v>
      </x:c>
      <x:c r="X1" s="28" t="s">
        <x:v>1409</x:v>
      </x:c>
      <x:c r="Y1" s="28" t="s">
        <x:v>1410</x:v>
      </x:c>
      <x:c r="Z1" s="28" t="s">
        <x:v>1305</x:v>
      </x:c>
      <x:c r="AA1" s="28" t="s">
        <x:v>1304</x:v>
      </x:c>
      <x:c r="AB1" s="28" t="s">
        <x:v>1314</x:v>
      </x:c>
      <x:c r="AC1" s="28" t="s">
        <x:v>1411</x:v>
      </x:c>
    </x:row>
    <x:row r="2" ht="135" customHeight="1">
      <x:c r="A2" s="26">
        <x:v>1</x:v>
      </x:c>
      <x:c r="B2" s="26" t="s">
        <x:v>24</x:v>
      </x:c>
      <x:c r="C2" s="26" t="s">
        <x:v>25</x:v>
      </x:c>
      <x:c r="D2" s="27">
        <x:v>114.59</x:v>
      </x:c>
      <x:c r="E2" s="26" t="s">
        <x:v>1412</x:v>
      </x:c>
      <x:c r="F2" s="27">
        <x:v>114.6</x:v>
      </x:c>
      <x:c r="G2" s="27" t="n">
        <x:f>F2-D2</x:f>
        <x:v>0.009999999999990905</x:v>
      </x:c>
      <x:c r="H2" s="26" t="s">
        <x:v>1413</x:v>
      </x:c>
      <x:c r="I2" s="27">
        <x:v>280.5</x:v>
      </x:c>
      <x:c r="J2" s="27">
        <x:v>308.55</x:v>
      </x:c>
      <x:c r="K2" s="27" t="n">
        <x:f t="shared" ref="K2:K33" si="0">J2-D2</x:f>
        <x:v>193.96</x:v>
      </x:c>
      <x:c r="L2" s="26" t="s">
        <x:v>1414</x:v>
      </x:c>
      <x:c r="M2" s="26" t="s">
        <x:v>1415</x:v>
      </x:c>
      <x:c r="N2" s="26" t="s">
        <x:v>1315</x:v>
      </x:c>
      <x:c r="O2" s="26">
        <x:v>5</x:v>
      </x:c>
      <x:c r="P2" s="31">
        <x:v>101.41264060504368</x:v>
      </x:c>
      <x:c r="Q2" s="31">
        <x:v>116.4</x:v>
      </x:c>
      <x:c r="R2" s="26">
        <x:v>117</x:v>
      </x:c>
      <x:c r="S2" s="26">
        <x:v>166</x:v>
      </x:c>
      <x:c r="T2" s="27">
        <x:v>104.83</x:v>
      </x:c>
      <x:c r="U2" s="27">
        <x:v>-40.880000000000003</x:v>
      </x:c>
      <x:c r="V2" s="27">
        <x:v>160</x:v>
      </x:c>
      <x:c r="W2" s="27">
        <x:v>56.55</x:v>
      </x:c>
      <x:c r="X2" s="32">
        <x:v>0.2525</x:v>
      </x:c>
      <x:c r="Y2" s="30" t="b">
        <x:v>0</x:v>
      </x:c>
      <x:c r="Z2" s="26">
        <x:v>5</x:v>
      </x:c>
      <x:c r="AA2" s="26">
        <x:v>102</x:v>
      </x:c>
      <x:c r="AB2" s="26">
        <x:v>474</x:v>
      </x:c>
      <x:c r="AC2" s="27">
        <x:v>114.6</x:v>
      </x:c>
    </x:row>
    <x:row r="3" ht="135" customHeight="1">
      <x:c r="A3" s="26">
        <x:v>2</x:v>
      </x:c>
      <x:c r="B3" s="26" t="s">
        <x:v>35</x:v>
      </x:c>
      <x:c r="C3" s="26" t="s">
        <x:v>36</x:v>
      </x:c>
      <x:c r="D3" s="27">
        <x:v>108.51</x:v>
      </x:c>
      <x:c r="E3" s="26" t="s">
        <x:v>1416</x:v>
      </x:c>
      <x:c r="F3" s="27">
        <x:v>108.53</x:v>
      </x:c>
      <x:c r="G3" s="27" t="n">
        <x:f>F3-D3</x:f>
        <x:v>0.01999999999999602</x:v>
      </x:c>
      <x:c r="H3" s="26" t="s">
        <x:v>1417</x:v>
      </x:c>
      <x:c r="I3" s="27">
        <x:v>245.93</x:v>
      </x:c>
      <x:c r="J3" s="27">
        <x:v>270.52300000000002</x:v>
      </x:c>
      <x:c r="K3" s="27">
        <x:f t="shared" si="0"/>
        <x:v>162.01300000000003</x:v>
      </x:c>
      <x:c r="L3" s="26" t="s">
        <x:v>1418</x:v>
      </x:c>
      <x:c r="M3" s="26" t="s">
        <x:v>1415</x:v>
      </x:c>
      <x:c r="N3" s="26" t="s">
        <x:v>1317</x:v>
      </x:c>
      <x:c r="O3" s="26">
        <x:v>4</x:v>
      </x:c>
      <x:c r="P3" s="31">
        <x:v>106.28485659932947</x:v>
      </x:c>
      <x:c r="Q3" s="31">
        <x:v>113.4</x:v>
      </x:c>
      <x:c r="R3" s="26">
        <x:v>114</x:v>
      </x:c>
      <x:c r="S3" s="26">
        <x:v>166</x:v>
      </x:c>
      <x:c r="T3" s="27">
        <x:v>97.11</x:v>
      </x:c>
      <x:c r="U3" s="27">
        <x:v>-37.869999999999997</x:v>
      </x:c>
      <x:c r="V3" s="27">
        <x:v>137.5</x:v>
      </x:c>
      <x:c r="W3" s="27">
        <x:v>49.19</x:v>
      </x:c>
      <x:c r="X3" s="32">
        <x:v>0.25</x:v>
      </x:c>
      <x:c r="Y3" s="30" t="b">
        <x:v>0</x:v>
      </x:c>
      <x:c r="Z3" s="26">
        <x:v>4</x:v>
      </x:c>
      <x:c r="AA3" s="26">
        <x:v>107</x:v>
      </x:c>
      <x:c r="AB3" s="26">
        <x:v>338</x:v>
      </x:c>
      <x:c r="AC3" s="27">
        <x:v>108.53</x:v>
      </x:c>
    </x:row>
    <x:row r="4" ht="135" customHeight="1">
      <x:c r="A4" s="26">
        <x:v>3</x:v>
      </x:c>
      <x:c r="B4" s="26" t="s">
        <x:v>42</x:v>
      </x:c>
      <x:c r="C4" s="26" t="s">
        <x:v>43</x:v>
      </x:c>
      <x:c r="D4" s="27">
        <x:v>95.69</x:v>
      </x:c>
      <x:c r="E4" s="26" t="s">
        <x:v>1419</x:v>
      </x:c>
      <x:c r="F4" s="27">
        <x:v>95.69</x:v>
      </x:c>
      <x:c r="G4" s="27" t="n">
        <x:f>F4-D4</x:f>
        <x:v>0</x:v>
      </x:c>
      <x:c r="H4" s="26" t="s">
        <x:v>1420</x:v>
      </x:c>
      <x:c r="I4" s="27">
        <x:v>216.21</x:v>
      </x:c>
      <x:c r="J4" s="27">
        <x:v>237.83099999999999</x:v>
      </x:c>
      <x:c r="K4" s="27">
        <x:f t="shared" si="0"/>
        <x:v>142.14099999999999</x:v>
      </x:c>
      <x:c r="L4" s="26" t="s">
        <x:v>1421</x:v>
      </x:c>
      <x:c r="M4" s="26" t="s">
        <x:v>1415</x:v>
      </x:c>
      <x:c r="N4" s="26" t="s">
        <x:v>1319</x:v>
      </x:c>
      <x:c r="O4" s="26">
        <x:v>6</x:v>
      </x:c>
      <x:c r="P4" s="31">
        <x:v>52.999127829244564</x:v>
      </x:c>
      <x:c r="Q4" s="31">
        <x:v>66.099999999999994</x:v>
      </x:c>
      <x:c r="R4" s="26">
        <x:v>67</x:v>
      </x:c>
      <x:c r="S4" s="26">
        <x:v>139</x:v>
      </x:c>
      <x:c r="T4" s="27">
        <x:v>116.72</x:v>
      </x:c>
      <x:c r="U4" s="27">
        <x:v>0</x:v>
      </x:c>
      <x:c r="V4" s="27">
        <x:v>56.25</x:v>
      </x:c>
      <x:c r="W4" s="27">
        <x:v>43.24</x:v>
      </x:c>
      <x:c r="X4" s="32">
        <x:v>0.25</x:v>
      </x:c>
      <x:c r="Y4" s="30" t="b">
        <x:v>1</x:v>
      </x:c>
      <x:c r="Z4" s="26">
        <x:v>6</x:v>
      </x:c>
      <x:c r="AA4" s="26">
        <x:v>53</x:v>
      </x:c>
      <x:c r="AB4" s="26">
        <x:v>402</x:v>
      </x:c>
      <x:c r="AC4" s="27">
        <x:v>95.69</x:v>
      </x:c>
    </x:row>
    <x:row r="5" ht="135" customHeight="1">
      <x:c r="A5" s="26">
        <x:v>4</x:v>
      </x:c>
      <x:c r="B5" s="26" t="s">
        <x:v>49</x:v>
      </x:c>
      <x:c r="C5" s="26" t="s">
        <x:v>50</x:v>
      </x:c>
      <x:c r="D5" s="27">
        <x:v>31.24</x:v>
      </x:c>
      <x:c r="E5" s="26" t="s">
        <x:v>1422</x:v>
      </x:c>
      <x:c r="F5" s="27"/>
      <x:c r="G5" s="27"/>
      <x:c r="H5" s="26" t="s">
        <x:v>1423</x:v>
      </x:c>
      <x:c r="I5" s="27"/>
      <x:c r="J5" s="27">
        <x:v>171.512</x:v>
      </x:c>
      <x:c r="K5" s="27">
        <x:f t="shared" si="0"/>
        <x:v>140.27199999999999</x:v>
      </x:c>
      <x:c r="L5" s="26" t="s">
        <x:v>1424</x:v>
      </x:c>
      <x:c r="M5" s="26" t="s">
        <x:v>1425</x:v>
      </x:c>
      <x:c r="N5" s="26"/>
      <x:c r="O5" s="26"/>
      <x:c r="P5" s="31"/>
      <x:c r="Q5" s="31"/>
      <x:c r="R5" s="26"/>
      <x:c r="S5" s="26"/>
      <x:c r="T5" s="27"/>
      <x:c r="U5" s="27"/>
      <x:c r="V5" s="27"/>
      <x:c r="W5" s="27"/>
      <x:c r="X5" s="32"/>
      <x:c r="Y5" s="26"/>
      <x:c r="Z5" s="26"/>
      <x:c r="AA5" s="26"/>
      <x:c r="AB5" s="26"/>
      <x:c r="AC5" s="27"/>
    </x:row>
    <x:row r="6" ht="135" customHeight="1">
      <x:c r="A6" s="26">
        <x:v>5</x:v>
      </x:c>
      <x:c r="B6" s="26" t="s">
        <x:v>55</x:v>
      </x:c>
      <x:c r="C6" s="26" t="s">
        <x:v>56</x:v>
      </x:c>
      <x:c r="D6" s="27">
        <x:v>23.53</x:v>
      </x:c>
      <x:c r="E6" s="26" t="s">
        <x:v>1426</x:v>
      </x:c>
      <x:c r="F6" s="27">
        <x:v>23.43</x:v>
      </x:c>
      <x:c r="G6" s="27" t="n">
        <x:f t="shared" ref="G6:G14" si="1">F6-D6</x:f>
        <x:v>-0.10000000000000142</x:v>
      </x:c>
      <x:c r="H6" s="26" t="s">
        <x:v>1427</x:v>
      </x:c>
      <x:c r="I6" s="27">
        <x:v>127.88</x:v>
      </x:c>
      <x:c r="J6" s="27">
        <x:v>140.66800000000001</x:v>
      </x:c>
      <x:c r="K6" s="27">
        <x:f t="shared" si="0"/>
        <x:v>117.13800000000001</x:v>
      </x:c>
      <x:c r="L6" s="26" t="s">
        <x:v>1428</x:v>
      </x:c>
      <x:c r="M6" s="26" t="s">
        <x:v>1415</x:v>
      </x:c>
      <x:c r="N6" s="26" t="s">
        <x:v>1319</x:v>
      </x:c>
      <x:c r="O6" s="26">
        <x:v>2</x:v>
      </x:c>
      <x:c r="P6" s="31">
        <x:v>42.990141126051128</x:v>
      </x:c>
      <x:c r="Q6" s="31">
        <x:v>71.3</x:v>
      </x:c>
      <x:c r="R6" s="26">
        <x:v>72</x:v>
      </x:c>
      <x:c r="S6" s="26">
        <x:v>139</x:v>
      </x:c>
      <x:c r="T6" s="27">
        <x:v>56.3</x:v>
      </x:c>
      <x:c r="U6" s="27">
        <x:v>0</x:v>
      </x:c>
      <x:c r="V6" s="27">
        <x:v>46</x:v>
      </x:c>
      <x:c r="W6" s="27">
        <x:v>25.58</x:v>
      </x:c>
      <x:c r="X6" s="32">
        <x:v>0.25</x:v>
      </x:c>
      <x:c r="Y6" s="30" t="b">
        <x:v>1</x:v>
      </x:c>
      <x:c r="Z6" s="26">
        <x:v>2</x:v>
      </x:c>
      <x:c r="AA6" s="26">
        <x:v>43</x:v>
      </x:c>
      <x:c r="AB6" s="26">
        <x:v>365</x:v>
      </x:c>
      <x:c r="AC6" s="27">
        <x:v>23.43</x:v>
      </x:c>
    </x:row>
    <x:row r="7" ht="135" customHeight="1">
      <x:c r="A7" s="26">
        <x:v>6</x:v>
      </x:c>
      <x:c r="B7" s="26" t="s">
        <x:v>62</x:v>
      </x:c>
      <x:c r="C7" s="26" t="s">
        <x:v>63</x:v>
      </x:c>
      <x:c r="D7" s="27">
        <x:v>88.7</x:v>
      </x:c>
      <x:c r="E7" s="26" t="s">
        <x:v>1429</x:v>
      </x:c>
      <x:c r="F7" s="27">
        <x:v>88.72</x:v>
      </x:c>
      <x:c r="G7" s="27">
        <x:f t="shared" si="1"/>
        <x:v>1.9999999999996021E-2</x:v>
      </x:c>
      <x:c r="H7" s="26" t="s">
        <x:v>1430</x:v>
      </x:c>
      <x:c r="I7" s="27">
        <x:v>186.1</x:v>
      </x:c>
      <x:c r="J7" s="27">
        <x:v>204.71</x:v>
      </x:c>
      <x:c r="K7" s="27">
        <x:f t="shared" si="0"/>
        <x:v>116.01</x:v>
      </x:c>
      <x:c r="L7" s="26" t="s">
        <x:v>1431</x:v>
      </x:c>
      <x:c r="M7" s="26" t="s">
        <x:v>1415</x:v>
      </x:c>
      <x:c r="N7" s="26" t="s">
        <x:v>1319</x:v>
      </x:c>
      <x:c r="O7" s="26">
        <x:v>5</x:v>
      </x:c>
      <x:c r="P7" s="31">
        <x:v>64.000194712269959</x:v>
      </x:c>
      <x:c r="Q7" s="31">
        <x:v>62.4</x:v>
      </x:c>
      <x:c r="R7" s="26">
        <x:v>63</x:v>
      </x:c>
      <x:c r="S7" s="26">
        <x:v>139</x:v>
      </x:c>
      <x:c r="T7" s="27">
        <x:v>92.63</x:v>
      </x:c>
      <x:c r="U7" s="27">
        <x:v>0</x:v>
      </x:c>
      <x:c r="V7" s="27">
        <x:v>56.25</x:v>
      </x:c>
      <x:c r="W7" s="27">
        <x:v>37.22</x:v>
      </x:c>
      <x:c r="X7" s="32">
        <x:v>0.25</x:v>
      </x:c>
      <x:c r="Y7" s="30" t="b">
        <x:v>1</x:v>
      </x:c>
      <x:c r="Z7" s="26">
        <x:v>5</x:v>
      </x:c>
      <x:c r="AA7" s="26">
        <x:v>64</x:v>
      </x:c>
      <x:c r="AB7" s="26">
        <x:v>381</x:v>
      </x:c>
      <x:c r="AC7" s="27">
        <x:v>88.72</x:v>
      </x:c>
    </x:row>
    <x:row r="8" ht="135" customHeight="1">
      <x:c r="A8" s="26">
        <x:v>7</x:v>
      </x:c>
      <x:c r="B8" s="26" t="s">
        <x:v>69</x:v>
      </x:c>
      <x:c r="C8" s="26" t="s">
        <x:v>70</x:v>
      </x:c>
      <x:c r="D8" s="27">
        <x:v>71.650000000000006</x:v>
      </x:c>
      <x:c r="E8" s="26" t="s">
        <x:v>1432</x:v>
      </x:c>
      <x:c r="F8" s="27">
        <x:v>71.66</x:v>
      </x:c>
      <x:c r="G8" s="27">
        <x:f t="shared" si="1"/>
        <x:v>9.9999999999909051E-3</x:v>
      </x:c>
      <x:c r="H8" s="26" t="s">
        <x:v>1433</x:v>
      </x:c>
      <x:c r="I8" s="27">
        <x:v>163.11000000000001</x:v>
      </x:c>
      <x:c r="J8" s="27">
        <x:v>179.42099999999999</x:v>
      </x:c>
      <x:c r="K8" s="27">
        <x:f t="shared" si="0"/>
        <x:v>107.77099999999999</x:v>
      </x:c>
      <x:c r="L8" s="26" t="s">
        <x:v>1434</x:v>
      </x:c>
      <x:c r="M8" s="26" t="s">
        <x:v>1415</x:v>
      </x:c>
      <x:c r="N8" s="26" t="s">
        <x:v>1319</x:v>
      </x:c>
      <x:c r="O8" s="26">
        <x:v>4</x:v>
      </x:c>
      <x:c r="P8" s="31">
        <x:v>55.997414594958897</x:v>
      </x:c>
      <x:c r="Q8" s="31">
        <x:v>71.7</x:v>
      </x:c>
      <x:c r="R8" s="26">
        <x:v>72</x:v>
      </x:c>
      <x:c r="S8" s="26">
        <x:v>139</x:v>
      </x:c>
      <x:c r="T8" s="27">
        <x:v>80.239999999999995</x:v>
      </x:c>
      <x:c r="U8" s="27">
        <x:v>0</x:v>
      </x:c>
      <x:c r="V8" s="27">
        <x:v>50.25</x:v>
      </x:c>
      <x:c r="W8" s="27">
        <x:v>32.619999999999997</x:v>
      </x:c>
      <x:c r="X8" s="32">
        <x:v>0.25</x:v>
      </x:c>
      <x:c r="Y8" s="30" t="b">
        <x:v>1</x:v>
      </x:c>
      <x:c r="Z8" s="26">
        <x:v>4</x:v>
      </x:c>
      <x:c r="AA8" s="26">
        <x:v>56</x:v>
      </x:c>
      <x:c r="AB8" s="26">
        <x:v>392</x:v>
      </x:c>
      <x:c r="AC8" s="27">
        <x:v>71.66</x:v>
      </x:c>
    </x:row>
    <x:row r="9" ht="135" customHeight="1">
      <x:c r="A9" s="26">
        <x:v>8</x:v>
      </x:c>
      <x:c r="B9" s="26" t="s">
        <x:v>76</x:v>
      </x:c>
      <x:c r="C9" s="26" t="s">
        <x:v>50</x:v>
      </x:c>
      <x:c r="D9" s="27">
        <x:v>62.65</x:v>
      </x:c>
      <x:c r="E9" s="26" t="s">
        <x:v>1435</x:v>
      </x:c>
      <x:c r="F9" s="27">
        <x:v>62.65</x:v>
      </x:c>
      <x:c r="G9" s="27">
        <x:f t="shared" si="1"/>
        <x:v>0</x:v>
      </x:c>
      <x:c r="H9" s="26" t="s">
        <x:v>1436</x:v>
      </x:c>
      <x:c r="I9" s="27">
        <x:v>153.56</x:v>
      </x:c>
      <x:c r="J9" s="27">
        <x:v>168.916</x:v>
      </x:c>
      <x:c r="K9" s="27">
        <x:f t="shared" si="0"/>
        <x:v>106.26599999999999</x:v>
      </x:c>
      <x:c r="L9" s="26" t="s">
        <x:v>1437</x:v>
      </x:c>
      <x:c r="M9" s="26" t="s">
        <x:v>1415</x:v>
      </x:c>
      <x:c r="N9" s="26" t="s">
        <x:v>1319</x:v>
      </x:c>
      <x:c r="O9" s="26">
        <x:v>8</x:v>
      </x:c>
      <x:c r="P9" s="31">
        <x:v>37.985647774454407</x:v>
      </x:c>
      <x:c r="Q9" s="31">
        <x:v>39.4</x:v>
      </x:c>
      <x:c r="R9" s="26">
        <x:v>40</x:v>
      </x:c>
      <x:c r="S9" s="26">
        <x:v>139</x:v>
      </x:c>
      <x:c r="T9" s="27">
        <x:v>122.85</x:v>
      </x:c>
      <x:c r="U9" s="27">
        <x:v>0</x:v>
      </x:c>
      <x:c r="V9" s="27">
        <x:v>0</x:v>
      </x:c>
      <x:c r="W9" s="27">
        <x:v>30.71</x:v>
      </x:c>
      <x:c r="X9" s="32">
        <x:v>0.25</x:v>
      </x:c>
      <x:c r="Y9" s="30" t="b">
        <x:v>1</x:v>
      </x:c>
      <x:c r="Z9" s="26">
        <x:v>8</x:v>
      </x:c>
      <x:c r="AA9" s="26">
        <x:v>38</x:v>
      </x:c>
      <x:c r="AB9" s="26">
        <x:v>439</x:v>
      </x:c>
      <x:c r="AC9" s="27">
        <x:v>62.65</x:v>
      </x:c>
    </x:row>
    <x:row r="10" ht="135" customHeight="1">
      <x:c r="A10" s="26">
        <x:v>9</x:v>
      </x:c>
      <x:c r="B10" s="26" t="s">
        <x:v>81</x:v>
      </x:c>
      <x:c r="C10" s="26" t="s">
        <x:v>82</x:v>
      </x:c>
      <x:c r="D10" s="27">
        <x:v>26.2</x:v>
      </x:c>
      <x:c r="E10" s="26" t="s">
        <x:v>1438</x:v>
      </x:c>
      <x:c r="F10" s="27">
        <x:v>26.19</x:v>
      </x:c>
      <x:c r="G10" s="27">
        <x:f t="shared" si="1"/>
        <x:v>-9.9999999999980105E-3</x:v>
      </x:c>
      <x:c r="H10" s="26" t="s">
        <x:v>1439</x:v>
      </x:c>
      <x:c r="I10" s="27">
        <x:v>118.56</x:v>
      </x:c>
      <x:c r="J10" s="27">
        <x:v>130.416</x:v>
      </x:c>
      <x:c r="K10" s="27">
        <x:f t="shared" si="0"/>
        <x:v>104.21599999999999</x:v>
      </x:c>
      <x:c r="L10" s="26" t="s">
        <x:v>1440</x:v>
      </x:c>
      <x:c r="M10" s="26" t="s">
        <x:v>1415</x:v>
      </x:c>
      <x:c r="N10" s="26" t="s">
        <x:v>1319</x:v>
      </x:c>
      <x:c r="O10" s="26">
        <x:v>8</x:v>
      </x:c>
      <x:c r="P10" s="31">
        <x:v>25.000420531765116</x:v>
      </x:c>
      <x:c r="Q10" s="31">
        <x:v>28.2</x:v>
      </x:c>
      <x:c r="R10" s="26">
        <x:v>29</x:v>
      </x:c>
      <x:c r="S10" s="26">
        <x:v>139</x:v>
      </x:c>
      <x:c r="T10" s="27">
        <x:v>94.85</x:v>
      </x:c>
      <x:c r="U10" s="27">
        <x:v>0</x:v>
      </x:c>
      <x:c r="V10" s="27">
        <x:v>0</x:v>
      </x:c>
      <x:c r="W10" s="27">
        <x:v>23.71</x:v>
      </x:c>
      <x:c r="X10" s="32">
        <x:v>0.25</x:v>
      </x:c>
      <x:c r="Y10" s="30" t="b">
        <x:v>1</x:v>
      </x:c>
      <x:c r="Z10" s="26">
        <x:v>5</x:v>
      </x:c>
      <x:c r="AA10" s="26">
        <x:v>25</x:v>
      </x:c>
      <x:c r="AB10" s="26">
        <x:v>400</x:v>
      </x:c>
      <x:c r="AC10" s="27">
        <x:v>44.5</x:v>
      </x:c>
    </x:row>
    <x:row r="11" ht="135" customHeight="1">
      <x:c r="A11" s="26">
        <x:v>10</x:v>
      </x:c>
      <x:c r="B11" s="26" t="s">
        <x:v>88</x:v>
      </x:c>
      <x:c r="C11" s="26" t="s">
        <x:v>89</x:v>
      </x:c>
      <x:c r="D11" s="27">
        <x:v>23.79</x:v>
      </x:c>
      <x:c r="E11" s="26" t="s">
        <x:v>1441</x:v>
      </x:c>
      <x:c r="F11" s="27">
        <x:v>23.84</x:v>
      </x:c>
      <x:c r="G11" s="27">
        <x:f t="shared" si="1"/>
        <x:v>5.0000000000000711E-2</x:v>
      </x:c>
      <x:c r="H11" s="26" t="s">
        <x:v>1442</x:v>
      </x:c>
      <x:c r="I11" s="27">
        <x:v>107.34</x:v>
      </x:c>
      <x:c r="J11" s="27">
        <x:v>118.074</x:v>
      </x:c>
      <x:c r="K11" s="27">
        <x:f t="shared" si="0"/>
        <x:v>94.283999999999992</x:v>
      </x:c>
      <x:c r="L11" s="26" t="s">
        <x:v>1443</x:v>
      </x:c>
      <x:c r="M11" s="26" t="s">
        <x:v>1415</x:v>
      </x:c>
      <x:c r="N11" s="26" t="s">
        <x:v>1315</x:v>
      </x:c>
      <x:c r="O11" s="26">
        <x:v>8</x:v>
      </x:c>
      <x:c r="P11" s="31">
        <x:v>44.092452436975513</x:v>
      </x:c>
      <x:c r="Q11" s="31">
        <x:v>51.1</x:v>
      </x:c>
      <x:c r="R11" s="26">
        <x:v>52</x:v>
      </x:c>
      <x:c r="S11" s="26">
        <x:v>166</x:v>
      </x:c>
      <x:c r="T11" s="27">
        <x:v>92.35</x:v>
      </x:c>
      <x:c r="U11" s="27">
        <x:v>-36.020000000000003</x:v>
      </x:c>
      <x:c r="V11" s="27">
        <x:v>29.37</x:v>
      </x:c>
      <x:c r="W11" s="27">
        <x:v>21.64</x:v>
      </x:c>
      <x:c r="X11" s="32">
        <x:v>0.2525</x:v>
      </x:c>
      <x:c r="Y11" s="30" t="b">
        <x:v>0</x:v>
      </x:c>
      <x:c r="Z11" s="26">
        <x:v>2</x:v>
      </x:c>
      <x:c r="AA11" s="26">
        <x:v>45</x:v>
      </x:c>
      <x:c r="AB11" s="26">
        <x:v>461</x:v>
      </x:c>
      <x:c r="AC11" s="27">
        <x:v>69.849999999999994</x:v>
      </x:c>
    </x:row>
    <x:row r="12" ht="135" customHeight="1">
      <x:c r="A12" s="26">
        <x:v>11</x:v>
      </x:c>
      <x:c r="B12" s="26" t="s">
        <x:v>95</x:v>
      </x:c>
      <x:c r="C12" s="26" t="s">
        <x:v>89</x:v>
      </x:c>
      <x:c r="D12" s="27">
        <x:v>23.84</x:v>
      </x:c>
      <x:c r="E12" s="26" t="s">
        <x:v>1444</x:v>
      </x:c>
      <x:c r="F12" s="27">
        <x:v>23.84</x:v>
      </x:c>
      <x:c r="G12" s="27">
        <x:f t="shared" si="1"/>
        <x:v>0</x:v>
      </x:c>
      <x:c r="H12" s="26" t="s">
        <x:v>1442</x:v>
      </x:c>
      <x:c r="I12" s="27">
        <x:v>107.34</x:v>
      </x:c>
      <x:c r="J12" s="27">
        <x:v>118.074</x:v>
      </x:c>
      <x:c r="K12" s="27">
        <x:f t="shared" si="0"/>
        <x:v>94.233999999999995</x:v>
      </x:c>
      <x:c r="L12" s="26" t="s">
        <x:v>1443</x:v>
      </x:c>
      <x:c r="M12" s="26" t="s">
        <x:v>1415</x:v>
      </x:c>
      <x:c r="N12" s="26" t="s">
        <x:v>1445</x:v>
      </x:c>
      <x:c r="O12" s="26">
        <x:v>8</x:v>
      </x:c>
      <x:c r="P12" s="31">
        <x:v>44.092452436975513</x:v>
      </x:c>
      <x:c r="Q12" s="31">
        <x:v>51.1</x:v>
      </x:c>
      <x:c r="R12" s="26">
        <x:v>52</x:v>
      </x:c>
      <x:c r="S12" s="26">
        <x:v>166</x:v>
      </x:c>
      <x:c r="T12" s="27">
        <x:v>92.35</x:v>
      </x:c>
      <x:c r="U12" s="27">
        <x:v>-36.020000000000003</x:v>
      </x:c>
      <x:c r="V12" s="27">
        <x:v>29.37</x:v>
      </x:c>
      <x:c r="W12" s="27">
        <x:v>21.64</x:v>
      </x:c>
      <x:c r="X12" s="32">
        <x:v>0.2525</x:v>
      </x:c>
      <x:c r="Y12" s="30" t="b">
        <x:v>0</x:v>
      </x:c>
      <x:c r="Z12" s="26">
        <x:v>2</x:v>
      </x:c>
      <x:c r="AA12" s="26">
        <x:v>45</x:v>
      </x:c>
      <x:c r="AB12" s="26">
        <x:v>210</x:v>
      </x:c>
      <x:c r="AC12" s="27">
        <x:v>69.849999999999994</x:v>
      </x:c>
    </x:row>
    <x:row r="13" ht="135" customHeight="1">
      <x:c r="A13" s="26">
        <x:v>12</x:v>
      </x:c>
      <x:c r="B13" s="26" t="s">
        <x:v>98</x:v>
      </x:c>
      <x:c r="C13" s="26" t="s">
        <x:v>99</x:v>
      </x:c>
      <x:c r="D13" s="27">
        <x:v>36.44</x:v>
      </x:c>
      <x:c r="E13" s="26" t="s">
        <x:v>1446</x:v>
      </x:c>
      <x:c r="F13" s="27">
        <x:v>36.51</x:v>
      </x:c>
      <x:c r="G13" s="27">
        <x:f t="shared" si="1"/>
        <x:v>7.0000000000000284E-2</x:v>
      </x:c>
      <x:c r="H13" s="26" t="s">
        <x:v>1447</x:v>
      </x:c>
      <x:c r="I13" s="27">
        <x:v>100.48</x:v>
      </x:c>
      <x:c r="J13" s="27">
        <x:v>110.52800000000001</x:v>
      </x:c>
      <x:c r="K13" s="27">
        <x:f t="shared" si="0"/>
        <x:v>74.088000000000008</x:v>
      </x:c>
      <x:c r="L13" s="26" t="s">
        <x:v>1448</x:v>
      </x:c>
      <x:c r="M13" s="26" t="s">
        <x:v>1415</x:v>
      </x:c>
      <x:c r="N13" s="26" t="s">
        <x:v>1449</x:v>
      </x:c>
      <x:c r="O13" s="26">
        <x:v>5</x:v>
      </x:c>
      <x:c r="P13" s="31">
        <x:v>37.985647774454407</x:v>
      </x:c>
      <x:c r="Q13" s="31">
        <x:v>95.5</x:v>
      </x:c>
      <x:c r="R13" s="26">
        <x:v>96</x:v>
      </x:c>
      <x:c r="S13" s="26">
        <x:v>166</x:v>
      </x:c>
      <x:c r="T13" s="27">
        <x:v>85.41</x:v>
      </x:c>
      <x:c r="U13" s="27">
        <x:v>-33.31</x:v>
      </x:c>
      <x:c r="V13" s="27">
        <x:v>28.12</x:v>
      </x:c>
      <x:c r="W13" s="27">
        <x:v>20.260000000000002</x:v>
      </x:c>
      <x:c r="X13" s="32">
        <x:v>0.2525</x:v>
      </x:c>
      <x:c r="Y13" s="30" t="b">
        <x:v>0</x:v>
      </x:c>
      <x:c r="Z13" s="26">
        <x:v>5</x:v>
      </x:c>
      <x:c r="AA13" s="26">
        <x:v>38</x:v>
      </x:c>
      <x:c r="AB13" s="26">
        <x:v>492</x:v>
      </x:c>
      <x:c r="AC13" s="27">
        <x:v>36.51</x:v>
      </x:c>
    </x:row>
    <x:row r="14" ht="135" customHeight="1">
      <x:c r="A14" s="26">
        <x:v>13</x:v>
      </x:c>
      <x:c r="B14" s="26" t="s">
        <x:v>105</x:v>
      </x:c>
      <x:c r="C14" s="26" t="s">
        <x:v>43</x:v>
      </x:c>
      <x:c r="D14" s="27">
        <x:v>57.47</x:v>
      </x:c>
      <x:c r="E14" s="26" t="s">
        <x:v>1450</x:v>
      </x:c>
      <x:c r="F14" s="27">
        <x:v>57.46</x:v>
      </x:c>
      <x:c r="G14" s="27">
        <x:f t="shared" si="1"/>
        <x:v>-9.9999999999980105E-3</x:v>
      </x:c>
      <x:c r="H14" s="26" t="s">
        <x:v>1451</x:v>
      </x:c>
      <x:c r="I14" s="27">
        <x:v>116.8</x:v>
      </x:c>
      <x:c r="J14" s="27">
        <x:v>128.47999999999999</x:v>
      </x:c>
      <x:c r="K14" s="27">
        <x:f t="shared" si="0"/>
        <x:v>71.009999999999991</x:v>
      </x:c>
      <x:c r="L14" s="26" t="s">
        <x:v>1437</x:v>
      </x:c>
      <x:c r="M14" s="26" t="s">
        <x:v>1415</x:v>
      </x:c>
      <x:c r="N14" s="26" t="s">
        <x:v>1319</x:v>
      </x:c>
      <x:c r="O14" s="26">
        <x:v>2</x:v>
      </x:c>
      <x:c r="P14" s="31">
        <x:v>60.494844743530408</x:v>
      </x:c>
      <x:c r="Q14" s="31">
        <x:v>61.1</x:v>
      </x:c>
      <x:c r="R14" s="26">
        <x:v>62</x:v>
      </x:c>
      <x:c r="S14" s="26">
        <x:v>139</x:v>
      </x:c>
      <x:c r="T14" s="27">
        <x:v>47.44</x:v>
      </x:c>
      <x:c r="U14" s="27">
        <x:v>0</x:v>
      </x:c>
      <x:c r="V14" s="27">
        <x:v>46</x:v>
      </x:c>
      <x:c r="W14" s="27">
        <x:v>23.36</x:v>
      </x:c>
      <x:c r="X14" s="32">
        <x:v>0.25</x:v>
      </x:c>
      <x:c r="Y14" s="30" t="b">
        <x:v>1</x:v>
      </x:c>
      <x:c r="Z14" s="26">
        <x:v>2</x:v>
      </x:c>
      <x:c r="AA14" s="26">
        <x:v>61</x:v>
      </x:c>
      <x:c r="AB14" s="26">
        <x:v>374</x:v>
      </x:c>
      <x:c r="AC14" s="27">
        <x:v>57.46</x:v>
      </x:c>
    </x:row>
    <x:row r="15" ht="135" customHeight="1">
      <x:c r="A15" s="26">
        <x:v>14</x:v>
      </x:c>
      <x:c r="B15" s="26" t="s">
        <x:v>110</x:v>
      </x:c>
      <x:c r="C15" s="26"/>
      <x:c r="D15" s="27">
        <x:v>19.12</x:v>
      </x:c>
      <x:c r="E15" s="26" t="s">
        <x:v>1422</x:v>
      </x:c>
      <x:c r="F15" s="27"/>
      <x:c r="G15" s="27"/>
      <x:c r="H15" s="26" t="s">
        <x:v>1423</x:v>
      </x:c>
      <x:c r="I15" s="27"/>
      <x:c r="J15" s="27">
        <x:v>89.584000000000003</x:v>
      </x:c>
      <x:c r="K15" s="27">
        <x:f t="shared" si="0"/>
        <x:v>70.463999999999999</x:v>
      </x:c>
      <x:c r="L15" s="26" t="s">
        <x:v>1424</x:v>
      </x:c>
      <x:c r="M15" s="26" t="s">
        <x:v>1425</x:v>
      </x:c>
      <x:c r="N15" s="26"/>
      <x:c r="O15" s="26"/>
      <x:c r="P15" s="31"/>
      <x:c r="Q15" s="31"/>
      <x:c r="R15" s="26"/>
      <x:c r="S15" s="26"/>
      <x:c r="T15" s="27"/>
      <x:c r="U15" s="27"/>
      <x:c r="V15" s="27"/>
      <x:c r="W15" s="27"/>
      <x:c r="X15" s="32"/>
      <x:c r="Y15" s="26"/>
      <x:c r="Z15" s="26"/>
      <x:c r="AA15" s="26"/>
      <x:c r="AB15" s="26"/>
      <x:c r="AC15" s="27"/>
    </x:row>
    <x:row r="16" ht="135" customHeight="1">
      <x:c r="A16" s="26">
        <x:v>15</x:v>
      </x:c>
      <x:c r="B16" s="26" t="s">
        <x:v>112</x:v>
      </x:c>
      <x:c r="C16" s="26" t="s">
        <x:v>113</x:v>
      </x:c>
      <x:c r="D16" s="27">
        <x:v>59.37</x:v>
      </x:c>
      <x:c r="E16" s="26" t="s">
        <x:v>1452</x:v>
      </x:c>
      <x:c r="F16" s="27">
        <x:v>59.37</x:v>
      </x:c>
      <x:c r="G16" s="27" t="n">
        <x:f t="shared" ref="G16:G25" si="2">F16-D16</x:f>
        <x:v>0</x:v>
      </x:c>
      <x:c r="H16" s="26" t="s">
        <x:v>1453</x:v>
      </x:c>
      <x:c r="I16" s="27">
        <x:v>109.67</x:v>
      </x:c>
      <x:c r="J16" s="27">
        <x:v>120.637</x:v>
      </x:c>
      <x:c r="K16" s="27">
        <x:f t="shared" si="0"/>
        <x:v>61.267000000000003</x:v>
      </x:c>
      <x:c r="L16" s="26" t="s">
        <x:v>1454</x:v>
      </x:c>
      <x:c r="M16" s="26" t="s">
        <x:v>1415</x:v>
      </x:c>
      <x:c r="N16" s="26" t="s">
        <x:v>1445</x:v>
      </x:c>
      <x:c r="O16" s="26">
        <x:v>8</x:v>
      </x:c>
      <x:c r="P16" s="31">
        <x:v>63.889963581177518</x:v>
      </x:c>
      <x:c r="Q16" s="31">
        <x:v>56.8</x:v>
      </x:c>
      <x:c r="R16" s="26">
        <x:v>57</x:v>
      </x:c>
      <x:c r="S16" s="26">
        <x:v>166</x:v>
      </x:c>
      <x:c r="T16" s="27">
        <x:v>95.4</x:v>
      </x:c>
      <x:c r="U16" s="27">
        <x:v>-37.21</x:v>
      </x:c>
      <x:c r="V16" s="27">
        <x:v>29.37</x:v>
      </x:c>
      <x:c r="W16" s="27">
        <x:v>22.11</x:v>
      </x:c>
      <x:c r="X16" s="32">
        <x:v>0.2525</x:v>
      </x:c>
      <x:c r="Y16" s="30" t="b">
        <x:v>0</x:v>
      </x:c>
      <x:c r="Z16" s="26">
        <x:v>2</x:v>
      </x:c>
      <x:c r="AA16" s="26">
        <x:v>64</x:v>
      </x:c>
      <x:c r="AB16" s="26">
        <x:v>264</x:v>
      </x:c>
      <x:c r="AC16" s="27">
        <x:v>125.25</x:v>
      </x:c>
    </x:row>
    <x:row r="17" ht="135" customHeight="1">
      <x:c r="A17" s="26">
        <x:v>16</x:v>
      </x:c>
      <x:c r="B17" s="26" t="s">
        <x:v>119</x:v>
      </x:c>
      <x:c r="C17" s="26" t="s">
        <x:v>82</x:v>
      </x:c>
      <x:c r="D17" s="27">
        <x:v>37.47</x:v>
      </x:c>
      <x:c r="E17" s="26" t="s">
        <x:v>1455</x:v>
      </x:c>
      <x:c r="F17" s="27">
        <x:v>37.47</x:v>
      </x:c>
      <x:c r="G17" s="27">
        <x:f t="shared" si="2"/>
        <x:v>0</x:v>
      </x:c>
      <x:c r="H17" s="26" t="s">
        <x:v>1456</x:v>
      </x:c>
      <x:c r="I17" s="27">
        <x:v>84.66</x:v>
      </x:c>
      <x:c r="J17" s="27">
        <x:v>93.126000000000005</x:v>
      </x:c>
      <x:c r="K17" s="27">
        <x:f t="shared" si="0"/>
        <x:v>55.656000000000006</x:v>
      </x:c>
      <x:c r="L17" s="26" t="s">
        <x:v>1431</x:v>
      </x:c>
      <x:c r="M17" s="26" t="s">
        <x:v>1415</x:v>
      </x:c>
      <x:c r="N17" s="26" t="s">
        <x:v>1319</x:v>
      </x:c>
      <x:c r="O17" s="26">
        <x:v>6</x:v>
      </x:c>
      <x:c r="P17" s="31">
        <x:v>28.660094084034085</x:v>
      </x:c>
      <x:c r="Q17" s="31">
        <x:v>27.6</x:v>
      </x:c>
      <x:c r="R17" s="26">
        <x:v>28</x:v>
      </x:c>
      <x:c r="S17" s="26">
        <x:v>139</x:v>
      </x:c>
      <x:c r="T17" s="27">
        <x:v>67.73</x:v>
      </x:c>
      <x:c r="U17" s="27">
        <x:v>0</x:v>
      </x:c>
      <x:c r="V17" s="27">
        <x:v>0</x:v>
      </x:c>
      <x:c r="W17" s="27">
        <x:v>16.93</x:v>
      </x:c>
      <x:c r="X17" s="32">
        <x:v>0.25</x:v>
      </x:c>
      <x:c r="Y17" s="30" t="b">
        <x:v>1</x:v>
      </x:c>
      <x:c r="Z17" s="26">
        <x:v>6</x:v>
      </x:c>
      <x:c r="AA17" s="26">
        <x:v>29</x:v>
      </x:c>
      <x:c r="AB17" s="26">
        <x:v>408</x:v>
      </x:c>
      <x:c r="AC17" s="27">
        <x:v>37.47</x:v>
      </x:c>
    </x:row>
    <x:row r="18" ht="135" customHeight="1">
      <x:c r="A18" s="26">
        <x:v>17</x:v>
      </x:c>
      <x:c r="B18" s="26" t="s">
        <x:v>124</x:v>
      </x:c>
      <x:c r="C18" s="26" t="s">
        <x:v>70</x:v>
      </x:c>
      <x:c r="D18" s="27">
        <x:v>19.510000000000002</x:v>
      </x:c>
      <x:c r="E18" s="26" t="s">
        <x:v>1457</x:v>
      </x:c>
      <x:c r="F18" s="27">
        <x:v>19.5</x:v>
      </x:c>
      <x:c r="G18" s="27">
        <x:f t="shared" si="2"/>
        <x:v>-1.0000000000001563E-2</x:v>
      </x:c>
      <x:c r="H18" s="26" t="s">
        <x:v>1458</x:v>
      </x:c>
      <x:c r="I18" s="27">
        <x:v>64.56</x:v>
      </x:c>
      <x:c r="J18" s="27">
        <x:v>71.016000000000005</x:v>
      </x:c>
      <x:c r="K18" s="27">
        <x:f t="shared" si="0"/>
        <x:v>51.506</x:v>
      </x:c>
      <x:c r="L18" s="26" t="s">
        <x:v>1459</x:v>
      </x:c>
      <x:c r="M18" s="26" t="s">
        <x:v>1415</x:v>
      </x:c>
      <x:c r="N18" s="26" t="s">
        <x:v>1460</x:v>
      </x:c>
      <x:c r="O18" s="26">
        <x:v>3</x:v>
      </x:c>
      <x:c r="P18" s="31">
        <x:v>22.994213945882731</x:v>
      </x:c>
      <x:c r="Q18" s="31">
        <x:v>65.7</x:v>
      </x:c>
      <x:c r="R18" s="26">
        <x:v>66</x:v>
      </x:c>
      <x:c r="S18" s="26">
        <x:v>166</x:v>
      </x:c>
      <x:c r="T18" s="27">
        <x:v>42.82</x:v>
      </x:c>
      <x:c r="U18" s="27">
        <x:v>-16.7</x:v>
      </x:c>
      <x:c r="V18" s="27">
        <x:v>25.12</x:v>
      </x:c>
      <x:c r="W18" s="27">
        <x:v>13.32</x:v>
      </x:c>
      <x:c r="X18" s="32">
        <x:v>0.26</x:v>
      </x:c>
      <x:c r="Y18" s="30" t="b">
        <x:v>0</x:v>
      </x:c>
      <x:c r="Z18" s="26">
        <x:v>3</x:v>
      </x:c>
      <x:c r="AA18" s="26">
        <x:v>23</x:v>
      </x:c>
      <x:c r="AB18" s="26">
        <x:v>4</x:v>
      </x:c>
      <x:c r="AC18" s="27">
        <x:v>19.5</x:v>
      </x:c>
    </x:row>
    <x:row r="19" ht="135" customHeight="1">
      <x:c r="A19" s="26">
        <x:v>18</x:v>
      </x:c>
      <x:c r="B19" s="26" t="s">
        <x:v>130</x:v>
      </x:c>
      <x:c r="C19" s="26" t="s">
        <x:v>131</x:v>
      </x:c>
      <x:c r="D19" s="27">
        <x:v>60.52</x:v>
      </x:c>
      <x:c r="E19" s="26" t="s">
        <x:v>1461</x:v>
      </x:c>
      <x:c r="F19" s="27">
        <x:v>60.52</x:v>
      </x:c>
      <x:c r="G19" s="27">
        <x:f t="shared" si="2"/>
        <x:v>0</x:v>
      </x:c>
      <x:c r="H19" s="26" t="s">
        <x:v>1462</x:v>
      </x:c>
      <x:c r="I19" s="27">
        <x:v>101.63</x:v>
      </x:c>
      <x:c r="J19" s="27">
        <x:v>111.79300000000001</x:v>
      </x:c>
      <x:c r="K19" s="27">
        <x:f t="shared" si="0"/>
        <x:v>51.273000000000003</x:v>
      </x:c>
      <x:c r="L19" s="26" t="s">
        <x:v>1463</x:v>
      </x:c>
      <x:c r="M19" s="26" t="s">
        <x:v>1415</x:v>
      </x:c>
      <x:c r="N19" s="26" t="s">
        <x:v>1464</x:v>
      </x:c>
      <x:c r="O19" s="26">
        <x:v>7</x:v>
      </x:c>
      <x:c r="P19" s="31">
        <x:v>42.990141126051128</x:v>
      </x:c>
      <x:c r="Q19" s="31">
        <x:v>63.1</x:v>
      </x:c>
      <x:c r="R19" s="26">
        <x:v>64</x:v>
      </x:c>
      <x:c r="S19" s="26">
        <x:v>166</x:v>
      </x:c>
      <x:c r="T19" s="27">
        <x:v>84.61</x:v>
      </x:c>
      <x:c r="U19" s="27">
        <x:v>-33</x:v>
      </x:c>
      <x:c r="V19" s="27">
        <x:v>29.37</x:v>
      </x:c>
      <x:c r="W19" s="27">
        <x:v>20.65</x:v>
      </x:c>
      <x:c r="X19" s="32">
        <x:v>0.255</x:v>
      </x:c>
      <x:c r="Y19" s="30" t="b">
        <x:v>0</x:v>
      </x:c>
      <x:c r="Z19" s="26">
        <x:v>7</x:v>
      </x:c>
      <x:c r="AA19" s="26">
        <x:v>43</x:v>
      </x:c>
      <x:c r="AB19" s="26">
        <x:v>174</x:v>
      </x:c>
      <x:c r="AC19" s="27">
        <x:v>60.52</x:v>
      </x:c>
    </x:row>
    <x:row r="20" ht="135" customHeight="1">
      <x:c r="A20" s="26">
        <x:v>19</x:v>
      </x:c>
      <x:c r="B20" s="26" t="s">
        <x:v>137</x:v>
      </x:c>
      <x:c r="C20" s="26" t="s">
        <x:v>138</x:v>
      </x:c>
      <x:c r="D20" s="27">
        <x:v>87.96</x:v>
      </x:c>
      <x:c r="E20" s="26" t="s">
        <x:v>1465</x:v>
      </x:c>
      <x:c r="F20" s="27">
        <x:v>87.98</x:v>
      </x:c>
      <x:c r="G20" s="27">
        <x:f t="shared" si="2"/>
        <x:v>2.0000000000010232E-2</x:v>
      </x:c>
      <x:c r="H20" s="26" t="s">
        <x:v>1466</x:v>
      </x:c>
      <x:c r="I20" s="27">
        <x:v>126.34</x:v>
      </x:c>
      <x:c r="J20" s="27">
        <x:v>138.97399999999999</x:v>
      </x:c>
      <x:c r="K20" s="27">
        <x:f t="shared" si="0"/>
        <x:v>51.013999999999996</x:v>
      </x:c>
      <x:c r="L20" s="26" t="s">
        <x:v>1467</x:v>
      </x:c>
      <x:c r="M20" s="26" t="s">
        <x:v>1415</x:v>
      </x:c>
      <x:c r="N20" s="26" t="s">
        <x:v>1468</x:v>
      </x:c>
      <x:c r="O20" s="26">
        <x:v>8</x:v>
      </x:c>
      <x:c r="P20" s="31">
        <x:v>88.184904873951027</x:v>
      </x:c>
      <x:c r="Q20" s="31"/>
      <x:c r="R20" s="26">
        <x:v>89</x:v>
      </x:c>
      <x:c r="S20" s="26">
        <x:v>166</x:v>
      </x:c>
      <x:c r="T20" s="27">
        <x:v>117.21</x:v>
      </x:c>
      <x:c r="U20" s="27">
        <x:v>-45.71</x:v>
      </x:c>
      <x:c r="V20" s="27">
        <x:v>29.37</x:v>
      </x:c>
      <x:c r="W20" s="27">
        <x:v>25.47</x:v>
      </x:c>
      <x:c r="X20" s="32">
        <x:v>0.2525</x:v>
      </x:c>
      <x:c r="Y20" s="30" t="b">
        <x:v>0</x:v>
      </x:c>
      <x:c r="Z20" s="26">
        <x:v>3</x:v>
      </x:c>
      <x:c r="AA20" s="26">
        <x:v>89</x:v>
      </x:c>
      <x:c r="AB20" s="26">
        <x:v>247</x:v>
      </x:c>
      <x:c r="AC20" s="27">
        <x:v>138.99</x:v>
      </x:c>
    </x:row>
    <x:row r="21" ht="135" customHeight="1">
      <x:c r="A21" s="26">
        <x:v>20</x:v>
      </x:c>
      <x:c r="B21" s="26" t="s">
        <x:v>143</x:v>
      </x:c>
      <x:c r="C21" s="26" t="s">
        <x:v>82</x:v>
      </x:c>
      <x:c r="D21" s="27">
        <x:v>26.2</x:v>
      </x:c>
      <x:c r="E21" s="26" t="s">
        <x:v>1469</x:v>
      </x:c>
      <x:c r="F21" s="27">
        <x:v>26.19</x:v>
      </x:c>
      <x:c r="G21" s="27">
        <x:f t="shared" si="2"/>
        <x:v>-9.9999999999980105E-3</x:v>
      </x:c>
      <x:c r="H21" s="26" t="s">
        <x:v>1470</x:v>
      </x:c>
      <x:c r="I21" s="27">
        <x:v>69.75</x:v>
      </x:c>
      <x:c r="J21" s="27">
        <x:v>76.724999999999994</x:v>
      </x:c>
      <x:c r="K21" s="27">
        <x:f t="shared" si="0"/>
        <x:v>50.524999999999991</x:v>
      </x:c>
      <x:c r="L21" s="26" t="s">
        <x:v>1437</x:v>
      </x:c>
      <x:c r="M21" s="26" t="s">
        <x:v>1415</x:v>
      </x:c>
      <x:c r="N21" s="26" t="s">
        <x:v>1319</x:v>
      </x:c>
      <x:c r="O21" s="26">
        <x:v>5</x:v>
      </x:c>
      <x:c r="P21" s="31">
        <x:v>25.000420531765116</x:v>
      </x:c>
      <x:c r="Q21" s="31">
        <x:v>29</x:v>
      </x:c>
      <x:c r="R21" s="26">
        <x:v>30</x:v>
      </x:c>
      <x:c r="S21" s="26">
        <x:v>139</x:v>
      </x:c>
      <x:c r="T21" s="27">
        <x:v>55.8</x:v>
      </x:c>
      <x:c r="U21" s="27">
        <x:v>0</x:v>
      </x:c>
      <x:c r="V21" s="27">
        <x:v>0</x:v>
      </x:c>
      <x:c r="W21" s="27">
        <x:v>13.95</x:v>
      </x:c>
      <x:c r="X21" s="32">
        <x:v>0.25</x:v>
      </x:c>
      <x:c r="Y21" s="30" t="b">
        <x:v>1</x:v>
      </x:c>
      <x:c r="Z21" s="26">
        <x:v>5</x:v>
      </x:c>
      <x:c r="AA21" s="26">
        <x:v>25</x:v>
      </x:c>
      <x:c r="AB21" s="26">
        <x:v>405</x:v>
      </x:c>
      <x:c r="AC21" s="27">
        <x:v>26.19</x:v>
      </x:c>
    </x:row>
    <x:row r="22" ht="135" customHeight="1">
      <x:c r="A22" s="26">
        <x:v>21</x:v>
      </x:c>
      <x:c r="B22" s="26" t="s">
        <x:v>148</x:v>
      </x:c>
      <x:c r="C22" s="26" t="s">
        <x:v>149</x:v>
      </x:c>
      <x:c r="D22" s="27">
        <x:v>23.61</x:v>
      </x:c>
      <x:c r="E22" s="26" t="s">
        <x:v>1471</x:v>
      </x:c>
      <x:c r="F22" s="27">
        <x:v>25.2</x:v>
      </x:c>
      <x:c r="G22" s="27">
        <x:f t="shared" si="2"/>
        <x:v>1.5899999999999999</x:v>
      </x:c>
      <x:c r="H22" s="26" t="s">
        <x:v>1472</x:v>
      </x:c>
      <x:c r="I22" s="27">
        <x:v>66.099999999999994</x:v>
      </x:c>
      <x:c r="J22" s="27">
        <x:v>72.709999999999994</x:v>
      </x:c>
      <x:c r="K22" s="27">
        <x:f t="shared" si="0"/>
        <x:v>49.099999999999994</x:v>
      </x:c>
      <x:c r="L22" s="26" t="s">
        <x:v>1473</x:v>
      </x:c>
      <x:c r="M22" s="26" t="s">
        <x:v>1474</x:v>
      </x:c>
      <x:c r="N22" s="26" t="s">
        <x:v>1319</x:v>
      </x:c>
      <x:c r="O22" s="26">
        <x:v>5</x:v>
      </x:c>
      <x:c r="P22" s="31">
        <x:v>17.989720594286009</x:v>
      </x:c>
      <x:c r="Q22" s="31">
        <x:v>27.2</x:v>
      </x:c>
      <x:c r="R22" s="26">
        <x:v>28</x:v>
      </x:c>
      <x:c r="S22" s="26">
        <x:v>139</x:v>
      </x:c>
      <x:c r="T22" s="27">
        <x:v>52.88</x:v>
      </x:c>
      <x:c r="U22" s="27">
        <x:v>0</x:v>
      </x:c>
      <x:c r="V22" s="27">
        <x:v>0</x:v>
      </x:c>
      <x:c r="W22" s="27">
        <x:v>13.22</x:v>
      </x:c>
      <x:c r="X22" s="32">
        <x:v>0.25</x:v>
      </x:c>
      <x:c r="Y22" s="30" t="b">
        <x:v>1</x:v>
      </x:c>
      <x:c r="Z22" s="26">
        <x:v>6</x:v>
      </x:c>
      <x:c r="AA22" s="26">
        <x:v>18</x:v>
      </x:c>
      <x:c r="AB22" s="26">
        <x:v>411</x:v>
      </x:c>
      <x:c r="AC22" s="27">
        <x:v>21.16</x:v>
      </x:c>
    </x:row>
    <x:row r="23" ht="135" customHeight="1">
      <x:c r="A23" s="26">
        <x:v>22</x:v>
      </x:c>
      <x:c r="B23" s="26" t="s">
        <x:v>154</x:v>
      </x:c>
      <x:c r="C23" s="26" t="s">
        <x:v>82</x:v>
      </x:c>
      <x:c r="D23" s="27">
        <x:v>29.12</x:v>
      </x:c>
      <x:c r="E23" s="26" t="s">
        <x:v>1475</x:v>
      </x:c>
      <x:c r="F23" s="27">
        <x:v>29.07</x:v>
      </x:c>
      <x:c r="G23" s="27">
        <x:f t="shared" si="2"/>
        <x:v>-5.0000000000000711E-2</x:v>
      </x:c>
      <x:c r="H23" s="26" t="s">
        <x:v>1470</x:v>
      </x:c>
      <x:c r="I23" s="27">
        <x:v>69.75</x:v>
      </x:c>
      <x:c r="J23" s="27">
        <x:v>76.724999999999994</x:v>
      </x:c>
      <x:c r="K23" s="27">
        <x:f t="shared" si="0"/>
        <x:v>47.60499999999999</x:v>
      </x:c>
      <x:c r="L23" s="26" t="s">
        <x:v>1437</x:v>
      </x:c>
      <x:c r="M23" s="26" t="s">
        <x:v>1415</x:v>
      </x:c>
      <x:c r="N23" s="26" t="s">
        <x:v>1319</x:v>
      </x:c>
      <x:c r="O23" s="26">
        <x:v>5</x:v>
      </x:c>
      <x:c r="P23" s="31">
        <x:v>27.182996927395404</x:v>
      </x:c>
      <x:c r="Q23" s="31">
        <x:v>29.7</x:v>
      </x:c>
      <x:c r="R23" s="26">
        <x:v>30</x:v>
      </x:c>
      <x:c r="S23" s="26">
        <x:v>139</x:v>
      </x:c>
      <x:c r="T23" s="27">
        <x:v>55.8</x:v>
      </x:c>
      <x:c r="U23" s="27">
        <x:v>0</x:v>
      </x:c>
      <x:c r="V23" s="27">
        <x:v>0</x:v>
      </x:c>
      <x:c r="W23" s="27">
        <x:v>13.95</x:v>
      </x:c>
      <x:c r="X23" s="32">
        <x:v>0.25</x:v>
      </x:c>
      <x:c r="Y23" s="30" t="b">
        <x:v>1</x:v>
      </x:c>
      <x:c r="Z23" s="26">
        <x:v>5</x:v>
      </x:c>
      <x:c r="AA23" s="26">
        <x:v>28</x:v>
      </x:c>
      <x:c r="AB23" s="26">
        <x:v>378</x:v>
      </x:c>
      <x:c r="AC23" s="27">
        <x:v>29.07</x:v>
      </x:c>
    </x:row>
    <x:row r="24" ht="135" customHeight="1">
      <x:c r="A24" s="26">
        <x:v>23</x:v>
      </x:c>
      <x:c r="B24" s="26" t="s">
        <x:v>159</x:v>
      </x:c>
      <x:c r="C24" s="26" t="s">
        <x:v>131</x:v>
      </x:c>
      <x:c r="D24" s="27">
        <x:v>41.36</x:v>
      </x:c>
      <x:c r="E24" s="26" t="s">
        <x:v>1476</x:v>
      </x:c>
      <x:c r="F24" s="27">
        <x:v>41.11</x:v>
      </x:c>
      <x:c r="G24" s="27">
        <x:f t="shared" si="2"/>
        <x:v>-0.25</x:v>
      </x:c>
      <x:c r="H24" s="26" t="s">
        <x:v>1477</x:v>
      </x:c>
      <x:c r="I24" s="27">
        <x:v>80.790000000000006</x:v>
      </x:c>
      <x:c r="J24" s="27">
        <x:v>88.869</x:v>
      </x:c>
      <x:c r="K24" s="27">
        <x:f t="shared" si="0"/>
        <x:v>47.509</x:v>
      </x:c>
      <x:c r="L24" s="26" t="s">
        <x:v>1478</x:v>
      </x:c>
      <x:c r="M24" s="26" t="s">
        <x:v>1474</x:v>
      </x:c>
      <x:c r="N24" s="26" t="s">
        <x:v>1445</x:v>
      </x:c>
      <x:c r="O24" s="26">
        <x:v>5</x:v>
      </x:c>
      <x:c r="P24" s="31">
        <x:v>42.990141126051128</x:v>
      </x:c>
      <x:c r="Q24" s="31">
        <x:v>62.6</x:v>
      </x:c>
      <x:c r="R24" s="26">
        <x:v>63</x:v>
      </x:c>
      <x:c r="S24" s="26">
        <x:v>166</x:v>
      </x:c>
      <x:c r="T24" s="27">
        <x:v>59.64</x:v>
      </x:c>
      <x:c r="U24" s="27">
        <x:v>-23.26</x:v>
      </x:c>
      <x:c r="V24" s="27">
        <x:v>28.12</x:v>
      </x:c>
      <x:c r="W24" s="27">
        <x:v>16.29</x:v>
      </x:c>
      <x:c r="X24" s="32">
        <x:v>0.2525</x:v>
      </x:c>
      <x:c r="Y24" s="30" t="b">
        <x:v>0</x:v>
      </x:c>
      <x:c r="Z24" s="26">
        <x:v>5</x:v>
      </x:c>
      <x:c r="AA24" s="26">
        <x:v>43</x:v>
      </x:c>
      <x:c r="AB24" s="26">
        <x:v>213</x:v>
      </x:c>
      <x:c r="AC24" s="27">
        <x:v>41.11</x:v>
      </x:c>
    </x:row>
    <x:row r="25" ht="135" customHeight="1">
      <x:c r="A25" s="26">
        <x:v>24</x:v>
      </x:c>
      <x:c r="B25" s="26" t="s">
        <x:v>164</x:v>
      </x:c>
      <x:c r="C25" s="26"/>
      <x:c r="D25" s="27">
        <x:v>31.75</x:v>
      </x:c>
      <x:c r="E25" s="26" t="s">
        <x:v>1479</x:v>
      </x:c>
      <x:c r="F25" s="27">
        <x:v>19.03</x:v>
      </x:c>
      <x:c r="G25" s="27">
        <x:f t="shared" si="2"/>
        <x:v>-12.719999999999999</x:v>
      </x:c>
      <x:c r="H25" s="26" t="s">
        <x:v>1480</x:v>
      </x:c>
      <x:c r="I25" s="27">
        <x:v>62.9</x:v>
      </x:c>
      <x:c r="J25" s="27">
        <x:v>75.48</x:v>
      </x:c>
      <x:c r="K25" s="27">
        <x:f t="shared" si="0"/>
        <x:v>43.730000000000004</x:v>
      </x:c>
      <x:c r="L25" s="26" t="s">
        <x:v>1481</x:v>
      </x:c>
      <x:c r="M25" s="26" t="s">
        <x:v>1474</x:v>
      </x:c>
      <x:c r="N25" s="26" t="s">
        <x:v>1460</x:v>
      </x:c>
      <x:c r="O25" s="26">
        <x:v>7</x:v>
      </x:c>
      <x:c r="P25" s="31">
        <x:v>6.9886537112606186</x:v>
      </x:c>
      <x:c r="Q25" s="31">
        <x:v>12.5</x:v>
      </x:c>
      <x:c r="R25" s="26">
        <x:v>13</x:v>
      </x:c>
      <x:c r="S25" s="26">
        <x:v>166</x:v>
      </x:c>
      <x:c r="T25" s="27">
        <x:v>29.04</x:v>
      </x:c>
      <x:c r="U25" s="27">
        <x:v>-7.84</x:v>
      </x:c>
      <x:c r="V25" s="27">
        <x:v>28.72</x:v>
      </x:c>
      <x:c r="W25" s="27">
        <x:v>12.98</x:v>
      </x:c>
      <x:c r="X25" s="32">
        <x:v>0.26</x:v>
      </x:c>
      <x:c r="Y25" s="30" t="b">
        <x:v>0</x:v>
      </x:c>
      <x:c r="Z25" s="26">
        <x:v>8</x:v>
      </x:c>
      <x:c r="AA25" s="26">
        <x:v>7</x:v>
      </x:c>
      <x:c r="AB25" s="26">
        <x:v>36</x:v>
      </x:c>
      <x:c r="AC25" s="27">
        <x:v>17.79</x:v>
      </x:c>
    </x:row>
    <x:row r="26" ht="135" customHeight="1">
      <x:c r="A26" s="26">
        <x:v>25</x:v>
      </x:c>
      <x:c r="B26" s="26" t="s">
        <x:v>166</x:v>
      </x:c>
      <x:c r="C26" s="26" t="s">
        <x:v>63</x:v>
      </x:c>
      <x:c r="D26" s="27">
        <x:v>55.87</x:v>
      </x:c>
      <x:c r="E26" s="26" t="s">
        <x:v>1422</x:v>
      </x:c>
      <x:c r="F26" s="27"/>
      <x:c r="G26" s="27"/>
      <x:c r="H26" s="26" t="s">
        <x:v>1423</x:v>
      </x:c>
      <x:c r="I26" s="27"/>
      <x:c r="J26" s="27">
        <x:v>99.539000000000001</x:v>
      </x:c>
      <x:c r="K26" s="27">
        <x:f t="shared" si="0"/>
        <x:v>43.669000000000004</x:v>
      </x:c>
      <x:c r="L26" s="26" t="s">
        <x:v>1424</x:v>
      </x:c>
      <x:c r="M26" s="26" t="s">
        <x:v>1425</x:v>
      </x:c>
      <x:c r="N26" s="26"/>
      <x:c r="O26" s="26"/>
      <x:c r="P26" s="31"/>
      <x:c r="Q26" s="31"/>
      <x:c r="R26" s="26"/>
      <x:c r="S26" s="26"/>
      <x:c r="T26" s="27"/>
      <x:c r="U26" s="27"/>
      <x:c r="V26" s="27"/>
      <x:c r="W26" s="27"/>
      <x:c r="X26" s="32"/>
      <x:c r="Y26" s="26"/>
      <x:c r="Z26" s="26"/>
      <x:c r="AA26" s="26"/>
      <x:c r="AB26" s="26"/>
      <x:c r="AC26" s="27"/>
    </x:row>
    <x:row r="27" ht="135" customHeight="1">
      <x:c r="A27" s="26">
        <x:v>26</x:v>
      </x:c>
      <x:c r="B27" s="26" t="s">
        <x:v>170</x:v>
      </x:c>
      <x:c r="C27" s="26" t="s">
        <x:v>89</x:v>
      </x:c>
      <x:c r="D27" s="27">
        <x:v>42.02</x:v>
      </x:c>
      <x:c r="E27" s="26" t="s">
        <x:v>1422</x:v>
      </x:c>
      <x:c r="F27" s="27"/>
      <x:c r="G27" s="27"/>
      <x:c r="H27" s="26" t="s">
        <x:v>1423</x:v>
      </x:c>
      <x:c r="I27" s="27"/>
      <x:c r="J27" s="27">
        <x:v>84.403000000000006</x:v>
      </x:c>
      <x:c r="K27" s="27">
        <x:f t="shared" si="0"/>
        <x:v>42.383000000000003</x:v>
      </x:c>
      <x:c r="L27" s="26" t="s">
        <x:v>1424</x:v>
      </x:c>
      <x:c r="M27" s="26" t="s">
        <x:v>1425</x:v>
      </x:c>
      <x:c r="N27" s="26"/>
      <x:c r="O27" s="26"/>
      <x:c r="P27" s="31"/>
      <x:c r="Q27" s="31"/>
      <x:c r="R27" s="26"/>
      <x:c r="S27" s="26"/>
      <x:c r="T27" s="27"/>
      <x:c r="U27" s="27"/>
      <x:c r="V27" s="27"/>
      <x:c r="W27" s="27"/>
      <x:c r="X27" s="32"/>
      <x:c r="Y27" s="26"/>
      <x:c r="Z27" s="26"/>
      <x:c r="AA27" s="26"/>
      <x:c r="AB27" s="26"/>
      <x:c r="AC27" s="27"/>
    </x:row>
    <x:row r="28" ht="135" customHeight="1">
      <x:c r="A28" s="26">
        <x:v>27</x:v>
      </x:c>
      <x:c r="B28" s="26" t="s">
        <x:v>174</x:v>
      </x:c>
      <x:c r="C28" s="26" t="s">
        <x:v>89</x:v>
      </x:c>
      <x:c r="D28" s="27">
        <x:v>42.01</x:v>
      </x:c>
      <x:c r="E28" s="26" t="s">
        <x:v>1422</x:v>
      </x:c>
      <x:c r="F28" s="27"/>
      <x:c r="G28" s="27"/>
      <x:c r="H28" s="26" t="s">
        <x:v>1423</x:v>
      </x:c>
      <x:c r="I28" s="27"/>
      <x:c r="J28" s="27">
        <x:v>84.381</x:v>
      </x:c>
      <x:c r="K28" s="27">
        <x:f t="shared" si="0"/>
        <x:v>42.371000000000002</x:v>
      </x:c>
      <x:c r="L28" s="26" t="s">
        <x:v>1424</x:v>
      </x:c>
      <x:c r="M28" s="26" t="s">
        <x:v>1425</x:v>
      </x:c>
      <x:c r="N28" s="26"/>
      <x:c r="O28" s="26"/>
      <x:c r="P28" s="31"/>
      <x:c r="Q28" s="31"/>
      <x:c r="R28" s="26"/>
      <x:c r="S28" s="26"/>
      <x:c r="T28" s="27"/>
      <x:c r="U28" s="27"/>
      <x:c r="V28" s="27"/>
      <x:c r="W28" s="27"/>
      <x:c r="X28" s="32"/>
      <x:c r="Y28" s="26"/>
      <x:c r="Z28" s="26"/>
      <x:c r="AA28" s="26"/>
      <x:c r="AB28" s="26"/>
      <x:c r="AC28" s="27"/>
    </x:row>
    <x:row r="29" ht="135" customHeight="1">
      <x:c r="A29" s="26">
        <x:v>28</x:v>
      </x:c>
      <x:c r="B29" s="26" t="s">
        <x:v>178</x:v>
      </x:c>
      <x:c r="C29" s="26" t="s">
        <x:v>70</x:v>
      </x:c>
      <x:c r="D29" s="27">
        <x:v>30.61</x:v>
      </x:c>
      <x:c r="E29" s="26" t="s">
        <x:v>1422</x:v>
      </x:c>
      <x:c r="F29" s="27"/>
      <x:c r="G29" s="27"/>
      <x:c r="H29" s="26" t="s">
        <x:v>1423</x:v>
      </x:c>
      <x:c r="I29" s="27"/>
      <x:c r="J29" s="27">
        <x:v>72.808999999999997</x:v>
      </x:c>
      <x:c r="K29" s="27">
        <x:f t="shared" si="0"/>
        <x:v>42.198999999999998</x:v>
      </x:c>
      <x:c r="L29" s="26" t="s">
        <x:v>1424</x:v>
      </x:c>
      <x:c r="M29" s="26" t="s">
        <x:v>1425</x:v>
      </x:c>
      <x:c r="N29" s="26"/>
      <x:c r="O29" s="26"/>
      <x:c r="P29" s="31"/>
      <x:c r="Q29" s="31"/>
      <x:c r="R29" s="26"/>
      <x:c r="S29" s="26"/>
      <x:c r="T29" s="27"/>
      <x:c r="U29" s="27"/>
      <x:c r="V29" s="27"/>
      <x:c r="W29" s="27"/>
      <x:c r="X29" s="32"/>
      <x:c r="Y29" s="26"/>
      <x:c r="Z29" s="26"/>
      <x:c r="AA29" s="26"/>
      <x:c r="AB29" s="26"/>
      <x:c r="AC29" s="27"/>
    </x:row>
    <x:row r="30" ht="135" customHeight="1">
      <x:c r="A30" s="26">
        <x:v>29</x:v>
      </x:c>
      <x:c r="B30" s="26" t="s">
        <x:v>182</x:v>
      </x:c>
      <x:c r="C30" s="26" t="s">
        <x:v>82</x:v>
      </x:c>
      <x:c r="D30" s="27">
        <x:v>26.25</x:v>
      </x:c>
      <x:c r="E30" s="26" t="s">
        <x:v>1482</x:v>
      </x:c>
      <x:c r="F30" s="27">
        <x:v>26.19</x:v>
      </x:c>
      <x:c r="G30" s="27" t="n">
        <x:f>F30-D30</x:f>
        <x:v>-0.05999999999999872</x:v>
      </x:c>
      <x:c r="H30" s="26" t="s">
        <x:v>1483</x:v>
      </x:c>
      <x:c r="I30" s="27">
        <x:v>61.98</x:v>
      </x:c>
      <x:c r="J30" s="27">
        <x:v>68.177999999999997</x:v>
      </x:c>
      <x:c r="K30" s="27">
        <x:f t="shared" si="0"/>
        <x:v>41.927999999999997</x:v>
      </x:c>
      <x:c r="L30" s="26" t="s">
        <x:v>1437</x:v>
      </x:c>
      <x:c r="M30" s="26" t="s">
        <x:v>1415</x:v>
      </x:c>
      <x:c r="N30" s="26" t="s">
        <x:v>1319</x:v>
      </x:c>
      <x:c r="O30" s="26">
        <x:v>5</x:v>
      </x:c>
      <x:c r="P30" s="31">
        <x:v>25.000420531765116</x:v>
      </x:c>
      <x:c r="Q30" s="31">
        <x:v>25.8</x:v>
      </x:c>
      <x:c r="R30" s="26">
        <x:v>26</x:v>
      </x:c>
      <x:c r="S30" s="26">
        <x:v>139</x:v>
      </x:c>
      <x:c r="T30" s="27">
        <x:v>49.58</x:v>
      </x:c>
      <x:c r="U30" s="27">
        <x:v>0</x:v>
      </x:c>
      <x:c r="V30" s="27">
        <x:v>0</x:v>
      </x:c>
      <x:c r="W30" s="27">
        <x:v>12.4</x:v>
      </x:c>
      <x:c r="X30" s="32">
        <x:v>0.25</x:v>
      </x:c>
      <x:c r="Y30" s="30" t="b">
        <x:v>1</x:v>
      </x:c>
      <x:c r="Z30" s="26">
        <x:v>5</x:v>
      </x:c>
      <x:c r="AA30" s="26">
        <x:v>25</x:v>
      </x:c>
      <x:c r="AB30" s="26">
        <x:v>379</x:v>
      </x:c>
      <x:c r="AC30" s="27">
        <x:v>26.19</x:v>
      </x:c>
    </x:row>
    <x:row r="31" ht="135" customHeight="1">
      <x:c r="A31" s="26">
        <x:v>30</x:v>
      </x:c>
      <x:c r="B31" s="26" t="s">
        <x:v>186</x:v>
      </x:c>
      <x:c r="C31" s="26" t="s">
        <x:v>187</x:v>
      </x:c>
      <x:c r="D31" s="27">
        <x:v>41.86</x:v>
      </x:c>
      <x:c r="E31" s="26" t="s">
        <x:v>1484</x:v>
      </x:c>
      <x:c r="F31" s="27">
        <x:v>41.86</x:v>
      </x:c>
      <x:c r="G31" s="27" t="n">
        <x:f>F31-D31</x:f>
        <x:v>0</x:v>
      </x:c>
      <x:c r="H31" s="26" t="s">
        <x:v>1485</x:v>
      </x:c>
      <x:c r="I31" s="27">
        <x:v>76.099999999999994</x:v>
      </x:c>
      <x:c r="J31" s="27">
        <x:v>83.71</x:v>
      </x:c>
      <x:c r="K31" s="27">
        <x:f t="shared" si="0"/>
        <x:v>41.849999999999994</x:v>
      </x:c>
      <x:c r="L31" s="26" t="s">
        <x:v>1486</x:v>
      </x:c>
      <x:c r="M31" s="26" t="s">
        <x:v>1415</x:v>
      </x:c>
      <x:c r="N31" s="26" t="s">
        <x:v>1487</x:v>
      </x:c>
      <x:c r="O31" s="26">
        <x:v>5</x:v>
      </x:c>
      <x:c r="P31" s="31">
        <x:v>44.092452436975513</x:v>
      </x:c>
      <x:c r="Q31" s="31">
        <x:v>50.8</x:v>
      </x:c>
      <x:c r="R31" s="26">
        <x:v>51</x:v>
      </x:c>
      <x:c r="S31" s="26">
        <x:v>166</x:v>
      </x:c>
      <x:c r="T31" s="27">
        <x:v>53.51</x:v>
      </x:c>
      <x:c r="U31" s="27">
        <x:v>-20.87</x:v>
      </x:c>
      <x:c r="V31" s="27">
        <x:v>28.12</x:v>
      </x:c>
      <x:c r="W31" s="27">
        <x:v>15.34</x:v>
      </x:c>
      <x:c r="X31" s="32">
        <x:v>0.2525</x:v>
      </x:c>
      <x:c r="Y31" s="30" t="b">
        <x:v>0</x:v>
      </x:c>
      <x:c r="Z31" s="26">
        <x:v>5</x:v>
      </x:c>
      <x:c r="AA31" s="26">
        <x:v>45</x:v>
      </x:c>
      <x:c r="AB31" s="26">
        <x:v>254</x:v>
      </x:c>
      <x:c r="AC31" s="27">
        <x:v>41.86</x:v>
      </x:c>
    </x:row>
    <x:row r="32" ht="135" customHeight="1">
      <x:c r="A32" s="26">
        <x:v>31</x:v>
      </x:c>
      <x:c r="B32" s="26" t="s">
        <x:v>191</x:v>
      </x:c>
      <x:c r="C32" s="26" t="s">
        <x:v>192</x:v>
      </x:c>
      <x:c r="D32" s="27">
        <x:v>55.45</x:v>
      </x:c>
      <x:c r="E32" s="26" t="s">
        <x:v>1422</x:v>
      </x:c>
      <x:c r="F32" s="27"/>
      <x:c r="G32" s="27"/>
      <x:c r="H32" s="26" t="s">
        <x:v>1423</x:v>
      </x:c>
      <x:c r="I32" s="27"/>
      <x:c r="J32" s="27">
        <x:v>96.602000000000004</x:v>
      </x:c>
      <x:c r="K32" s="27">
        <x:f t="shared" si="0"/>
        <x:v>41.152000000000001</x:v>
      </x:c>
      <x:c r="L32" s="26" t="s">
        <x:v>1424</x:v>
      </x:c>
      <x:c r="M32" s="26" t="s">
        <x:v>1425</x:v>
      </x:c>
      <x:c r="N32" s="26"/>
      <x:c r="O32" s="26"/>
      <x:c r="P32" s="31"/>
      <x:c r="Q32" s="31"/>
      <x:c r="R32" s="26"/>
      <x:c r="S32" s="26"/>
      <x:c r="T32" s="27"/>
      <x:c r="U32" s="27"/>
      <x:c r="V32" s="27"/>
      <x:c r="W32" s="27"/>
      <x:c r="X32" s="32"/>
      <x:c r="Y32" s="26"/>
      <x:c r="Z32" s="26"/>
      <x:c r="AA32" s="26"/>
      <x:c r="AB32" s="26"/>
      <x:c r="AC32" s="27"/>
    </x:row>
    <x:row r="33" ht="135" customHeight="1">
      <x:c r="A33" s="26">
        <x:v>32</x:v>
      </x:c>
      <x:c r="B33" s="26" t="s">
        <x:v>196</x:v>
      </x:c>
      <x:c r="C33" s="26" t="s">
        <x:v>43</x:v>
      </x:c>
      <x:c r="D33" s="27">
        <x:v>33.659999999999997</x:v>
      </x:c>
      <x:c r="E33" s="26" t="s">
        <x:v>1488</x:v>
      </x:c>
      <x:c r="F33" s="27">
        <x:v>33.659999999999997</x:v>
      </x:c>
      <x:c r="G33" s="27" t="n">
        <x:f>F33-D33</x:f>
        <x:v>0</x:v>
      </x:c>
      <x:c r="H33" s="26" t="s">
        <x:v>1489</x:v>
      </x:c>
      <x:c r="I33" s="27">
        <x:v>67.83</x:v>
      </x:c>
      <x:c r="J33" s="27">
        <x:v>74.613</x:v>
      </x:c>
      <x:c r="K33" s="27">
        <x:f t="shared" si="0"/>
        <x:v>40.953000000000003</x:v>
      </x:c>
      <x:c r="L33" s="26" t="s">
        <x:v>1490</x:v>
      </x:c>
      <x:c r="M33" s="26" t="s">
        <x:v>1415</x:v>
      </x:c>
      <x:c r="N33" s="26" t="s">
        <x:v>1491</x:v>
      </x:c>
      <x:c r="O33" s="26">
        <x:v>4</x:v>
      </x:c>
      <x:c r="P33" s="31">
        <x:v>42.990141126051128</x:v>
      </x:c>
      <x:c r="Q33" s="31">
        <x:v>65.400000000000006</x:v>
      </x:c>
      <x:c r="R33" s="26">
        <x:v>66</x:v>
      </x:c>
      <x:c r="S33" s="26">
        <x:v>166</x:v>
      </x:c>
      <x:c r="T33" s="27">
        <x:v>47.77</x:v>
      </x:c>
      <x:c r="U33" s="27">
        <x:v>-18.63</x:v>
      </x:c>
      <x:c r="V33" s="27">
        <x:v>25.12</x:v>
      </x:c>
      <x:c r="W33" s="27">
        <x:v>13.57</x:v>
      </x:c>
      <x:c r="X33" s="32">
        <x:v>0.25</x:v>
      </x:c>
      <x:c r="Y33" s="30" t="b">
        <x:v>0</x:v>
      </x:c>
      <x:c r="Z33" s="26">
        <x:v>4</x:v>
      </x:c>
      <x:c r="AA33" s="26">
        <x:v>43</x:v>
      </x:c>
      <x:c r="AB33" s="26">
        <x:v>345</x:v>
      </x:c>
      <x:c r="AC33" s="27">
        <x:v>33.659999999999997</x:v>
      </x:c>
    </x:row>
    <x:row r="34" ht="135" customHeight="1">
      <x:c r="A34" s="26">
        <x:v>33</x:v>
      </x:c>
      <x:c r="B34" s="26" t="s">
        <x:v>202</x:v>
      </x:c>
      <x:c r="C34" s="26" t="s">
        <x:v>192</x:v>
      </x:c>
      <x:c r="D34" s="27">
        <x:v>44.6</x:v>
      </x:c>
      <x:c r="E34" s="26" t="s">
        <x:v>1492</x:v>
      </x:c>
      <x:c r="F34" s="27">
        <x:v>44.61</x:v>
      </x:c>
      <x:c r="G34" s="27" t="n">
        <x:f>F34-D34</x:f>
        <x:v>0.00999999999999801</x:v>
      </x:c>
      <x:c r="H34" s="26" t="s">
        <x:v>1493</x:v>
      </x:c>
      <x:c r="I34" s="27">
        <x:v>76.680000000000007</x:v>
      </x:c>
      <x:c r="J34" s="27">
        <x:v>84.347999999999999</x:v>
      </x:c>
      <x:c r="K34" s="27" t="n">
        <x:f t="shared" ref="K34:K51" si="3">J34-D34</x:f>
        <x:v>39.748</x:v>
      </x:c>
      <x:c r="L34" s="26" t="s">
        <x:v>1494</x:v>
      </x:c>
      <x:c r="M34" s="26" t="s">
        <x:v>1415</x:v>
      </x:c>
      <x:c r="N34" s="26" t="s">
        <x:v>1495</x:v>
      </x:c>
      <x:c r="O34" s="26">
        <x:v>5</x:v>
      </x:c>
      <x:c r="P34" s="31">
        <x:v>48.501697680673068</x:v>
      </x:c>
      <x:c r="Q34" s="31">
        <x:v>52.5</x:v>
      </x:c>
      <x:c r="R34" s="26">
        <x:v>53</x:v>
      </x:c>
      <x:c r="S34" s="26">
        <x:v>166</x:v>
      </x:c>
      <x:c r="T34" s="27">
        <x:v>54.07</x:v>
      </x:c>
      <x:c r="U34" s="27">
        <x:v>-21.09</x:v>
      </x:c>
      <x:c r="V34" s="27">
        <x:v>28.12</x:v>
      </x:c>
      <x:c r="W34" s="27">
        <x:v>15.58</x:v>
      </x:c>
      <x:c r="X34" s="32">
        <x:v>0.255</x:v>
      </x:c>
      <x:c r="Y34" s="30" t="b">
        <x:v>0</x:v>
      </x:c>
      <x:c r="Z34" s="26">
        <x:v>5</x:v>
      </x:c>
      <x:c r="AA34" s="26">
        <x:v>49</x:v>
      </x:c>
      <x:c r="AB34" s="26">
        <x:v>147</x:v>
      </x:c>
      <x:c r="AC34" s="27">
        <x:v>44.61</x:v>
      </x:c>
    </x:row>
    <x:row r="35" ht="135" customHeight="1">
      <x:c r="A35" s="26">
        <x:v>34</x:v>
      </x:c>
      <x:c r="B35" s="26" t="s">
        <x:v>206</x:v>
      </x:c>
      <x:c r="C35" s="26" t="s">
        <x:v>192</x:v>
      </x:c>
      <x:c r="D35" s="27">
        <x:v>44.42</x:v>
      </x:c>
      <x:c r="E35" s="26" t="s">
        <x:v>1496</x:v>
      </x:c>
      <x:c r="F35" s="27">
        <x:v>44.42</x:v>
      </x:c>
      <x:c r="G35" s="27" t="n">
        <x:f>F35-D35</x:f>
        <x:v>0</x:v>
      </x:c>
      <x:c r="H35" s="26" t="s">
        <x:v>1497</x:v>
      </x:c>
      <x:c r="I35" s="27">
        <x:v>76.48</x:v>
      </x:c>
      <x:c r="J35" s="27">
        <x:v>84.128</x:v>
      </x:c>
      <x:c r="K35" s="27">
        <x:f t="shared" si="3"/>
        <x:v>39.707999999999998</x:v>
      </x:c>
      <x:c r="L35" s="26" t="s">
        <x:v>1498</x:v>
      </x:c>
      <x:c r="M35" s="26" t="s">
        <x:v>1415</x:v>
      </x:c>
      <x:c r="N35" s="26" t="s">
        <x:v>1499</x:v>
      </x:c>
      <x:c r="O35" s="26">
        <x:v>5</x:v>
      </x:c>
      <x:c r="P35" s="31">
        <x:v>47.619848631933557</x:v>
      </x:c>
      <x:c r="Q35" s="31">
        <x:v>55.3</x:v>
      </x:c>
      <x:c r="R35" s="26">
        <x:v>56</x:v>
      </x:c>
      <x:c r="S35" s="26">
        <x:v>166</x:v>
      </x:c>
      <x:c r="T35" s="27">
        <x:v>54.19</x:v>
      </x:c>
      <x:c r="U35" s="27">
        <x:v>-21.13</x:v>
      </x:c>
      <x:c r="V35" s="27">
        <x:v>28.12</x:v>
      </x:c>
      <x:c r="W35" s="27">
        <x:v>15.3</x:v>
      </x:c>
      <x:c r="X35" s="32">
        <x:v>0.25</x:v>
      </x:c>
      <x:c r="Y35" s="30" t="b">
        <x:v>0</x:v>
      </x:c>
      <x:c r="Z35" s="26">
        <x:v>5</x:v>
      </x:c>
      <x:c r="AA35" s="26">
        <x:v>48</x:v>
      </x:c>
      <x:c r="AB35" s="26">
        <x:v>437</x:v>
      </x:c>
      <x:c r="AC35" s="27">
        <x:v>44.42</x:v>
      </x:c>
    </x:row>
    <x:row r="36" ht="135" customHeight="1">
      <x:c r="A36" s="26">
        <x:v>35</x:v>
      </x:c>
      <x:c r="B36" s="26" t="s">
        <x:v>210</x:v>
      </x:c>
      <x:c r="C36" s="26" t="s">
        <x:v>70</x:v>
      </x:c>
      <x:c r="D36" s="27">
        <x:v>23.47</x:v>
      </x:c>
      <x:c r="E36" s="26" t="s">
        <x:v>1500</x:v>
      </x:c>
      <x:c r="F36" s="27">
        <x:v>23.47</x:v>
      </x:c>
      <x:c r="G36" s="27" t="n">
        <x:f>F36-D36</x:f>
        <x:v>0</x:v>
      </x:c>
      <x:c r="H36" s="26" t="s">
        <x:v>1501</x:v>
      </x:c>
      <x:c r="I36" s="27">
        <x:v>57.01</x:v>
      </x:c>
      <x:c r="J36" s="27">
        <x:v>62.710999999999999</x:v>
      </x:c>
      <x:c r="K36" s="27">
        <x:f t="shared" si="3"/>
        <x:v>39.241</x:v>
      </x:c>
      <x:c r="L36" s="26" t="s">
        <x:v>1502</x:v>
      </x:c>
      <x:c r="M36" s="26" t="s">
        <x:v>1415</x:v>
      </x:c>
      <x:c r="N36" s="26" t="s">
        <x:v>1503</x:v>
      </x:c>
      <x:c r="O36" s="26">
        <x:v>2</x:v>
      </x:c>
      <x:c r="P36" s="31">
        <x:v>42.990141126051128</x:v>
      </x:c>
      <x:c r="Q36" s="31">
        <x:v>73.7</x:v>
      </x:c>
      <x:c r="R36" s="26">
        <x:v>74</x:v>
      </x:c>
      <x:c r="S36" s="26">
        <x:v>166</x:v>
      </x:c>
      <x:c r="T36" s="27">
        <x:v>36.909999999999997</x:v>
      </x:c>
      <x:c r="U36" s="27">
        <x:v>-14.39</x:v>
      </x:c>
      <x:c r="V36" s="27">
        <x:v>23</x:v>
      </x:c>
      <x:c r="W36" s="27">
        <x:v>11.49</x:v>
      </x:c>
      <x:c r="X36" s="32">
        <x:v>0.2525</x:v>
      </x:c>
      <x:c r="Y36" s="30" t="b">
        <x:v>0</x:v>
      </x:c>
      <x:c r="Z36" s="26">
        <x:v>2</x:v>
      </x:c>
      <x:c r="AA36" s="26">
        <x:v>43</x:v>
      </x:c>
      <x:c r="AB36" s="26">
        <x:v>529</x:v>
      </x:c>
      <x:c r="AC36" s="27">
        <x:v>23.47</x:v>
      </x:c>
    </x:row>
    <x:row r="37" ht="135" customHeight="1">
      <x:c r="A37" s="26">
        <x:v>36</x:v>
      </x:c>
      <x:c r="B37" s="26" t="s">
        <x:v>215</x:v>
      </x:c>
      <x:c r="C37" s="26" t="s">
        <x:v>216</x:v>
      </x:c>
      <x:c r="D37" s="27">
        <x:v>34.54</x:v>
      </x:c>
      <x:c r="E37" s="26" t="s">
        <x:v>1422</x:v>
      </x:c>
      <x:c r="F37" s="27"/>
      <x:c r="G37" s="27"/>
      <x:c r="H37" s="26" t="s">
        <x:v>1423</x:v>
      </x:c>
      <x:c r="I37" s="27"/>
      <x:c r="J37" s="27">
        <x:v>71.995000000000005</x:v>
      </x:c>
      <x:c r="K37" s="27">
        <x:f t="shared" si="3"/>
        <x:v>37.455000000000005</x:v>
      </x:c>
      <x:c r="L37" s="26" t="s">
        <x:v>1424</x:v>
      </x:c>
      <x:c r="M37" s="26" t="s">
        <x:v>1425</x:v>
      </x:c>
      <x:c r="N37" s="26"/>
      <x:c r="O37" s="26"/>
      <x:c r="P37" s="31"/>
      <x:c r="Q37" s="31"/>
      <x:c r="R37" s="26"/>
      <x:c r="S37" s="26"/>
      <x:c r="T37" s="27"/>
      <x:c r="U37" s="27"/>
      <x:c r="V37" s="27"/>
      <x:c r="W37" s="27"/>
      <x:c r="X37" s="32"/>
      <x:c r="Y37" s="26"/>
      <x:c r="Z37" s="26"/>
      <x:c r="AA37" s="26"/>
      <x:c r="AB37" s="26"/>
      <x:c r="AC37" s="27"/>
    </x:row>
    <x:row r="38" ht="135" customHeight="1">
      <x:c r="A38" s="26">
        <x:v>37</x:v>
      </x:c>
      <x:c r="B38" s="26" t="s">
        <x:v>219</x:v>
      </x:c>
      <x:c r="C38" s="26" t="s">
        <x:v>216</x:v>
      </x:c>
      <x:c r="D38" s="27">
        <x:v>34.6</x:v>
      </x:c>
      <x:c r="E38" s="26" t="s">
        <x:v>1504</x:v>
      </x:c>
      <x:c r="F38" s="27">
        <x:v>34.61</x:v>
      </x:c>
      <x:c r="G38" s="27" t="n">
        <x:f>F38-D38</x:f>
        <x:v>0.00999999999999801</x:v>
      </x:c>
      <x:c r="H38" s="26" t="s">
        <x:v>1505</x:v>
      </x:c>
      <x:c r="I38" s="27">
        <x:v>65.17</x:v>
      </x:c>
      <x:c r="J38" s="27">
        <x:v>71.686999999999998</x:v>
      </x:c>
      <x:c r="K38" s="27">
        <x:f t="shared" si="3"/>
        <x:v>37.086999999999996</x:v>
      </x:c>
      <x:c r="L38" s="26" t="s">
        <x:v>1486</x:v>
      </x:c>
      <x:c r="M38" s="26" t="s">
        <x:v>1415</x:v>
      </x:c>
      <x:c r="N38" s="26" t="s">
        <x:v>1503</x:v>
      </x:c>
      <x:c r="O38" s="26">
        <x:v>4</x:v>
      </x:c>
      <x:c r="P38" s="31">
        <x:v>44.092452436975513</x:v>
      </x:c>
      <x:c r="Q38" s="31">
        <x:v>50.8</x:v>
      </x:c>
      <x:c r="R38" s="26">
        <x:v>51</x:v>
      </x:c>
      <x:c r="S38" s="26">
        <x:v>166</x:v>
      </x:c>
      <x:c r="T38" s="27">
        <x:v>44.12</x:v>
      </x:c>
      <x:c r="U38" s="27">
        <x:v>-17.21</x:v>
      </x:c>
      <x:c r="V38" s="27">
        <x:v>25.12</x:v>
      </x:c>
      <x:c r="W38" s="27">
        <x:v>13.14</x:v>
      </x:c>
      <x:c r="X38" s="32">
        <x:v>0.2525</x:v>
      </x:c>
      <x:c r="Y38" s="30" t="b">
        <x:v>0</x:v>
      </x:c>
      <x:c r="Z38" s="26">
        <x:v>4</x:v>
      </x:c>
      <x:c r="AA38" s="26">
        <x:v>45</x:v>
      </x:c>
      <x:c r="AB38" s="26">
        <x:v>545</x:v>
      </x:c>
      <x:c r="AC38" s="27">
        <x:v>34.61</x:v>
      </x:c>
    </x:row>
    <x:row r="39" ht="135" customHeight="1">
      <x:c r="A39" s="26">
        <x:v>38</x:v>
      </x:c>
      <x:c r="B39" s="26" t="s">
        <x:v>223</x:v>
      </x:c>
      <x:c r="C39" s="26" t="s">
        <x:v>63</x:v>
      </x:c>
      <x:c r="D39" s="27">
        <x:v>30.61</x:v>
      </x:c>
      <x:c r="E39" s="26" t="s">
        <x:v>1506</x:v>
      </x:c>
      <x:c r="F39" s="27">
        <x:v>30.73</x:v>
      </x:c>
      <x:c r="G39" s="27" t="n">
        <x:f>F39-D39</x:f>
        <x:v>0.120000000000001</x:v>
      </x:c>
      <x:c r="H39" s="26" t="s">
        <x:v>1507</x:v>
      </x:c>
      <x:c r="I39" s="27">
        <x:v>61.06</x:v>
      </x:c>
      <x:c r="J39" s="27">
        <x:v>67.165999999999997</x:v>
      </x:c>
      <x:c r="K39" s="27">
        <x:f t="shared" si="3"/>
        <x:v>36.555999999999997</x:v>
      </x:c>
      <x:c r="L39" s="26" t="s">
        <x:v>1508</x:v>
      </x:c>
      <x:c r="M39" s="26" t="s">
        <x:v>1415</x:v>
      </x:c>
      <x:c r="N39" s="26" t="s">
        <x:v>1509</x:v>
      </x:c>
      <x:c r="O39" s="26">
        <x:v>3</x:v>
      </x:c>
      <x:c r="P39" s="31">
        <x:v>47.994634477647843</x:v>
      </x:c>
      <x:c r="Q39" s="31">
        <x:v>59.1</x:v>
      </x:c>
      <x:c r="R39" s="26">
        <x:v>60</x:v>
      </x:c>
      <x:c r="S39" s="26">
        <x:v>166</x:v>
      </x:c>
      <x:c r="T39" s="27">
        <x:v>38.43</x:v>
      </x:c>
      <x:c r="U39" s="27">
        <x:v>-14.99</x:v>
      </x:c>
      <x:c r="V39" s="27">
        <x:v>25.12</x:v>
      </x:c>
      <x:c r="W39" s="27">
        <x:v>12.5</x:v>
      </x:c>
      <x:c r="X39" s="32">
        <x:v>0.25750000000000001</x:v>
      </x:c>
      <x:c r="Y39" s="30" t="b">
        <x:v>0</x:v>
      </x:c>
      <x:c r="Z39" s="26">
        <x:v>3</x:v>
      </x:c>
      <x:c r="AA39" s="26">
        <x:v>48</x:v>
      </x:c>
      <x:c r="AB39" s="26">
        <x:v>560</x:v>
      </x:c>
      <x:c r="AC39" s="27">
        <x:v>30.73</x:v>
      </x:c>
    </x:row>
    <x:row r="40" ht="135" customHeight="1">
      <x:c r="A40" s="26">
        <x:v>39</x:v>
      </x:c>
      <x:c r="B40" s="26" t="s">
        <x:v>228</x:v>
      </x:c>
      <x:c r="C40" s="26" t="s">
        <x:v>192</x:v>
      </x:c>
      <x:c r="D40" s="27">
        <x:v>36.700000000000003</x:v>
      </x:c>
      <x:c r="E40" s="26" t="s">
        <x:v>1422</x:v>
      </x:c>
      <x:c r="F40" s="27"/>
      <x:c r="G40" s="27"/>
      <x:c r="H40" s="26" t="s">
        <x:v>1423</x:v>
      </x:c>
      <x:c r="I40" s="27"/>
      <x:c r="J40" s="27">
        <x:v>71.972999999999999</x:v>
      </x:c>
      <x:c r="K40" s="27">
        <x:f t="shared" si="3"/>
        <x:v>35.272999999999996</x:v>
      </x:c>
      <x:c r="L40" s="26" t="s">
        <x:v>1424</x:v>
      </x:c>
      <x:c r="M40" s="26" t="s">
        <x:v>1425</x:v>
      </x:c>
      <x:c r="N40" s="26"/>
      <x:c r="O40" s="26"/>
      <x:c r="P40" s="31"/>
      <x:c r="Q40" s="31"/>
      <x:c r="R40" s="26"/>
      <x:c r="S40" s="26"/>
      <x:c r="T40" s="27"/>
      <x:c r="U40" s="27"/>
      <x:c r="V40" s="27"/>
      <x:c r="W40" s="27"/>
      <x:c r="X40" s="32"/>
      <x:c r="Y40" s="26"/>
      <x:c r="Z40" s="26"/>
      <x:c r="AA40" s="26"/>
      <x:c r="AB40" s="26"/>
      <x:c r="AC40" s="27"/>
    </x:row>
    <x:row r="41" ht="135" customHeight="1">
      <x:c r="A41" s="26">
        <x:v>40</x:v>
      </x:c>
      <x:c r="B41" s="26" t="s">
        <x:v>232</x:v>
      </x:c>
      <x:c r="C41" s="26" t="s">
        <x:v>216</x:v>
      </x:c>
      <x:c r="D41" s="27">
        <x:v>36.630000000000003</x:v>
      </x:c>
      <x:c r="E41" s="26" t="s">
        <x:v>1510</x:v>
      </x:c>
      <x:c r="F41" s="27">
        <x:v>36.630000000000003</x:v>
      </x:c>
      <x:c r="G41" s="27" t="n">
        <x:f t="shared" ref="G41:G47" si="4">F41-D41</x:f>
        <x:v>0</x:v>
      </x:c>
      <x:c r="H41" s="26" t="s">
        <x:v>1511</x:v>
      </x:c>
      <x:c r="I41" s="27">
        <x:v>65.040000000000006</x:v>
      </x:c>
      <x:c r="J41" s="27">
        <x:v>71.543999999999997</x:v>
      </x:c>
      <x:c r="K41" s="27">
        <x:f t="shared" si="3"/>
        <x:v>34.913999999999994</x:v>
      </x:c>
      <x:c r="L41" s="26" t="s">
        <x:v>1494</x:v>
      </x:c>
      <x:c r="M41" s="26" t="s">
        <x:v>1415</x:v>
      </x:c>
      <x:c r="N41" s="26" t="s">
        <x:v>1512</x:v>
      </x:c>
      <x:c r="O41" s="26">
        <x:v>4</x:v>
      </x:c>
      <x:c r="P41" s="31">
        <x:v>47.399386369748676</x:v>
      </x:c>
      <x:c r="Q41" s="31">
        <x:v>51</x:v>
      </x:c>
      <x:c r="R41" s="26">
        <x:v>51</x:v>
      </x:c>
      <x:c r="S41" s="26">
        <x:v>166</x:v>
      </x:c>
      <x:c r="T41" s="27">
        <x:v>44.12</x:v>
      </x:c>
      <x:c r="U41" s="27">
        <x:v>-17.21</x:v>
      </x:c>
      <x:c r="V41" s="27">
        <x:v>25.12</x:v>
      </x:c>
      <x:c r="W41" s="27">
        <x:v>13.01</x:v>
      </x:c>
      <x:c r="X41" s="32">
        <x:v>0.25</x:v>
      </x:c>
      <x:c r="Y41" s="30" t="b">
        <x:v>0</x:v>
      </x:c>
      <x:c r="Z41" s="26">
        <x:v>4</x:v>
      </x:c>
      <x:c r="AA41" s="26">
        <x:v>48</x:v>
      </x:c>
      <x:c r="AB41" s="26">
        <x:v>342</x:v>
      </x:c>
      <x:c r="AC41" s="27">
        <x:v>36.630000000000003</x:v>
      </x:c>
    </x:row>
    <x:row r="42" ht="135" customHeight="1">
      <x:c r="A42" s="26">
        <x:v>41</x:v>
      </x:c>
      <x:c r="B42" s="26" t="s">
        <x:v>237</x:v>
      </x:c>
      <x:c r="C42" s="26"/>
      <x:c r="D42" s="27">
        <x:v>37.69</x:v>
      </x:c>
      <x:c r="E42" s="26" t="s">
        <x:v>1513</x:v>
      </x:c>
      <x:c r="F42" s="27">
        <x:v>34.82</x:v>
      </x:c>
      <x:c r="G42" s="27">
        <x:f t="shared" si="4"/>
        <x:v>-2.8699999999999974</x:v>
      </x:c>
      <x:c r="H42" s="26" t="s">
        <x:v>1514</x:v>
      </x:c>
      <x:c r="I42" s="27">
        <x:v>65.58</x:v>
      </x:c>
      <x:c r="J42" s="27">
        <x:v>72.138000000000005</x:v>
      </x:c>
      <x:c r="K42" s="27">
        <x:f t="shared" si="3"/>
        <x:v>34.448000000000008</x:v>
      </x:c>
      <x:c r="L42" s="26" t="s">
        <x:v>1515</x:v>
      </x:c>
      <x:c r="M42" s="26" t="s">
        <x:v>1474</x:v>
      </x:c>
      <x:c r="N42" s="26" t="s">
        <x:v>1516</x:v>
      </x:c>
      <x:c r="O42" s="26">
        <x:v>4</x:v>
      </x:c>
      <x:c r="P42" s="31">
        <x:v>44.092452436975513</x:v>
      </x:c>
      <x:c r="Q42" s="31">
        <x:v>51.1</x:v>
      </x:c>
      <x:c r="R42" s="26">
        <x:v>52</x:v>
      </x:c>
      <x:c r="S42" s="26">
        <x:v>166</x:v>
      </x:c>
      <x:c r="T42" s="27">
        <x:v>44.14</x:v>
      </x:c>
      <x:c r="U42" s="27">
        <x:v>-17.21</x:v>
      </x:c>
      <x:c r="V42" s="27">
        <x:v>25.12</x:v>
      </x:c>
      <x:c r="W42" s="27">
        <x:v>13.53</x:v>
      </x:c>
      <x:c r="X42" s="32">
        <x:v>0.26</x:v>
      </x:c>
      <x:c r="Y42" s="30" t="b">
        <x:v>0</x:v>
      </x:c>
      <x:c r="Z42" s="26">
        <x:v>4</x:v>
      </x:c>
      <x:c r="AA42" s="26">
        <x:v>45</x:v>
      </x:c>
      <x:c r="AB42" s="26">
        <x:v>79</x:v>
      </x:c>
      <x:c r="AC42" s="27">
        <x:v>34.82</x:v>
      </x:c>
    </x:row>
    <x:row r="43" ht="135" customHeight="1">
      <x:c r="A43" s="26">
        <x:v>42</x:v>
      </x:c>
      <x:c r="B43" s="26" t="s">
        <x:v>241</x:v>
      </x:c>
      <x:c r="C43" s="26" t="s">
        <x:v>82</x:v>
      </x:c>
      <x:c r="D43" s="27">
        <x:v>22.58</x:v>
      </x:c>
      <x:c r="E43" s="26" t="s">
        <x:v>1517</x:v>
      </x:c>
      <x:c r="F43" s="27">
        <x:v>22.58</x:v>
      </x:c>
      <x:c r="G43" s="27">
        <x:f t="shared" si="4"/>
        <x:v>0</x:v>
      </x:c>
      <x:c r="H43" s="26" t="s">
        <x:v>1518</x:v>
      </x:c>
      <x:c r="I43" s="27">
        <x:v>50.33</x:v>
      </x:c>
      <x:c r="J43" s="27">
        <x:v>55.363</x:v>
      </x:c>
      <x:c r="K43" s="27">
        <x:f t="shared" si="3"/>
        <x:v>32.783000000000001</x:v>
      </x:c>
      <x:c r="L43" s="26" t="s">
        <x:v>1437</x:v>
      </x:c>
      <x:c r="M43" s="26" t="s">
        <x:v>1415</x:v>
      </x:c>
      <x:c r="N43" s="26" t="s">
        <x:v>1319</x:v>
      </x:c>
      <x:c r="O43" s="26">
        <x:v>4</x:v>
      </x:c>
      <x:c r="P43" s="31">
        <x:v>25.353160151260919</x:v>
      </x:c>
      <x:c r="Q43" s="31">
        <x:v>29.7</x:v>
      </x:c>
      <x:c r="R43" s="26">
        <x:v>30</x:v>
      </x:c>
      <x:c r="S43" s="26">
        <x:v>139</x:v>
      </x:c>
      <x:c r="T43" s="27">
        <x:v>40.26</x:v>
      </x:c>
      <x:c r="U43" s="27">
        <x:v>0</x:v>
      </x:c>
      <x:c r="V43" s="27">
        <x:v>0</x:v>
      </x:c>
      <x:c r="W43" s="27">
        <x:v>10.07</x:v>
      </x:c>
      <x:c r="X43" s="32">
        <x:v>0.25</x:v>
      </x:c>
      <x:c r="Y43" s="30" t="b">
        <x:v>1</x:v>
      </x:c>
      <x:c r="Z43" s="26">
        <x:v>4</x:v>
      </x:c>
      <x:c r="AA43" s="26">
        <x:v>26</x:v>
      </x:c>
      <x:c r="AB43" s="26">
        <x:v>393</x:v>
      </x:c>
      <x:c r="AC43" s="27">
        <x:v>22.58</x:v>
      </x:c>
    </x:row>
    <x:row r="44" ht="135" customHeight="1">
      <x:c r="A44" s="26">
        <x:v>43</x:v>
      </x:c>
      <x:c r="B44" s="26" t="s">
        <x:v>246</x:v>
      </x:c>
      <x:c r="C44" s="26" t="s">
        <x:v>187</x:v>
      </x:c>
      <x:c r="D44" s="27">
        <x:v>23.88</x:v>
      </x:c>
      <x:c r="E44" s="26" t="s">
        <x:v>1519</x:v>
      </x:c>
      <x:c r="F44" s="27">
        <x:v>23.79</x:v>
      </x:c>
      <x:c r="G44" s="27">
        <x:f t="shared" si="4"/>
        <x:v>-8.9999999999999858E-2</x:v>
      </x:c>
      <x:c r="H44" s="26" t="s">
        <x:v>1520</x:v>
      </x:c>
      <x:c r="I44" s="27">
        <x:v>51.13</x:v>
      </x:c>
      <x:c r="J44" s="27">
        <x:v>56.243000000000002</x:v>
      </x:c>
      <x:c r="K44" s="27">
        <x:f t="shared" si="3"/>
        <x:v>32.363</x:v>
      </x:c>
      <x:c r="L44" s="26" t="s">
        <x:v>1521</x:v>
      </x:c>
      <x:c r="M44" s="26" t="s">
        <x:v>1415</x:v>
      </x:c>
      <x:c r="N44" s="26" t="s">
        <x:v>1522</x:v>
      </x:c>
      <x:c r="O44" s="26">
        <x:v>2</x:v>
      </x:c>
      <x:c r="P44" s="31">
        <x:v>44.092452436975513</x:v>
      </x:c>
      <x:c r="Q44" s="31">
        <x:v>51.3</x:v>
      </x:c>
      <x:c r="R44" s="26">
        <x:v>52</x:v>
      </x:c>
      <x:c r="S44" s="26">
        <x:v>166</x:v>
      </x:c>
      <x:c r="T44" s="27">
        <x:v>29.35</x:v>
      </x:c>
      <x:c r="U44" s="27">
        <x:v>-11.45</x:v>
      </x:c>
      <x:c r="V44" s="27">
        <x:v>23</x:v>
      </x:c>
      <x:c r="W44" s="27">
        <x:v>10.23</x:v>
      </x:c>
      <x:c r="X44" s="32">
        <x:v>0.25</x:v>
      </x:c>
      <x:c r="Y44" s="30" t="b">
        <x:v>0</x:v>
      </x:c>
      <x:c r="Z44" s="26">
        <x:v>2</x:v>
      </x:c>
      <x:c r="AA44" s="26">
        <x:v>45</x:v>
      </x:c>
      <x:c r="AB44" s="26">
        <x:v>249</x:v>
      </x:c>
      <x:c r="AC44" s="27">
        <x:v>23.79</x:v>
      </x:c>
    </x:row>
    <x:row r="45" ht="135" customHeight="1">
      <x:c r="A45" s="26">
        <x:v>44</x:v>
      </x:c>
      <x:c r="B45" s="26" t="s">
        <x:v>250</x:v>
      </x:c>
      <x:c r="C45" s="26" t="s">
        <x:v>138</x:v>
      </x:c>
      <x:c r="D45" s="27">
        <x:v>73.150000000000006</x:v>
      </x:c>
      <x:c r="E45" s="26" t="s">
        <x:v>1523</x:v>
      </x:c>
      <x:c r="F45" s="27">
        <x:v>73.17</x:v>
      </x:c>
      <x:c r="G45" s="27">
        <x:f t="shared" si="4"/>
        <x:v>1.9999999999996021E-2</x:v>
      </x:c>
      <x:c r="H45" s="26" t="s">
        <x:v>1524</x:v>
      </x:c>
      <x:c r="I45" s="27">
        <x:v>95.04</x:v>
      </x:c>
      <x:c r="J45" s="27">
        <x:v>104.544</x:v>
      </x:c>
      <x:c r="K45" s="27">
        <x:f t="shared" si="3"/>
        <x:v>31.393999999999991</x:v>
      </x:c>
      <x:c r="L45" s="26" t="s">
        <x:v>1525</x:v>
      </x:c>
      <x:c r="M45" s="26" t="s">
        <x:v>1415</x:v>
      </x:c>
      <x:c r="N45" s="26" t="s">
        <x:v>1460</x:v>
      </x:c>
      <x:c r="O45" s="26">
        <x:v>4</x:v>
      </x:c>
      <x:c r="P45" s="31">
        <x:v>59.987781540505189</x:v>
      </x:c>
      <x:c r="Q45" s="31">
        <x:v>99.9</x:v>
      </x:c>
      <x:c r="R45" s="26">
        <x:v>100</x:v>
      </x:c>
      <x:c r="S45" s="26">
        <x:v>166</x:v>
      </x:c>
      <x:c r="T45" s="27">
        <x:v>82.48</x:v>
      </x:c>
      <x:c r="U45" s="27">
        <x:v>-32.17</x:v>
      </x:c>
      <x:c r="V45" s="27">
        <x:v>25.12</x:v>
      </x:c>
      <x:c r="W45" s="27">
        <x:v>19.61</x:v>
      </x:c>
      <x:c r="X45" s="32">
        <x:v>0.26</x:v>
      </x:c>
      <x:c r="Y45" s="30" t="b">
        <x:v>0</x:v>
      </x:c>
      <x:c r="Z45" s="26">
        <x:v>4</x:v>
      </x:c>
      <x:c r="AA45" s="26">
        <x:v>60</x:v>
      </x:c>
      <x:c r="AB45" s="26">
        <x:v>60</x:v>
      </x:c>
      <x:c r="AC45" s="27">
        <x:v>73.17</x:v>
      </x:c>
    </x:row>
    <x:row r="46" ht="135" customHeight="1">
      <x:c r="A46" s="26">
        <x:v>45</x:v>
      </x:c>
      <x:c r="B46" s="26" t="s">
        <x:v>255</x:v>
      </x:c>
      <x:c r="C46" s="26" t="s">
        <x:v>82</x:v>
      </x:c>
      <x:c r="D46" s="27">
        <x:v>23.02</x:v>
      </x:c>
      <x:c r="E46" s="26" t="s">
        <x:v>1526</x:v>
      </x:c>
      <x:c r="F46" s="27">
        <x:v>23.02</x:v>
      </x:c>
      <x:c r="G46" s="27">
        <x:f t="shared" si="4"/>
        <x:v>0</x:v>
      </x:c>
      <x:c r="H46" s="26" t="s">
        <x:v>1527</x:v>
      </x:c>
      <x:c r="I46" s="27">
        <x:v>49.03</x:v>
      </x:c>
      <x:c r="J46" s="27">
        <x:v>53.933</x:v>
      </x:c>
      <x:c r="K46" s="27">
        <x:f t="shared" si="3"/>
        <x:v>30.913</x:v>
      </x:c>
      <x:c r="L46" s="26" t="s">
        <x:v>1437</x:v>
      </x:c>
      <x:c r="M46" s="26" t="s">
        <x:v>1415</x:v>
      </x:c>
      <x:c r="N46" s="26" t="s">
        <x:v>1319</x:v>
      </x:c>
      <x:c r="O46" s="26">
        <x:v>4</x:v>
      </x:c>
      <x:c r="P46" s="31">
        <x:v>26.455471462185308</x:v>
      </x:c>
      <x:c r="Q46" s="31">
        <x:v>28.4</x:v>
      </x:c>
      <x:c r="R46" s="26">
        <x:v>29</x:v>
      </x:c>
      <x:c r="S46" s="26">
        <x:v>139</x:v>
      </x:c>
      <x:c r="T46" s="27">
        <x:v>39.22</x:v>
      </x:c>
      <x:c r="U46" s="27">
        <x:v>0</x:v>
      </x:c>
      <x:c r="V46" s="27">
        <x:v>0</x:v>
      </x:c>
      <x:c r="W46" s="27">
        <x:v>9.81</x:v>
      </x:c>
      <x:c r="X46" s="32">
        <x:v>0.25</x:v>
      </x:c>
      <x:c r="Y46" s="30" t="b">
        <x:v>1</x:v>
      </x:c>
      <x:c r="Z46" s="26">
        <x:v>4</x:v>
      </x:c>
      <x:c r="AA46" s="26">
        <x:v>27</x:v>
      </x:c>
      <x:c r="AB46" s="26">
        <x:v>387</x:v>
      </x:c>
      <x:c r="AC46" s="27">
        <x:v>23.02</x:v>
      </x:c>
    </x:row>
    <x:row r="47" ht="135" customHeight="1">
      <x:c r="A47" s="26">
        <x:v>46</x:v>
      </x:c>
      <x:c r="B47" s="26" t="s">
        <x:v>259</x:v>
      </x:c>
      <x:c r="C47" s="26" t="s">
        <x:v>82</x:v>
      </x:c>
      <x:c r="D47" s="27">
        <x:v>21.67</x:v>
      </x:c>
      <x:c r="E47" s="26" t="s">
        <x:v>1528</x:v>
      </x:c>
      <x:c r="F47" s="27">
        <x:v>21.67</x:v>
      </x:c>
      <x:c r="G47" s="27">
        <x:f t="shared" si="4"/>
        <x:v>0</x:v>
      </x:c>
      <x:c r="H47" s="26" t="s">
        <x:v>1529</x:v>
      </x:c>
      <x:c r="I47" s="27">
        <x:v>46.56</x:v>
      </x:c>
      <x:c r="J47" s="27">
        <x:v>51.216000000000001</x:v>
      </x:c>
      <x:c r="K47" s="27">
        <x:f t="shared" si="3"/>
        <x:v>29.545999999999999</x:v>
      </x:c>
      <x:c r="L47" s="26" t="s">
        <x:v>1437</x:v>
      </x:c>
      <x:c r="M47" s="26" t="s">
        <x:v>1415</x:v>
      </x:c>
      <x:c r="N47" s="26" t="s">
        <x:v>1319</x:v>
      </x:c>
      <x:c r="O47" s="26">
        <x:v>4</x:v>
      </x:c>
      <x:c r="P47" s="31">
        <x:v>25.000420531765116</x:v>
      </x:c>
      <x:c r="Q47" s="31">
        <x:v>26.4</x:v>
      </x:c>
      <x:c r="R47" s="26">
        <x:v>27</x:v>
      </x:c>
      <x:c r="S47" s="26">
        <x:v>139</x:v>
      </x:c>
      <x:c r="T47" s="27">
        <x:v>37.25</x:v>
      </x:c>
      <x:c r="U47" s="27">
        <x:v>0</x:v>
      </x:c>
      <x:c r="V47" s="27">
        <x:v>0</x:v>
      </x:c>
      <x:c r="W47" s="27">
        <x:v>9.31</x:v>
      </x:c>
      <x:c r="X47" s="32">
        <x:v>0.25</x:v>
      </x:c>
      <x:c r="Y47" s="30" t="b">
        <x:v>1</x:v>
      </x:c>
      <x:c r="Z47" s="26">
        <x:v>4</x:v>
      </x:c>
      <x:c r="AA47" s="26">
        <x:v>25</x:v>
      </x:c>
      <x:c r="AB47" s="26">
        <x:v>382</x:v>
      </x:c>
      <x:c r="AC47" s="27">
        <x:v>21.67</x:v>
      </x:c>
    </x:row>
    <x:row r="48" ht="135" customHeight="1">
      <x:c r="A48" s="26">
        <x:v>47</x:v>
      </x:c>
      <x:c r="B48" s="26" t="s">
        <x:v>263</x:v>
      </x:c>
      <x:c r="C48" s="26" t="s">
        <x:v>82</x:v>
      </x:c>
      <x:c r="D48" s="27">
        <x:v>23.15</x:v>
      </x:c>
      <x:c r="E48" s="26" t="s">
        <x:v>1422</x:v>
      </x:c>
      <x:c r="F48" s="27"/>
      <x:c r="G48" s="27"/>
      <x:c r="H48" s="26" t="s">
        <x:v>1423</x:v>
      </x:c>
      <x:c r="I48" s="27"/>
      <x:c r="J48" s="27">
        <x:v>52.14</x:v>
      </x:c>
      <x:c r="K48" s="27">
        <x:f t="shared" si="3"/>
        <x:v>28.990000000000002</x:v>
      </x:c>
      <x:c r="L48" s="26" t="s">
        <x:v>1424</x:v>
      </x:c>
      <x:c r="M48" s="26" t="s">
        <x:v>1425</x:v>
      </x:c>
      <x:c r="N48" s="26"/>
      <x:c r="O48" s="26"/>
      <x:c r="P48" s="31"/>
      <x:c r="Q48" s="31"/>
      <x:c r="R48" s="26"/>
      <x:c r="S48" s="26"/>
      <x:c r="T48" s="27"/>
      <x:c r="U48" s="27"/>
      <x:c r="V48" s="27"/>
      <x:c r="W48" s="27"/>
      <x:c r="X48" s="32"/>
      <x:c r="Y48" s="26"/>
      <x:c r="Z48" s="26"/>
      <x:c r="AA48" s="26"/>
      <x:c r="AB48" s="26"/>
      <x:c r="AC48" s="27"/>
    </x:row>
    <x:row r="49" ht="135" customHeight="1">
      <x:c r="A49" s="26">
        <x:v>48</x:v>
      </x:c>
      <x:c r="B49" s="26" t="s">
        <x:v>266</x:v>
      </x:c>
      <x:c r="C49" s="26"/>
      <x:c r="D49" s="27">
        <x:v>113.73</x:v>
      </x:c>
      <x:c r="E49" s="26" t="s">
        <x:v>1530</x:v>
      </x:c>
      <x:c r="F49" s="27">
        <x:v>112.65</x:v>
      </x:c>
      <x:c r="G49" s="27" t="n">
        <x:f>F49-D49</x:f>
        <x:v>-1.0799999999999983</x:v>
      </x:c>
      <x:c r="H49" s="26" t="s">
        <x:v>1531</x:v>
      </x:c>
      <x:c r="I49" s="27">
        <x:v>118.87</x:v>
      </x:c>
      <x:c r="J49" s="27">
        <x:v>142.64400000000001</x:v>
      </x:c>
      <x:c r="K49" s="27">
        <x:f t="shared" si="3"/>
        <x:v>28.914000000000001</x:v>
      </x:c>
      <x:c r="L49" s="26" t="s">
        <x:v>1532</x:v>
      </x:c>
      <x:c r="M49" s="26" t="s">
        <x:v>1474</x:v>
      </x:c>
      <x:c r="N49" s="26" t="s">
        <x:v>1460</x:v>
      </x:c>
      <x:c r="O49" s="26">
        <x:v>5</x:v>
      </x:c>
      <x:c r="P49" s="31">
        <x:v>65.984355071933862</x:v>
      </x:c>
      <x:c r="Q49" s="31">
        <x:v>97.7</x:v>
      </x:c>
      <x:c r="R49" s="26">
        <x:v>98</x:v>
      </x:c>
      <x:c r="S49" s="26">
        <x:v>166</x:v>
      </x:c>
      <x:c r="T49" s="27">
        <x:v>87.8</x:v>
      </x:c>
      <x:c r="U49" s="27">
        <x:v>-28.1</x:v>
      </x:c>
      <x:c r="V49" s="27">
        <x:v>34.64</x:v>
      </x:c>
      <x:c r="W49" s="27">
        <x:v>24.53</x:v>
      </x:c>
      <x:c r="X49" s="32">
        <x:v>0.26</x:v>
      </x:c>
      <x:c r="Y49" s="30" t="b">
        <x:v>0</x:v>
      </x:c>
      <x:c r="Z49" s="26">
        <x:v>7</x:v>
      </x:c>
      <x:c r="AA49" s="26">
        <x:v>66</x:v>
      </x:c>
      <x:c r="AB49" s="26">
        <x:v>61</x:v>
      </x:c>
      <x:c r="AC49" s="27">
        <x:v>89.44</x:v>
      </x:c>
    </x:row>
    <x:row r="50" ht="135" customHeight="1">
      <x:c r="A50" s="26">
        <x:v>49</x:v>
      </x:c>
      <x:c r="B50" s="26" t="s">
        <x:v>268</x:v>
      </x:c>
      <x:c r="C50" s="26" t="s">
        <x:v>82</x:v>
      </x:c>
      <x:c r="D50" s="27">
        <x:v>21.9</x:v>
      </x:c>
      <x:c r="E50" s="26" t="s">
        <x:v>1533</x:v>
      </x:c>
      <x:c r="F50" s="27">
        <x:v>21.9</x:v>
      </x:c>
      <x:c r="G50" s="27" t="n">
        <x:f>F50-D50</x:f>
        <x:v>0</x:v>
      </x:c>
      <x:c r="H50" s="26" t="s">
        <x:v>1534</x:v>
      </x:c>
      <x:c r="I50" s="27">
        <x:v>44.69</x:v>
      </x:c>
      <x:c r="J50" s="27">
        <x:v>49.158999999999999</x:v>
      </x:c>
      <x:c r="K50" s="27">
        <x:f t="shared" si="3"/>
        <x:v>27.259</x:v>
      </x:c>
      <x:c r="L50" s="26" t="s">
        <x:v>1437</x:v>
      </x:c>
      <x:c r="M50" s="26" t="s">
        <x:v>1415</x:v>
      </x:c>
      <x:c r="N50" s="26" t="s">
        <x:v>1319</x:v>
      </x:c>
      <x:c r="O50" s="26">
        <x:v>3</x:v>
      </x:c>
      <x:c r="P50" s="31">
        <x:v>27.182996927395404</x:v>
      </x:c>
      <x:c r="Q50" s="31">
        <x:v>29.7</x:v>
      </x:c>
      <x:c r="R50" s="26">
        <x:v>30</x:v>
      </x:c>
      <x:c r="S50" s="26">
        <x:v>139</x:v>
      </x:c>
      <x:c r="T50" s="27">
        <x:v>35.75</x:v>
      </x:c>
      <x:c r="U50" s="27">
        <x:v>0</x:v>
      </x:c>
      <x:c r="V50" s="27">
        <x:v>0</x:v>
      </x:c>
      <x:c r="W50" s="27">
        <x:v>8.94</x:v>
      </x:c>
      <x:c r="X50" s="32">
        <x:v>0.25</x:v>
      </x:c>
      <x:c r="Y50" s="30" t="b">
        <x:v>1</x:v>
      </x:c>
      <x:c r="Z50" s="26">
        <x:v>3</x:v>
      </x:c>
      <x:c r="AA50" s="26">
        <x:v>28</x:v>
      </x:c>
      <x:c r="AB50" s="26">
        <x:v>373</x:v>
      </x:c>
      <x:c r="AC50" s="27">
        <x:v>21.9</x:v>
      </x:c>
    </x:row>
    <x:row r="51" ht="135" customHeight="1">
      <x:c r="A51" s="26">
        <x:v>50</x:v>
      </x:c>
      <x:c r="B51" s="26" t="s">
        <x:v>272</x:v>
      </x:c>
      <x:c r="C51" s="26"/>
      <x:c r="D51" s="27">
        <x:v>52.56</x:v>
      </x:c>
      <x:c r="E51" s="26" t="s">
        <x:v>1535</x:v>
      </x:c>
      <x:c r="F51" s="27">
        <x:v>49.1</x:v>
      </x:c>
      <x:c r="G51" s="27" t="n">
        <x:f>F51-D51</x:f>
        <x:v>-3.460000000000001</x:v>
      </x:c>
      <x:c r="H51" s="26" t="s">
        <x:v>1536</x:v>
      </x:c>
      <x:c r="I51" s="27">
        <x:v>71.790000000000006</x:v>
      </x:c>
      <x:c r="J51" s="27">
        <x:v>78.968999999999994</x:v>
      </x:c>
      <x:c r="K51" s="27">
        <x:f t="shared" si="3"/>
        <x:v>26.408999999999992</x:v>
      </x:c>
      <x:c r="L51" s="26" t="s">
        <x:v>1537</x:v>
      </x:c>
      <x:c r="M51" s="26" t="s">
        <x:v>1474</x:v>
      </x:c>
      <x:c r="N51" s="26" t="s">
        <x:v>1468</x:v>
      </x:c>
      <x:c r="O51" s="26">
        <x:v>5</x:v>
      </x:c>
      <x:c r="P51" s="31">
        <x:v>41.005980766387232</x:v>
      </x:c>
      <x:c r="Q51" s="31"/>
      <x:c r="R51" s="26">
        <x:v>41</x:v>
      </x:c>
      <x:c r="S51" s="26">
        <x:v>166</x:v>
      </x:c>
      <x:c r="T51" s="27">
        <x:v>46.39</x:v>
      </x:c>
      <x:c r="U51" s="27">
        <x:v>-14.84</x:v>
      </x:c>
      <x:c r="V51" s="27">
        <x:v>25.77</x:v>
      </x:c>
      <x:c r="W51" s="27">
        <x:v>14.47</x:v>
      </x:c>
      <x:c r="X51" s="32">
        <x:v>0.2525</x:v>
      </x:c>
      <x:c r="Y51" s="30" t="b">
        <x:v>0</x:v>
      </x:c>
      <x:c r="Z51" s="26">
        <x:v>6</x:v>
      </x:c>
      <x:c r="AA51" s="26">
        <x:v>41</x:v>
      </x:c>
      <x:c r="AB51" s="26">
        <x:v>221</x:v>
      </x:c>
      <x:c r="AC51" s="27">
        <x:v>39</x:v>
      </x:c>
    </x:row>
    <x:row r="53">
      <x:c r="J53" t="s">
        <x:v>1538</x:v>
      </x:c>
      <x:c r="K53" s="22" t="n">
        <x:f>SUM(K2:K51)</x:f>
        <x:v>3042.557999999999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45" customWidth="1"/>
    <x:col min="2" max="2" width="7.875" customWidth="1"/>
    <x:col min="3" max="3" width="105" customWidth="1"/>
  </x:cols>
  <x:sheetData>
    <x:row r="1" ht="15" customHeight="1">
      <x:c r="A1" s="28" t="s">
        <x:v>1539</x:v>
      </x:c>
      <x:c r="B1" s="28" t="s">
        <x:v>1540</x:v>
      </x:c>
      <x:c r="C1" s="28" t="s">
        <x:v>1254</x:v>
      </x:c>
    </x:row>
    <x:row r="2" ht="15" customHeight="1">
      <x:c r="A2" s="16" t="s">
        <x:v>1541</x:v>
      </x:c>
      <x:c r="B2" s="33">
        <x:v>3042.558</x:v>
      </x:c>
      <x:c r="C2" s="16" t="s">
        <x:v>1542</x:v>
      </x:c>
    </x:row>
    <x:row r="3" ht="15" customHeight="1">
      <x:c r="A3" s="16" t="s">
        <x:v>1543</x:v>
      </x:c>
      <x:c r="B3" s="16">
        <x:v>40</x:v>
      </x:c>
      <x:c r="C3" s="16" t="s">
        <x:v>1544</x:v>
      </x:c>
    </x:row>
    <x:row r="4" ht="15" customHeight="1">
      <x:c r="A4" s="16" t="s">
        <x:v>1545</x:v>
      </x:c>
      <x:c r="B4" s="16">
        <x:v>10</x:v>
      </x:c>
      <x:c r="C4" s="16" t="s">
        <x:v>1546</x:v>
      </x:c>
    </x:row>
    <x:row r="5" ht="15" customHeight="1">
      <x:c r="A5" s="16" t="s">
        <x:v>1547</x:v>
      </x:c>
      <x:c r="B5" s="16">
        <x:v>34</x:v>
      </x:c>
      <x:c r="C5" s="16" t="s">
        <x:v>1548</x:v>
      </x:c>
    </x:row>
    <x:row r="6" ht="15" customHeight="1">
      <x:c r="A6" s="16" t="s">
        <x:v>1549</x:v>
      </x:c>
      <x:c r="B6" s="16">
        <x:v>6</x:v>
      </x:c>
      <x:c r="C6" s="16" t="s">
        <x:v>1550</x:v>
      </x:c>
    </x:row>
    <x:row r="7" ht="15" customHeight="1">
      <x:c r="A7" s="16" t="s">
        <x:v>1551</x:v>
      </x:c>
      <x:c r="B7" s="16">
        <x:v>16</x:v>
      </x:c>
      <x:c r="C7" s="16" t="s">
        <x:v>1552</x:v>
      </x:c>
    </x:row>
    <x:row r="8" ht="15" customHeight="1">
      <x:c r="A8" s="16" t="s">
        <x:v>1553</x:v>
      </x:c>
      <x:c r="B8" s="16">
        <x:v>16</x:v>
      </x:c>
      <x:c r="C8" s="16" t="s">
        <x:v>1554</x:v>
      </x:c>
    </x:row>
    <x:row r="9" ht="15" customHeight="1">
      <x:c r="A9" s="16" t="s">
        <x:v>1555</x:v>
      </x:c>
      <x:c r="B9" s="16">
        <x:v>17</x:v>
      </x:c>
      <x:c r="C9" s="16" t="s">
        <x:v>1556</x:v>
      </x:c>
    </x:row>
    <x:row r="10" ht="15" customHeight="1">
      <x:c r="A10" s="16" t="s">
        <x:v>1557</x:v>
      </x:c>
      <x:c r="B10" s="16">
        <x:v>2</x:v>
      </x:c>
      <x:c r="C10" s="16" t="s">
        <x:v>1558</x:v>
      </x:c>
    </x:row>
    <x:row r="11" ht="15" customHeight="1">
      <x:c r="A11" s="16" t="s">
        <x:v>1559</x:v>
      </x:c>
      <x:c r="B11" s="16">
        <x:v>3</x:v>
      </x:c>
      <x:c r="C11" s="16" t="s">
        <x:v>1560</x:v>
      </x:c>
    </x:row>
    <x:row r="12" ht="15" customHeight="1">
      <x:c r="A12" s="16" t="s">
        <x:v>1561</x:v>
      </x:c>
      <x:c r="B12" s="16">
        <x:v>9</x:v>
      </x:c>
      <x:c r="C12" s="16" t="s">
        <x:v>1562</x:v>
      </x:c>
    </x:row>
    <x:row r="13" ht="15" customHeight="1">
      <x:c r="A13" s="16" t="s">
        <x:v>1563</x:v>
      </x:c>
      <x:c r="B13" s="16"/>
      <x:c r="C13" s="16" t="s">
        <x:v>1564</x:v>
      </x:c>
    </x:row>
    <x:row r="14" ht="26.450000762939453" customHeight="1">
      <x:c r="A14" s="16" t="s">
        <x:v>1565</x:v>
      </x:c>
      <x:c r="B14" s="16"/>
      <x:c r="C14" s="16" t="s">
        <x:v>1566</x:v>
      </x:c>
    </x:row>
    <x:row r="15" ht="15" customHeight="1">
      <x:c r="A15" s="16" t="s">
        <x:v>1567</x:v>
      </x:c>
      <x:c r="B15" s="16"/>
      <x:c r="C15" s="16" t="s">
        <x:v>1568</x:v>
      </x:c>
    </x:row>
    <x:row r="16" ht="15" customHeight="1">
      <x:c r="A16" s="16" t="s">
        <x:v>1569</x:v>
      </x:c>
      <x:c r="B16" s="16"/>
      <x:c r="C16" s="16" t="s">
        <x:v>1570</x:v>
      </x:c>
    </x:row>
    <x:row r="17" ht="15" customHeight="1">
      <x:c r="A17" s="16" t="s">
        <x:v>1571</x:v>
      </x:c>
      <x:c r="B17" s="16"/>
      <x:c r="C17" s="16" t="s">
        <x:v>1572</x:v>
      </x:c>
    </x:row>
    <x:row r="18" ht="15" customHeight="1">
      <x:c r="A18" s="16" t="s">
        <x:v>1573</x:v>
      </x:c>
      <x:c r="B18" s="16"/>
      <x:c r="C18" s="16" t="s">
        <x:v>1574</x:v>
      </x:c>
    </x:row>
    <x:row r="19" ht="15" customHeight="1">
      <x:c r="A19" s="16" t="s">
        <x:v>1575</x:v>
      </x:c>
      <x:c r="B19" s="16"/>
      <x:c r="C19" s="16" t="s">
        <x:v>1576</x:v>
      </x:c>
    </x:row>
    <x:row r="20" ht="26.450000762939453" customHeight="1">
      <x:c r="A20" s="16" t="s">
        <x:v>1577</x:v>
      </x:c>
      <x:c r="B20" s="16"/>
      <x:c r="C20" s="16" t="s">
        <x:v>1578</x:v>
      </x:c>
    </x:row>
    <x:row r="21" ht="15" customHeight="1">
      <x:c r="A21" s="16" t="s">
        <x:v>1579</x:v>
      </x:c>
      <x:c r="B21" s="16"/>
      <x:c r="C21" s="16" t="s">
        <x:v>1580</x:v>
      </x:c>
    </x:row>
    <x:row r="22" ht="15" customHeight="1">
      <x:c r="A22" s="16" t="s">
        <x:v>1581</x:v>
      </x:c>
      <x:c r="B22" s="16"/>
      <x:c r="C22" s="16" t="s">
        <x:v>1582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22" hidden="0" customWidth="1"/>
    <x:col min="4" max="4" width="19" hidden="0" customWidth="1"/>
    <x:col min="5" max="5" width="62" hidden="0" customWidth="1"/>
    <x:col min="6" max="6" width="19" hidden="0" customWidth="1"/>
    <x:col min="7" max="7" width="19" hidden="0" customWidth="1"/>
    <x:col min="8" max="8" width="62" hidden="0" customWidth="1"/>
    <x:col min="9" max="9" width="19" hidden="0" customWidth="1"/>
    <x:col min="10" max="10" width="19" hidden="0" customWidth="1"/>
    <x:col min="11" max="11" width="19" hidden="0" customWidth="1"/>
    <x:col min="12" max="12" width="80" hidden="0" customWidth="1"/>
    <x:col min="13" max="13" width="34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</x:cols>
  <x:sheetData>
    <x:row r="1" ht="52" customHeight="1">
      <x:c r="A1" s="40" t="str">
        <x:v>排名</x:v>
      </x:c>
      <x:c r="B1" s="41" t="str">
        <x:v>追踪号</x:v>
      </x:c>
      <x:c r="C1" s="40" t="str">
        <x:v>机型</x:v>
      </x:c>
      <x:c r="D1" s="40" t="str">
        <x:v>原预付USD</x:v>
      </x:c>
      <x:c r="E1" s="40" t="str">
        <x:v>预付计算过程（反推）</x:v>
      </x:c>
      <x:c r="F1" s="40" t="str">
        <x:v>试算预付USD</x:v>
      </x:c>
      <x:c r="G1" s="40" t="str">
        <x:v>试算与原预付差USD</x:v>
      </x:c>
      <x:c r="H1" s="40" t="str">
        <x:v>实际费用计算（核对明细）</x:v>
      </x:c>
      <x:c r="I1" s="40" t="str">
        <x:v>承运净额USD</x:v>
      </x:c>
      <x:c r="J1" s="40" t="str">
        <x:v>账单实收USD</x:v>
      </x:c>
      <x:c r="K1" s="40" t="str">
        <x:v>差额USD</x:v>
      </x:c>
      <x:c r="L1" s="40" t="str">
        <x:v>差距原因及核验重点</x:v>
      </x:c>
      <x:c r="M1" s="40" t="str">
        <x:v>证据状态</x:v>
      </x:c>
      <x:c r="N1" s="40" t="str">
        <x:v>发货日期</x:v>
      </x:c>
      <x:c r="O1" s="40" t="str">
        <x:v>账单Zone</x:v>
      </x:c>
      <x:c r="P1" s="40" t="str">
        <x:v>预估重量lb</x:v>
      </x:c>
      <x:c r="Q1" s="40" t="str">
        <x:v>实重lb</x:v>
      </x:c>
      <x:c r="R1" s="40" t="str">
        <x:v>计费重量lb</x:v>
      </x:c>
      <x:c r="S1" s="40" t="str">
        <x:v>体积重除数</x:v>
      </x:c>
      <x:c r="T1" s="40" t="str">
        <x:v>运输费原价</x:v>
      </x:c>
      <x:c r="U1" s="40" t="str">
        <x:v>折扣（负数）</x:v>
      </x:c>
      <x:c r="V1" s="40" t="str">
        <x:v>附加费合计</x:v>
      </x:c>
      <x:c r="W1" s="40" t="str">
        <x:v>燃油费</x:v>
      </x:c>
      <x:c r="X1" s="40" t="str">
        <x:v>账单反推燃油率</x:v>
      </x:c>
      <x:c r="Y1" s="40" t="str">
        <x:v>吻合公开零售价</x:v>
      </x:c>
      <x:c r="Z1" s="40" t="str">
        <x:v>候选试算Zone（未核实）</x:v>
      </x:c>
      <x:c r="AA1" s="40" t="str">
        <x:v>试算报价重量lb</x:v>
      </x:c>
      <x:c r="AB1" s="40" t="str">
        <x:v>核对表来源行号</x:v>
      </x:c>
      <x:c r="AC1" s="40" t="str">
        <x:v>按账单Zone试算预付</x:v>
      </x:c>
    </x:row>
    <x:row r="2" ht="135" customHeight="1">
      <x:c r="A2" s="26" t="n">
        <x:v>1</x:v>
      </x:c>
      <x:c r="B2" s="26" t="str">
        <x:v>874592682792</x:v>
      </x:c>
      <x:c r="C2" s="26" t="str">
        <x:v>B4810</x:v>
      </x:c>
      <x:c r="D2" s="43" t="n">
        <x:v>114.59</x:v>
      </x:c>
      <x:c r="E2" s="26" t="str">
        <x:v>反推假设：102lb、Zone5（账单Zone5）。
标准运费90.25×61%≈55.05
＋假设折后附加费28.13
＋燃油(55.05＋28.13)×25.25%≈21.00
＝预估承运成本104.18
按既有收费规则折算→预付114.60；与原预付差+0.01。</x:v>
      </x:c>
      <x:c r="F2" s="43" t="n">
        <x:v>114.6</x:v>
      </x:c>
      <x:c r="G2" s="43" t="n">
        <x:f>F2-D2</x:f>
        <x:v>0.009999999999990905</x:v>
      </x:c>
      <x:c r="H2" s="26" t="str">
        <x:v>运输费104.83
−折扣40.88
＋Oversize Charge 160.00
＋燃油56.55
＝承运净额280.50
账单实收308.550（按既有收费规则）</x:v>
      </x:c>
      <x:c r="I2" s="43" t="n">
        <x:v>280.5</x:v>
      </x:c>
      <x:c r="J2" s="43" t="n">
        <x:v>308.55</x:v>
      </x:c>
      <x:c r="K2" s="43" t="n">
        <x:f>J2-D2</x:f>
        <x:v>193.96</x:v>
      </x:c>
      <x:c r="L2" s="26" t="str">
        <x:v>预估未超过110lb、实际超过110lb，触发Oversize。
实际比预估重14.99lb，需核对称重与申报。</x:v>
      </x:c>
      <x:c r="M2" s="26" t="str">
        <x:v>账单已对账；预付试算接近（差≤0.15）</x:v>
      </x:c>
      <x:c r="N2" s="26" t="str">
        <x:v>20260720</x:v>
      </x:c>
      <x:c r="O2" s="26" t="n">
        <x:v>5</x:v>
      </x:c>
      <x:c r="P2" s="31" t="n">
        <x:v>101.41264060504368</x:v>
      </x:c>
      <x:c r="Q2" s="31" t="n">
        <x:v>116.4</x:v>
      </x:c>
      <x:c r="R2" s="26" t="n">
        <x:v>117</x:v>
      </x:c>
      <x:c r="S2" s="26" t="n">
        <x:v>166</x:v>
      </x:c>
      <x:c r="T2" s="43" t="n">
        <x:v>104.83</x:v>
      </x:c>
      <x:c r="U2" s="43" t="n">
        <x:v>-40.88</x:v>
      </x:c>
      <x:c r="V2" s="43" t="n">
        <x:v>160</x:v>
      </x:c>
      <x:c r="W2" s="43" t="n">
        <x:v>56.55</x:v>
      </x:c>
      <x:c r="X2" s="44" t="n">
        <x:v>0.2525</x:v>
      </x:c>
      <x:c r="Y2" s="30" t="b">
        <x:v>0</x:v>
      </x:c>
      <x:c r="Z2" s="26" t="n">
        <x:v>5</x:v>
      </x:c>
      <x:c r="AA2" s="26" t="n">
        <x:v>102</x:v>
      </x:c>
      <x:c r="AB2" s="26" t="n">
        <x:v>474</x:v>
      </x:c>
      <x:c r="AC2" s="43" t="n">
        <x:v>114.6</x:v>
      </x:c>
    </x:row>
    <x:row r="3" ht="135" customHeight="1">
      <x:c r="A3" s="26" t="n">
        <x:v>2</x:v>
      </x:c>
      <x:c r="B3" s="26" t="str">
        <x:v>873982034526</x:v>
      </x:c>
      <x:c r="C3" s="26" t="str">
        <x:v>B500K</x:v>
      </x:c>
      <x:c r="D3" s="43" t="n">
        <x:v>108.51</x:v>
      </x:c>
      <x:c r="E3" s="26" t="str">
        <x:v>反推假设：107lb、Zone4（账单Zone4）。
标准运费88.19×61%≈53.80
＋假设折后附加费25.13
＋燃油(53.80＋25.13)×25.00%≈19.73
＝预估承运成本98.66
按既有收费规则折算→预付108.53；与原预付差+0.02。</x:v>
      </x:c>
      <x:c r="F3" s="43" t="n">
        <x:v>108.53</x:v>
      </x:c>
      <x:c r="G3" s="43" t="n">
        <x:f>F3-D3</x:f>
        <x:v>0.01999999999999602</x:v>
      </x:c>
      <x:c r="H3" s="26" t="str">
        <x:v>运输费97.11
−折扣37.87
＋Oversize Charge 137.50
＋燃油49.19
＝承运净额245.93
账单实收270.523（按既有收费规则）</x:v>
      </x:c>
      <x:c r="I3" s="43" t="n">
        <x:v>245.93</x:v>
      </x:c>
      <x:c r="J3" s="43" t="n">
        <x:v>270.523</x:v>
      </x:c>
      <x:c r="K3" s="43" t="n">
        <x:f>J3-D3</x:f>
        <x:v>162.01300000000003</x:v>
      </x:c>
      <x:c r="L3" s="26" t="str">
        <x:v>预估未超过110lb、实际超过110lb，触发Oversize。
实际比预估重7.12lb，需核对称重与申报。</x:v>
      </x:c>
      <x:c r="M3" s="26" t="str">
        <x:v>账单已对账；预付试算接近（差≤0.15）</x:v>
      </x:c>
      <x:c r="N3" s="26" t="str">
        <x:v>20260710</x:v>
      </x:c>
      <x:c r="O3" s="26" t="n">
        <x:v>4</x:v>
      </x:c>
      <x:c r="P3" s="31" t="n">
        <x:v>106.28485659932947</x:v>
      </x:c>
      <x:c r="Q3" s="31" t="n">
        <x:v>113.4</x:v>
      </x:c>
      <x:c r="R3" s="26" t="n">
        <x:v>114</x:v>
      </x:c>
      <x:c r="S3" s="26" t="n">
        <x:v>166</x:v>
      </x:c>
      <x:c r="T3" s="43" t="n">
        <x:v>97.11</x:v>
      </x:c>
      <x:c r="U3" s="43" t="n">
        <x:v>-37.87</x:v>
      </x:c>
      <x:c r="V3" s="43" t="n">
        <x:v>137.5</x:v>
      </x:c>
      <x:c r="W3" s="43" t="n">
        <x:v>49.19</x:v>
      </x:c>
      <x:c r="X3" s="44" t="n">
        <x:v>0.25</x:v>
      </x:c>
      <x:c r="Y3" s="30" t="b">
        <x:v>0</x:v>
      </x:c>
      <x:c r="Z3" s="26" t="n">
        <x:v>4</x:v>
      </x:c>
      <x:c r="AA3" s="26" t="n">
        <x:v>107</x:v>
      </x:c>
      <x:c r="AB3" s="26" t="n">
        <x:v>338</x:v>
      </x:c>
      <x:c r="AC3" s="43" t="n">
        <x:v>108.53</x:v>
      </x:c>
    </x:row>
    <x:row r="4" ht="135" customHeight="1">
      <x:c r="A4" s="26" t="n">
        <x:v>3</x:v>
      </x:c>
      <x:c r="B4" s="26" t="str">
        <x:v>874031949101</x:v>
      </x:c>
      <x:c r="C4" s="26" t="str">
        <x:v>EL300</x:v>
      </x:c>
      <x:c r="D4" s="43" t="n">
        <x:v>95.69</x:v>
      </x:c>
      <x:c r="E4" s="26" t="str">
        <x:v>反推假设：53lb、Zone6（账单Zone6）。
标准运费67.96×61%≈41.46
＋假设折后附加费28.13
＋燃油(41.46＋28.13)×25.00%≈17.40
＝预估承运成本86.99
按既有收费规则折算→预付95.69；与原预付差+0.00。</x:v>
      </x:c>
      <x:c r="F4" s="43" t="n">
        <x:v>95.69</x:v>
      </x:c>
      <x:c r="G4" s="43" t="n">
        <x:f>F4-D4</x:f>
        <x:v>0</x:v>
      </x:c>
      <x:c r="H4" s="26" t="str">
        <x:v>运输费116.72
＋Add'l Handling-Weight 56.25
＋燃油43.24
＝承运净额216.21
账单实收237.831（按既有收费规则）</x:v>
      </x:c>
      <x:c r="I4" s="43" t="n">
        <x:v>216.21</x:v>
      </x:c>
      <x:c r="J4" s="43" t="n">
        <x:v>237.831</x:v>
      </x:c>
      <x:c r="K4" s="43" t="n">
        <x:f>J4-D4</x:f>
        <x:v>142.141</x:v>
      </x:c>
      <x:c r="L4" s="26" t="str">
        <x:v>7月13日批次：无折扣行、体积重除数139，需查账户/渠道及折扣。
运输费吻合公开零售价；该价表注明已含燃油，另列燃油是否重复计入需原发票核验。
实际比预估重13.10lb，需核对称重与申报。</x:v>
      </x:c>
      <x:c r="M4" s="26" t="str">
        <x:v>账单已对账；预付试算接近（差≤0.15）</x:v>
      </x:c>
      <x:c r="N4" s="26" t="str">
        <x:v>20260713</x:v>
      </x:c>
      <x:c r="O4" s="26" t="n">
        <x:v>6</x:v>
      </x:c>
      <x:c r="P4" s="31" t="n">
        <x:v>52.999127829244564</x:v>
      </x:c>
      <x:c r="Q4" s="31" t="n">
        <x:v>66.1</x:v>
      </x:c>
      <x:c r="R4" s="26" t="n">
        <x:v>67</x:v>
      </x:c>
      <x:c r="S4" s="26" t="n">
        <x:v>139</x:v>
      </x:c>
      <x:c r="T4" s="43" t="n">
        <x:v>116.72</x:v>
      </x:c>
      <x:c r="U4" s="43" t="n">
        <x:v>0</x:v>
      </x:c>
      <x:c r="V4" s="43" t="n">
        <x:v>56.25</x:v>
      </x:c>
      <x:c r="W4" s="43" t="n">
        <x:v>43.24</x:v>
      </x:c>
      <x:c r="X4" s="44" t="n">
        <x:v>0.25</x:v>
      </x:c>
      <x:c r="Y4" s="30" t="b">
        <x:v>1</x:v>
      </x:c>
      <x:c r="Z4" s="26" t="n">
        <x:v>6</x:v>
      </x:c>
      <x:c r="AA4" s="26" t="n">
        <x:v>53</x:v>
      </x:c>
      <x:c r="AB4" s="26" t="n">
        <x:v>402</x:v>
      </x:c>
      <x:c r="AC4" s="43" t="n">
        <x:v>95.69</x:v>
      </x:c>
    </x:row>
    <x:row r="5" ht="135" customHeight="1">
      <x:c r="A5" s="26" t="n">
        <x:v>4</x:v>
      </x:c>
      <x:c r="B5" s="26" t="str">
        <x:v>872732293053</x:v>
      </x:c>
      <x:c r="C5" s="26" t="str">
        <x:v>AC180</x:v>
      </x:c>
      <x:c r="D5" s="43" t="n">
        <x:v>31.24</x:v>
      </x:c>
      <x:c r="E5" s="26" t="str">
        <x:v>缺核对明细，无法重建预付；原预付仅按基础表保留。</x:v>
      </x:c>
      <x:c r="F5" s="43"/>
      <x:c r="G5" s="43"/>
      <x:c r="H5" s="26" t="str">
        <x:v>缺原始核对明细，无法拆分。</x:v>
      </x:c>
      <x:c r="I5" s="43"/>
      <x:c r="J5" s="43" t="n">
        <x:v>171.512</x:v>
      </x:c>
      <x:c r="K5" s="43" t="n">
        <x:f>J5-D5</x:f>
        <x:v>140.272</x:v>
      </x:c>
      <x:c r="L5" s="26" t="str">
        <x:v>核对表无唯一匹配费用明细，无法确认差距原因；需补原始FedEx账单。</x:v>
      </x:c>
      <x:c r="M5" s="26" t="str">
        <x:v>缺核对明细，原因未确认</x:v>
      </x:c>
      <x:c r="N5" s="26"/>
      <x:c r="O5" s="26"/>
      <x:c r="P5" s="31"/>
      <x:c r="Q5" s="31"/>
      <x:c r="R5" s="26"/>
      <x:c r="S5" s="26"/>
      <x:c r="T5" s="43"/>
      <x:c r="U5" s="43"/>
      <x:c r="V5" s="43"/>
      <x:c r="W5" s="43"/>
      <x:c r="X5" s="44"/>
      <x:c r="Y5" s="26"/>
      <x:c r="Z5" s="26"/>
      <x:c r="AA5" s="26"/>
      <x:c r="AB5" s="26"/>
      <x:c r="AC5" s="43"/>
    </x:row>
    <x:row r="6" ht="135" customHeight="1">
      <x:c r="A6" s="26" t="n">
        <x:v>5</x:v>
      </x:c>
      <x:c r="B6" s="26" t="str">
        <x:v>873651415340</x:v>
      </x:c>
      <x:c r="C6" s="26" t="str">
        <x:v>AC200M</x:v>
      </x:c>
      <x:c r="D6" s="43" t="n">
        <x:v>23.53</x:v>
      </x:c>
      <x:c r="E6" s="26" t="str">
        <x:v>反推假设：43lb、Zone2（账单Zone2）。
标准运费27.93×61%≈17.04
＋假设折后附加费0.00
＋燃油(17.04＋0.00)×25.00%≈4.26
＝预估承运成本21.30
按既有收费规则折算→预付23.43；与原预付差-0.10。</x:v>
      </x:c>
      <x:c r="F6" s="43" t="n">
        <x:v>23.43</x:v>
      </x:c>
      <x:c r="G6" s="43" t="n">
        <x:f>F6-D6</x:f>
        <x:v>-0.10000000000000142</x:v>
      </x:c>
      <x:c r="H6" s="26" t="str">
        <x:v>运输费56.30
＋Add'l Handling-Weight 46.00
＋燃油25.58
＝承运净额127.88
账单实收140.668（按既有收费规则）</x:v>
      </x:c>
      <x:c r="I6" s="43" t="n">
        <x:v>127.88</x:v>
      </x:c>
      <x:c r="J6" s="43" t="n">
        <x:v>140.668</x:v>
      </x:c>
      <x:c r="K6" s="43" t="n">
        <x:f>J6-D6</x:f>
        <x:v>117.138</x:v>
      </x:c>
      <x:c r="L6" s="26" t="str">
        <x:v>7月13日批次：无折扣行、体积重除数139，需查账户/渠道及折扣。
运输费吻合公开零售价；该价表注明已含燃油，另列燃油是否重复计入需原发票核验。
预估未超过50lb、实际超过50lb，触发重量附加费。
实际比预估重28.31lb，需核对称重与申报。</x:v>
      </x:c>
      <x:c r="M6" s="26" t="str">
        <x:v>账单已对账；预付试算接近（差≤0.15）</x:v>
      </x:c>
      <x:c r="N6" s="26" t="str">
        <x:v>20260713</x:v>
      </x:c>
      <x:c r="O6" s="26" t="n">
        <x:v>2</x:v>
      </x:c>
      <x:c r="P6" s="31" t="n">
        <x:v>42.99014112605113</x:v>
      </x:c>
      <x:c r="Q6" s="31" t="n">
        <x:v>71.3</x:v>
      </x:c>
      <x:c r="R6" s="26" t="n">
        <x:v>72</x:v>
      </x:c>
      <x:c r="S6" s="26" t="n">
        <x:v>139</x:v>
      </x:c>
      <x:c r="T6" s="43" t="n">
        <x:v>56.3</x:v>
      </x:c>
      <x:c r="U6" s="43" t="n">
        <x:v>0</x:v>
      </x:c>
      <x:c r="V6" s="43" t="n">
        <x:v>46</x:v>
      </x:c>
      <x:c r="W6" s="43" t="n">
        <x:v>25.58</x:v>
      </x:c>
      <x:c r="X6" s="44" t="n">
        <x:v>0.25</x:v>
      </x:c>
      <x:c r="Y6" s="30" t="b">
        <x:v>1</x:v>
      </x:c>
      <x:c r="Z6" s="26" t="n">
        <x:v>2</x:v>
      </x:c>
      <x:c r="AA6" s="26" t="n">
        <x:v>43</x:v>
      </x:c>
      <x:c r="AB6" s="26" t="n">
        <x:v>365</x:v>
      </x:c>
      <x:c r="AC6" s="43" t="n">
        <x:v>23.43</x:v>
      </x:c>
    </x:row>
    <x:row r="7" ht="135" customHeight="1">
      <x:c r="A7" s="26" t="n">
        <x:v>6</x:v>
      </x:c>
      <x:c r="B7" s="26" t="str">
        <x:v>874033170005</x:v>
      </x:c>
      <x:c r="C7" s="26" t="str">
        <x:v>Elite 200 V2</x:v>
      </x:c>
      <x:c r="D7" s="43" t="n">
        <x:v>88.7</x:v>
      </x:c>
      <x:c r="E7" s="26" t="str">
        <x:v>反推假设：64lb、Zone5（账单Zone5）。
标准运费59.65×61%≈36.39
＋假设折后附加费28.13
＋燃油(36.39＋28.13)×25.00%≈16.13
＝预估承运成本80.65
按既有收费规则折算→预付88.72；与原预付差+0.02。</x:v>
      </x:c>
      <x:c r="F7" s="43" t="n">
        <x:v>88.72</x:v>
      </x:c>
      <x:c r="G7" s="43" t="n">
        <x:f>F7-D7</x:f>
        <x:v>0.01999999999999602</x:v>
      </x:c>
      <x:c r="H7" s="26" t="str">
        <x:v>运输费92.63
＋Add'l Handling-Weight 56.25
＋燃油37.22
＝承运净额186.10
账单实收204.710（按既有收费规则）</x:v>
      </x:c>
      <x:c r="I7" s="43" t="n">
        <x:v>186.1</x:v>
      </x:c>
      <x:c r="J7" s="43" t="n">
        <x:v>204.71</x:v>
      </x:c>
      <x:c r="K7" s="43" t="n">
        <x:f>J7-D7</x:f>
        <x:v>116.01</x:v>
      </x:c>
      <x:c r="L7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</x:v>
      </x:c>
      <x:c r="M7" s="26" t="str">
        <x:v>账单已对账；预付试算接近（差≤0.15）</x:v>
      </x:c>
      <x:c r="N7" s="26" t="str">
        <x:v>20260713</x:v>
      </x:c>
      <x:c r="O7" s="26" t="n">
        <x:v>5</x:v>
      </x:c>
      <x:c r="P7" s="31" t="n">
        <x:v>64.00019471226996</x:v>
      </x:c>
      <x:c r="Q7" s="31" t="n">
        <x:v>62.4</x:v>
      </x:c>
      <x:c r="R7" s="26" t="n">
        <x:v>63</x:v>
      </x:c>
      <x:c r="S7" s="26" t="n">
        <x:v>139</x:v>
      </x:c>
      <x:c r="T7" s="43" t="n">
        <x:v>92.63</x:v>
      </x:c>
      <x:c r="U7" s="43" t="n">
        <x:v>0</x:v>
      </x:c>
      <x:c r="V7" s="43" t="n">
        <x:v>56.25</x:v>
      </x:c>
      <x:c r="W7" s="43" t="n">
        <x:v>37.22</x:v>
      </x:c>
      <x:c r="X7" s="44" t="n">
        <x:v>0.25</x:v>
      </x:c>
      <x:c r="Y7" s="30" t="b">
        <x:v>1</x:v>
      </x:c>
      <x:c r="Z7" s="26" t="n">
        <x:v>5</x:v>
      </x:c>
      <x:c r="AA7" s="26" t="n">
        <x:v>64</x:v>
      </x:c>
      <x:c r="AB7" s="26" t="n">
        <x:v>381</x:v>
      </x:c>
      <x:c r="AC7" s="43" t="n">
        <x:v>88.72</x:v>
      </x:c>
    </x:row>
    <x:row r="8" ht="135" customHeight="1">
      <x:c r="A8" s="26" t="n">
        <x:v>7</x:v>
      </x:c>
      <x:c r="B8" s="26" t="str">
        <x:v>874280719368</x:v>
      </x:c>
      <x:c r="C8" s="26" t="str">
        <x:v>AC200L</x:v>
      </x:c>
      <x:c r="D8" s="43" t="n">
        <x:v>71.65</x:v>
      </x:c>
      <x:c r="E8" s="26" t="str">
        <x:v>反推假设：56lb、Zone4（账单Zone4）。
标准运费44.24×61%≈26.99
＋假设折后附加费25.13
＋燃油(26.99＋25.13)×25.00%≈13.03
＝预估承运成本65.15
按既有收费规则折算→预付71.66；与原预付差+0.01。</x:v>
      </x:c>
      <x:c r="F8" s="43" t="n">
        <x:v>71.66</x:v>
      </x:c>
      <x:c r="G8" s="43" t="n">
        <x:f>F8-D8</x:f>
        <x:v>0.009999999999990905</x:v>
      </x:c>
      <x:c r="H8" s="26" t="str">
        <x:v>运输费80.24
＋Add'l Handling-Weight 50.25
＋燃油32.62
＝承运净额163.11
账单实收179.421（按既有收费规则）</x:v>
      </x:c>
      <x:c r="I8" s="43" t="n">
        <x:v>163.11</x:v>
      </x:c>
      <x:c r="J8" s="43" t="n">
        <x:v>179.421</x:v>
      </x:c>
      <x:c r="K8" s="43" t="n">
        <x:f>J8-D8</x:f>
        <x:v>107.77099999999999</x:v>
      </x:c>
      <x:c r="L8" s="26" t="str">
        <x:v>7月13日批次：无折扣行、体积重除数139，需查账户/渠道及折扣。
运输费吻合公开零售价；该价表注明已含燃油，另列燃油是否重复计入需原发票核验。
实际比预估重15.70lb，需核对称重与申报。</x:v>
      </x:c>
      <x:c r="M8" s="26" t="str">
        <x:v>账单已对账；预付试算接近（差≤0.15）</x:v>
      </x:c>
      <x:c r="N8" s="26" t="str">
        <x:v>20260713</x:v>
      </x:c>
      <x:c r="O8" s="26" t="n">
        <x:v>4</x:v>
      </x:c>
      <x:c r="P8" s="31" t="n">
        <x:v>55.9974145949589</x:v>
      </x:c>
      <x:c r="Q8" s="31" t="n">
        <x:v>71.7</x:v>
      </x:c>
      <x:c r="R8" s="26" t="n">
        <x:v>72</x:v>
      </x:c>
      <x:c r="S8" s="26" t="n">
        <x:v>139</x:v>
      </x:c>
      <x:c r="T8" s="43" t="n">
        <x:v>80.24</x:v>
      </x:c>
      <x:c r="U8" s="43" t="n">
        <x:v>0</x:v>
      </x:c>
      <x:c r="V8" s="43" t="n">
        <x:v>50.25</x:v>
      </x:c>
      <x:c r="W8" s="43" t="n">
        <x:v>32.62</x:v>
      </x:c>
      <x:c r="X8" s="44" t="n">
        <x:v>0.25</x:v>
      </x:c>
      <x:c r="Y8" s="30" t="b">
        <x:v>1</x:v>
      </x:c>
      <x:c r="Z8" s="26" t="n">
        <x:v>4</x:v>
      </x:c>
      <x:c r="AA8" s="26" t="n">
        <x:v>56</x:v>
      </x:c>
      <x:c r="AB8" s="26" t="n">
        <x:v>392</x:v>
      </x:c>
      <x:c r="AC8" s="43" t="n">
        <x:v>71.66</x:v>
      </x:c>
    </x:row>
    <x:row r="9" ht="135" customHeight="1">
      <x:c r="A9" s="26" t="n">
        <x:v>8</x:v>
      </x:c>
      <x:c r="B9" s="26" t="str">
        <x:v>874288041990</x:v>
      </x:c>
      <x:c r="C9" s="26" t="str">
        <x:v>AC180</x:v>
      </x:c>
      <x:c r="D9" s="43" t="n">
        <x:v>62.65</x:v>
      </x:c>
      <x:c r="E9" s="26" t="str">
        <x:v>反推假设：38lb、Zone8（账单Zone8）。
标准运费74.69×61%≈45.56
＋假设折后附加费0.00
＋燃油(45.56＋0.00)×25.00%≈11.39
＝预估承运成本56.95
按既有收费规则折算→预付62.65；与原预付差+0.00。</x:v>
      </x:c>
      <x:c r="F9" s="43" t="n">
        <x:v>62.65</x:v>
      </x:c>
      <x:c r="G9" s="43" t="n">
        <x:f>F9-D9</x:f>
        <x:v>0</x:v>
      </x:c>
      <x:c r="H9" s="26" t="str">
        <x:v>运输费122.85
＋燃油30.71
＝承运净额153.56
账单实收168.916（按既有收费规则）</x:v>
      </x:c>
      <x:c r="I9" s="43" t="n">
        <x:v>153.56</x:v>
      </x:c>
      <x:c r="J9" s="43" t="n">
        <x:v>168.916</x:v>
      </x:c>
      <x:c r="K9" s="43" t="n">
        <x:f>J9-D9</x:f>
        <x:v>106.26599999999999</x:v>
      </x:c>
      <x:c r="L9" s="26" t="str">
        <x:v>7月13日批次：无折扣行、体积重除数139，需查账户/渠道及折扣。
运输费吻合公开零售价；该价表注明已含燃油，另列燃油是否重复计入需原发票核验。</x:v>
      </x:c>
      <x:c r="M9" s="26" t="str">
        <x:v>账单已对账；预付试算接近（差≤0.15）</x:v>
      </x:c>
      <x:c r="N9" s="26" t="str">
        <x:v>20260713</x:v>
      </x:c>
      <x:c r="O9" s="26" t="n">
        <x:v>8</x:v>
      </x:c>
      <x:c r="P9" s="31" t="n">
        <x:v>37.98564777445441</x:v>
      </x:c>
      <x:c r="Q9" s="31" t="n">
        <x:v>39.4</x:v>
      </x:c>
      <x:c r="R9" s="26" t="n">
        <x:v>40</x:v>
      </x:c>
      <x:c r="S9" s="26" t="n">
        <x:v>139</x:v>
      </x:c>
      <x:c r="T9" s="43" t="n">
        <x:v>122.85</x:v>
      </x:c>
      <x:c r="U9" s="43" t="n">
        <x:v>0</x:v>
      </x:c>
      <x:c r="V9" s="43" t="n">
        <x:v>0</x:v>
      </x:c>
      <x:c r="W9" s="43" t="n">
        <x:v>30.71</x:v>
      </x:c>
      <x:c r="X9" s="44" t="n">
        <x:v>0.25</x:v>
      </x:c>
      <x:c r="Y9" s="30" t="b">
        <x:v>1</x:v>
      </x:c>
      <x:c r="Z9" s="26" t="n">
        <x:v>8</x:v>
      </x:c>
      <x:c r="AA9" s="26" t="n">
        <x:v>38</x:v>
      </x:c>
      <x:c r="AB9" s="26" t="n">
        <x:v>439</x:v>
      </x:c>
      <x:c r="AC9" s="43" t="n">
        <x:v>62.65</x:v>
      </x:c>
    </x:row>
    <x:row r="10" ht="135" customHeight="1">
      <x:c r="A10" s="26" t="n">
        <x:v>9</x:v>
      </x:c>
      <x:c r="B10" s="26" t="str">
        <x:v>873966246974</x:v>
      </x:c>
      <x:c r="C10" s="26" t="str">
        <x:v>EL100V2</x:v>
      </x:c>
      <x:c r="D10" s="43" t="n">
        <x:v>26.2</x:v>
      </x:c>
      <x:c r="E10" s="26" t="str">
        <x:v>反推假设：25lb、Zone5（账单Zone8）。
标准运费31.23×61%≈19.05
＋假设折后附加费0.00
＋燃油(19.05＋0.00)×25.00%≈4.76
＝预估承运成本23.81
按既有收费规则折算→预付26.19；与原预付差-0.01。</x:v>
      </x:c>
      <x:c r="F10" s="43" t="n">
        <x:v>26.19</x:v>
      </x:c>
      <x:c r="G10" s="43" t="n">
        <x:f>F10-D10</x:f>
        <x:v>-0.00999999999999801</x:v>
      </x:c>
      <x:c r="H10" s="26" t="str">
        <x:v>运输费94.85
＋燃油23.71
＝承运净额118.56
账单实收130.416（按既有收费规则）</x:v>
      </x:c>
      <x:c r="I10" s="43" t="n">
        <x:v>118.56</x:v>
      </x:c>
      <x:c r="J10" s="43" t="n">
        <x:v>130.416</x:v>
      </x:c>
      <x:c r="K10" s="43" t="n">
        <x:f>J10-D10</x:f>
        <x:v>104.216</x:v>
      </x:c>
      <x:c r="L10" s="26" t="str">
        <x:v>7月13日批次：无折扣行、体积重除数139，需查账户/渠道及折扣。
运输费吻合公开零售价；该价表注明已含燃油，另列燃油是否重复计入需原发票核验。
预付反推Zone5，最终Zone8；不代表分区错误，需查原邮编与合同。</x:v>
      </x:c>
      <x:c r="M10" s="26" t="str">
        <x:v>账单已对账；预付试算接近（差≤0.15）</x:v>
      </x:c>
      <x:c r="N10" s="26" t="str">
        <x:v>20260713</x:v>
      </x:c>
      <x:c r="O10" s="26" t="n">
        <x:v>8</x:v>
      </x:c>
      <x:c r="P10" s="31" t="n">
        <x:v>25.000420531765116</x:v>
      </x:c>
      <x:c r="Q10" s="31" t="n">
        <x:v>28.2</x:v>
      </x:c>
      <x:c r="R10" s="26" t="n">
        <x:v>29</x:v>
      </x:c>
      <x:c r="S10" s="26" t="n">
        <x:v>139</x:v>
      </x:c>
      <x:c r="T10" s="43" t="n">
        <x:v>94.85</x:v>
      </x:c>
      <x:c r="U10" s="43" t="n">
        <x:v>0</x:v>
      </x:c>
      <x:c r="V10" s="43" t="n">
        <x:v>0</x:v>
      </x:c>
      <x:c r="W10" s="43" t="n">
        <x:v>23.71</x:v>
      </x:c>
      <x:c r="X10" s="44" t="n">
        <x:v>0.25</x:v>
      </x:c>
      <x:c r="Y10" s="30" t="b">
        <x:v>1</x:v>
      </x:c>
      <x:c r="Z10" s="26" t="n">
        <x:v>5</x:v>
      </x:c>
      <x:c r="AA10" s="26" t="n">
        <x:v>25</x:v>
      </x:c>
      <x:c r="AB10" s="26" t="n">
        <x:v>400</x:v>
      </x:c>
      <x:c r="AC10" s="43" t="n">
        <x:v>44.5</x:v>
      </x:c>
    </x:row>
    <x:row r="11" ht="135" customHeight="1">
      <x:c r="A11" s="26" t="n">
        <x:v>10</x:v>
      </x:c>
      <x:c r="B11" s="26" t="str">
        <x:v>874516692368</x:v>
      </x:c>
      <x:c r="C11" s="26" t="str">
        <x:v>FRPOWER</x:v>
      </x:c>
      <x:c r="D11" s="43" t="n">
        <x:v>23.79</x:v>
      </x:c>
      <x:c r="E11" s="26" t="str">
        <x:v>反推假设：45lb、Zone2（账单Zone8）。
标准运费28.36×61%≈17.30
＋假设折后附加费0.00
＋燃油(17.30＋0.00)×25.25%≈4.37
＝预估承运成本21.67
按既有收费规则折算→预付23.84；与原预付差+0.05。</x:v>
      </x:c>
      <x:c r="F11" s="43" t="n">
        <x:v>23.84</x:v>
      </x:c>
      <x:c r="G11" s="43" t="n">
        <x:f>F11-D11</x:f>
        <x:v>0.05000000000000071</x:v>
      </x:c>
      <x:c r="H11" s="26" t="str">
        <x:v>运输费92.35
−折扣36.02
＋Add'l Handling-Weight 29.37
＋燃油21.64
＝承运净额107.34
账单实收118.074（按既有收费规则）</x:v>
      </x:c>
      <x:c r="I11" s="43" t="n">
        <x:v>107.34</x:v>
      </x:c>
      <x:c r="J11" s="43" t="n">
        <x:v>118.074</x:v>
      </x:c>
      <x:c r="K11" s="43" t="n">
        <x:f>J11-D11</x:f>
        <x:v>94.28399999999999</x:v>
      </x:c>
      <x:c r="L11" s="26" t="str">
        <x:v>预估未超过50lb、实际超过50lb，触发重量附加费。
实际比预估重7.01lb，需核对称重与申报。
预付反推Zone2，最终Zone8；不代表分区错误，需查原邮编与合同。</x:v>
      </x:c>
      <x:c r="M11" s="26" t="str">
        <x:v>账单已对账；预付试算接近（差≤0.15）</x:v>
      </x:c>
      <x:c r="N11" s="26" t="str">
        <x:v>20260720</x:v>
      </x:c>
      <x:c r="O11" s="26" t="n">
        <x:v>8</x:v>
      </x:c>
      <x:c r="P11" s="31" t="n">
        <x:v>44.09245243697551</x:v>
      </x:c>
      <x:c r="Q11" s="31" t="n">
        <x:v>51.1</x:v>
      </x:c>
      <x:c r="R11" s="26" t="n">
        <x:v>52</x:v>
      </x:c>
      <x:c r="S11" s="26" t="n">
        <x:v>166</x:v>
      </x:c>
      <x:c r="T11" s="43" t="n">
        <x:v>92.35</x:v>
      </x:c>
      <x:c r="U11" s="43" t="n">
        <x:v>-36.02</x:v>
      </x:c>
      <x:c r="V11" s="43" t="n">
        <x:v>29.37</x:v>
      </x:c>
      <x:c r="W11" s="43" t="n">
        <x:v>21.64</x:v>
      </x:c>
      <x:c r="X11" s="44" t="n">
        <x:v>0.2525</x:v>
      </x:c>
      <x:c r="Y11" s="30" t="b">
        <x:v>0</x:v>
      </x:c>
      <x:c r="Z11" s="26" t="n">
        <x:v>2</x:v>
      </x:c>
      <x:c r="AA11" s="26" t="n">
        <x:v>45</x:v>
      </x:c>
      <x:c r="AB11" s="26" t="n">
        <x:v>461</x:v>
      </x:c>
      <x:c r="AC11" s="43" t="n">
        <x:v>69.85</x:v>
      </x:c>
    </x:row>
    <x:row r="12" ht="135" customHeight="1">
      <x:c r="A12" s="26" t="n">
        <x:v>11</x:v>
      </x:c>
      <x:c r="B12" s="26" t="str">
        <x:v>873808852054</x:v>
      </x:c>
      <x:c r="C12" s="26" t="str">
        <x:v>FRPOWER</x:v>
      </x:c>
      <x:c r="D12" s="43" t="n">
        <x:v>23.84</x:v>
      </x:c>
      <x:c r="E12" s="26" t="str">
        <x:v>反推假设：45lb、Zone2（账单Zone8）。
标准运费28.36×61%≈17.30
＋假设折后附加费0.00
＋燃油(17.30＋0.00)×25.25%≈4.37
＝预估承运成本21.67
按既有收费规则折算→预付23.84；与原预付差+0.00。</x:v>
      </x:c>
      <x:c r="F12" s="43" t="n">
        <x:v>23.84</x:v>
      </x:c>
      <x:c r="G12" s="43" t="n">
        <x:f>F12-D12</x:f>
        <x:v>0</x:v>
      </x:c>
      <x:c r="H12" s="26" t="str">
        <x:v>运输费92.35
−折扣36.02
＋Add'l Handling-Weight 29.37
＋燃油21.64
＝承运净额107.34
账单实收118.074（按既有收费规则）</x:v>
      </x:c>
      <x:c r="I12" s="43" t="n">
        <x:v>107.34</x:v>
      </x:c>
      <x:c r="J12" s="43" t="n">
        <x:v>118.074</x:v>
      </x:c>
      <x:c r="K12" s="43" t="n">
        <x:f>J12-D12</x:f>
        <x:v>94.234</x:v>
      </x:c>
      <x:c r="L12" s="26" t="str">
        <x:v>预估未超过50lb、实际超过50lb，触发重量附加费。
实际比预估重7.01lb，需核对称重与申报。
预付反推Zone2，最终Zone8；不代表分区错误，需查原邮编与合同。</x:v>
      </x:c>
      <x:c r="M12" s="26" t="str">
        <x:v>账单已对账；预付试算接近（差≤0.15）</x:v>
      </x:c>
      <x:c r="N12" s="26" t="str">
        <x:v>20260701</x:v>
      </x:c>
      <x:c r="O12" s="26" t="n">
        <x:v>8</x:v>
      </x:c>
      <x:c r="P12" s="31" t="n">
        <x:v>44.09245243697551</x:v>
      </x:c>
      <x:c r="Q12" s="31" t="n">
        <x:v>51.1</x:v>
      </x:c>
      <x:c r="R12" s="26" t="n">
        <x:v>52</x:v>
      </x:c>
      <x:c r="S12" s="26" t="n">
        <x:v>166</x:v>
      </x:c>
      <x:c r="T12" s="43" t="n">
        <x:v>92.35</x:v>
      </x:c>
      <x:c r="U12" s="43" t="n">
        <x:v>-36.02</x:v>
      </x:c>
      <x:c r="V12" s="43" t="n">
        <x:v>29.37</x:v>
      </x:c>
      <x:c r="W12" s="43" t="n">
        <x:v>21.64</x:v>
      </x:c>
      <x:c r="X12" s="44" t="n">
        <x:v>0.2525</x:v>
      </x:c>
      <x:c r="Y12" s="30" t="b">
        <x:v>0</x:v>
      </x:c>
      <x:c r="Z12" s="26" t="n">
        <x:v>2</x:v>
      </x:c>
      <x:c r="AA12" s="26" t="n">
        <x:v>45</x:v>
      </x:c>
      <x:c r="AB12" s="26" t="n">
        <x:v>210</x:v>
      </x:c>
      <x:c r="AC12" s="43" t="n">
        <x:v>69.85</x:v>
      </x:c>
    </x:row>
    <x:row r="13" ht="135" customHeight="1">
      <x:c r="A13" s="26" t="n">
        <x:v>12</x:v>
      </x:c>
      <x:c r="B13" s="26" t="str">
        <x:v>874499950834</x:v>
      </x:c>
      <x:c r="C13" s="26" t="str">
        <x:v>AP300</x:v>
      </x:c>
      <x:c r="D13" s="43" t="n">
        <x:v>36.44</x:v>
      </x:c>
      <x:c r="E13" s="26" t="str">
        <x:v>反推假设：38lb、Zone5（账单Zone5）。
标准运费43.44×61%≈26.50
＋假设折后附加费0.00
＋燃油(26.50＋0.00)×25.25%≈6.69
＝预估承运成本33.19
按既有收费规则折算→预付36.51；与原预付差+0.07。</x:v>
      </x:c>
      <x:c r="F13" s="43" t="n">
        <x:v>36.51</x:v>
      </x:c>
      <x:c r="G13" s="43" t="n">
        <x:f>F13-D13</x:f>
        <x:v>0.07000000000000028</x:v>
      </x:c>
      <x:c r="H13" s="26" t="str">
        <x:v>运输费85.41
−折扣33.31
＋Add'l Handling-Weight 28.12
＋燃油20.26
＝承运净额100.48
账单实收110.528（按既有收费规则）</x:v>
      </x:c>
      <x:c r="I13" s="43" t="n">
        <x:v>100.48</x:v>
      </x:c>
      <x:c r="J13" s="43" t="n">
        <x:v>110.528</x:v>
      </x:c>
      <x:c r="K13" s="43" t="n">
        <x:f>J13-D13</x:f>
        <x:v>74.08800000000001</x:v>
      </x:c>
      <x:c r="L13" s="26" t="str">
        <x:v>预估未超过50lb、实际超过50lb，触发重量附加费。
实际比预估重57.51lb，需核对称重与申报。</x:v>
      </x:c>
      <x:c r="M13" s="26" t="str">
        <x:v>账单已对账；预付试算接近（差≤0.15）</x:v>
      </x:c>
      <x:c r="N13" s="26" t="str">
        <x:v>20260722</x:v>
      </x:c>
      <x:c r="O13" s="26" t="n">
        <x:v>5</x:v>
      </x:c>
      <x:c r="P13" s="31" t="n">
        <x:v>37.98564777445441</x:v>
      </x:c>
      <x:c r="Q13" s="31" t="n">
        <x:v>95.5</x:v>
      </x:c>
      <x:c r="R13" s="26" t="n">
        <x:v>96</x:v>
      </x:c>
      <x:c r="S13" s="26" t="n">
        <x:v>166</x:v>
      </x:c>
      <x:c r="T13" s="43" t="n">
        <x:v>85.41</x:v>
      </x:c>
      <x:c r="U13" s="43" t="n">
        <x:v>-33.31</x:v>
      </x:c>
      <x:c r="V13" s="43" t="n">
        <x:v>28.12</x:v>
      </x:c>
      <x:c r="W13" s="43" t="n">
        <x:v>20.26</x:v>
      </x:c>
      <x:c r="X13" s="44" t="n">
        <x:v>0.2525</x:v>
      </x:c>
      <x:c r="Y13" s="30" t="b">
        <x:v>0</x:v>
      </x:c>
      <x:c r="Z13" s="26" t="n">
        <x:v>5</x:v>
      </x:c>
      <x:c r="AA13" s="26" t="n">
        <x:v>38</x:v>
      </x:c>
      <x:c r="AB13" s="26" t="n">
        <x:v>492</x:v>
      </x:c>
      <x:c r="AC13" s="43" t="n">
        <x:v>36.51</x:v>
      </x:c>
    </x:row>
    <x:row r="14" ht="135" customHeight="1">
      <x:c r="A14" s="26" t="n">
        <x:v>13</x:v>
      </x:c>
      <x:c r="B14" s="26" t="str">
        <x:v>874276968840</x:v>
      </x:c>
      <x:c r="C14" s="26" t="str">
        <x:v>EL300</x:v>
      </x:c>
      <x:c r="D14" s="43" t="n">
        <x:v>57.47</x:v>
      </x:c>
      <x:c r="E14" s="26" t="str">
        <x:v>反推假设：61lb、Zone2（账单Zone2）。
标准运费30.80×61%≈18.79
＋假设折后附加费23.00
＋燃油(18.79＋23.00)×25.00%≈10.45
＝预估承运成本52.24
按既有收费规则折算→预付57.46；与原预付差-0.01。</x:v>
      </x:c>
      <x:c r="F14" s="43" t="n">
        <x:v>57.46</x:v>
      </x:c>
      <x:c r="G14" s="43" t="n">
        <x:f>F14-D14</x:f>
        <x:v>-0.00999999999999801</x:v>
      </x:c>
      <x:c r="H14" s="26" t="str">
        <x:v>运输费47.44
＋Add'l Handling-Weight 46.00
＋燃油23.36
＝承运净额116.80
账单实收128.480（按既有收费规则）</x:v>
      </x:c>
      <x:c r="I14" s="43" t="n">
        <x:v>116.8</x:v>
      </x:c>
      <x:c r="J14" s="43" t="n">
        <x:v>128.48</x:v>
      </x:c>
      <x:c r="K14" s="43" t="n">
        <x:f>J14-D14</x:f>
        <x:v>71.00999999999999</x:v>
      </x:c>
      <x:c r="L14" s="26" t="str">
        <x:v>7月13日批次：无折扣行、体积重除数139，需查账户/渠道及折扣。
运输费吻合公开零售价；该价表注明已含燃油，另列燃油是否重复计入需原发票核验。</x:v>
      </x:c>
      <x:c r="M14" s="26" t="str">
        <x:v>账单已对账；预付试算接近（差≤0.15）</x:v>
      </x:c>
      <x:c r="N14" s="26" t="str">
        <x:v>20260713</x:v>
      </x:c>
      <x:c r="O14" s="26" t="n">
        <x:v>2</x:v>
      </x:c>
      <x:c r="P14" s="31" t="n">
        <x:v>60.49484474353041</x:v>
      </x:c>
      <x:c r="Q14" s="31" t="n">
        <x:v>61.1</x:v>
      </x:c>
      <x:c r="R14" s="26" t="n">
        <x:v>62</x:v>
      </x:c>
      <x:c r="S14" s="26" t="n">
        <x:v>139</x:v>
      </x:c>
      <x:c r="T14" s="43" t="n">
        <x:v>47.44</x:v>
      </x:c>
      <x:c r="U14" s="43" t="n">
        <x:v>0</x:v>
      </x:c>
      <x:c r="V14" s="43" t="n">
        <x:v>46</x:v>
      </x:c>
      <x:c r="W14" s="43" t="n">
        <x:v>23.36</x:v>
      </x:c>
      <x:c r="X14" s="44" t="n">
        <x:v>0.25</x:v>
      </x:c>
      <x:c r="Y14" s="30" t="b">
        <x:v>1</x:v>
      </x:c>
      <x:c r="Z14" s="26" t="n">
        <x:v>2</x:v>
      </x:c>
      <x:c r="AA14" s="26" t="n">
        <x:v>61</x:v>
      </x:c>
      <x:c r="AB14" s="26" t="n">
        <x:v>374</x:v>
      </x:c>
      <x:c r="AC14" s="43" t="n">
        <x:v>57.46</x:v>
      </x:c>
    </x:row>
    <x:row r="15" ht="135" customHeight="1">
      <x:c r="A15" s="26" t="n">
        <x:v>14</x:v>
      </x:c>
      <x:c r="B15" s="26" t="str">
        <x:v>875147813128</x:v>
      </x:c>
      <x:c r="C15" s="26"/>
      <x:c r="D15" s="43" t="n">
        <x:v>19.12</x:v>
      </x:c>
      <x:c r="E15" s="26" t="str">
        <x:v>缺核对明细，无法重建预付；原预付仅按基础表保留。</x:v>
      </x:c>
      <x:c r="F15" s="43"/>
      <x:c r="G15" s="43"/>
      <x:c r="H15" s="26" t="str">
        <x:v>缺原始核对明细，无法拆分。</x:v>
      </x:c>
      <x:c r="I15" s="43"/>
      <x:c r="J15" s="43" t="n">
        <x:v>89.584</x:v>
      </x:c>
      <x:c r="K15" s="43" t="n">
        <x:f>J15-D15</x:f>
        <x:v>70.464</x:v>
      </x:c>
      <x:c r="L15" s="26" t="str">
        <x:v>核对表无唯一匹配费用明细，无法确认差距原因；需补原始FedEx账单。</x:v>
      </x:c>
      <x:c r="M15" s="26" t="str">
        <x:v>缺核对明细，原因未确认</x:v>
      </x:c>
      <x:c r="N15" s="26"/>
      <x:c r="O15" s="26"/>
      <x:c r="P15" s="31"/>
      <x:c r="Q15" s="31"/>
      <x:c r="R15" s="26"/>
      <x:c r="S15" s="26"/>
      <x:c r="T15" s="43"/>
      <x:c r="U15" s="43"/>
      <x:c r="V15" s="43"/>
      <x:c r="W15" s="43"/>
      <x:c r="X15" s="44"/>
      <x:c r="Y15" s="26"/>
      <x:c r="Z15" s="26"/>
      <x:c r="AA15" s="26"/>
      <x:c r="AB15" s="26"/>
      <x:c r="AC15" s="43"/>
    </x:row>
    <x:row r="16" ht="135" customHeight="1">
      <x:c r="A16" s="26" t="n">
        <x:v>15</x:v>
      </x:c>
      <x:c r="B16" s="26" t="str">
        <x:v>873757186200</x:v>
      </x:c>
      <x:c r="C16" s="26" t="str">
        <x:v>EL200V2</x:v>
      </x:c>
      <x:c r="D16" s="43" t="n">
        <x:v>59.37</x:v>
      </x:c>
      <x:c r="E16" s="26" t="str">
        <x:v>反推假设：64lb、Zone2（账单Zone8）。
标准运费32.93×61%≈20.09
＋假设折后附加费23.00
＋燃油(20.09＋23.00)×25.25%≈10.88
＝预估承运成本53.97
按既有收费规则折算→预付59.37；与原预付差+0.00。</x:v>
      </x:c>
      <x:c r="F16" s="43" t="n">
        <x:v>59.37</x:v>
      </x:c>
      <x:c r="G16" s="43" t="n">
        <x:f>F16-D16</x:f>
        <x:v>0</x:v>
      </x:c>
      <x:c r="H16" s="26" t="str">
        <x:v>运输费95.40
−折扣37.21
＋Add'l Handling-Weight 29.37
＋燃油22.11
＝承运净额109.67
账单实收120.637（按既有收费规则）</x:v>
      </x:c>
      <x:c r="I16" s="43" t="n">
        <x:v>109.67</x:v>
      </x:c>
      <x:c r="J16" s="43" t="n">
        <x:v>120.637</x:v>
      </x:c>
      <x:c r="K16" s="43" t="n">
        <x:f>J16-D16</x:f>
        <x:v>61.267</x:v>
      </x:c>
      <x:c r="L16" s="26" t="str">
        <x:v>实际重量不高于预估，不能用增重解释差额。
预付反推Zone2，最终Zone8；不代表分区错误，需查原邮编与合同。</x:v>
      </x:c>
      <x:c r="M16" s="26" t="str">
        <x:v>账单已对账；预付试算接近（差≤0.15）</x:v>
      </x:c>
      <x:c r="N16" s="26" t="str">
        <x:v>20260701</x:v>
      </x:c>
      <x:c r="O16" s="26" t="n">
        <x:v>8</x:v>
      </x:c>
      <x:c r="P16" s="31" t="n">
        <x:v>63.88996358117752</x:v>
      </x:c>
      <x:c r="Q16" s="31" t="n">
        <x:v>56.8</x:v>
      </x:c>
      <x:c r="R16" s="26" t="n">
        <x:v>57</x:v>
      </x:c>
      <x:c r="S16" s="26" t="n">
        <x:v>166</x:v>
      </x:c>
      <x:c r="T16" s="43" t="n">
        <x:v>95.4</x:v>
      </x:c>
      <x:c r="U16" s="43" t="n">
        <x:v>-37.21</x:v>
      </x:c>
      <x:c r="V16" s="43" t="n">
        <x:v>29.37</x:v>
      </x:c>
      <x:c r="W16" s="43" t="n">
        <x:v>22.11</x:v>
      </x:c>
      <x:c r="X16" s="44" t="n">
        <x:v>0.2525</x:v>
      </x:c>
      <x:c r="Y16" s="30" t="b">
        <x:v>0</x:v>
      </x:c>
      <x:c r="Z16" s="26" t="n">
        <x:v>2</x:v>
      </x:c>
      <x:c r="AA16" s="26" t="n">
        <x:v>64</x:v>
      </x:c>
      <x:c r="AB16" s="26" t="n">
        <x:v>264</x:v>
      </x:c>
      <x:c r="AC16" s="43" t="n">
        <x:v>125.25</x:v>
      </x:c>
    </x:row>
    <x:row r="17" ht="135" customHeight="1">
      <x:c r="A17" s="26" t="n">
        <x:v>16</x:v>
      </x:c>
      <x:c r="B17" s="26" t="str">
        <x:v>874206087834</x:v>
      </x:c>
      <x:c r="C17" s="26" t="str">
        <x:v>EL100V2</x:v>
      </x:c>
      <x:c r="D17" s="43" t="n">
        <x:v>37.47</x:v>
      </x:c>
      <x:c r="E17" s="26" t="str">
        <x:v>反推假设：29lb、Zone6（账单Zone6）。
标准运费44.68×61%≈27.25
＋假设折后附加费0.00
＋燃油(27.25＋0.00)×25.00%≈6.81
＝预估承运成本34.06
按既有收费规则折算→预付37.47；与原预付差+0.00。</x:v>
      </x:c>
      <x:c r="F17" s="43" t="n">
        <x:v>37.47</x:v>
      </x:c>
      <x:c r="G17" s="43" t="n">
        <x:f>F17-D17</x:f>
        <x:v>0</x:v>
      </x:c>
      <x:c r="H17" s="26" t="str">
        <x:v>运输费67.73
＋燃油16.93
＝承运净额84.66
账单实收93.126（按既有收费规则）</x:v>
      </x:c>
      <x:c r="I17" s="43" t="n">
        <x:v>84.66</x:v>
      </x:c>
      <x:c r="J17" s="43" t="n">
        <x:v>93.126</x:v>
      </x:c>
      <x:c r="K17" s="43" t="n">
        <x:f>J17-D17</x:f>
        <x:v>55.656000000000006</x:v>
      </x:c>
      <x:c r="L17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</x:v>
      </x:c>
      <x:c r="M17" s="26" t="str">
        <x:v>账单已对账；预付试算接近（差≤0.15）</x:v>
      </x:c>
      <x:c r="N17" s="26" t="str">
        <x:v>20260713</x:v>
      </x:c>
      <x:c r="O17" s="26" t="n">
        <x:v>6</x:v>
      </x:c>
      <x:c r="P17" s="31" t="n">
        <x:v>28.660094084034085</x:v>
      </x:c>
      <x:c r="Q17" s="31" t="n">
        <x:v>27.6</x:v>
      </x:c>
      <x:c r="R17" s="26" t="n">
        <x:v>28</x:v>
      </x:c>
      <x:c r="S17" s="26" t="n">
        <x:v>139</x:v>
      </x:c>
      <x:c r="T17" s="43" t="n">
        <x:v>67.73</x:v>
      </x:c>
      <x:c r="U17" s="43" t="n">
        <x:v>0</x:v>
      </x:c>
      <x:c r="V17" s="43" t="n">
        <x:v>0</x:v>
      </x:c>
      <x:c r="W17" s="43" t="n">
        <x:v>16.93</x:v>
      </x:c>
      <x:c r="X17" s="44" t="n">
        <x:v>0.25</x:v>
      </x:c>
      <x:c r="Y17" s="30" t="b">
        <x:v>1</x:v>
      </x:c>
      <x:c r="Z17" s="26" t="n">
        <x:v>6</x:v>
      </x:c>
      <x:c r="AA17" s="26" t="n">
        <x:v>29</x:v>
      </x:c>
      <x:c r="AB17" s="26" t="n">
        <x:v>408</x:v>
      </x:c>
      <x:c r="AC17" s="43" t="n">
        <x:v>37.47</x:v>
      </x:c>
    </x:row>
    <x:row r="18" ht="135" customHeight="1">
      <x:c r="A18" s="26" t="n">
        <x:v>17</x:v>
      </x:c>
      <x:c r="B18" s="26" t="str">
        <x:v>873066802429</x:v>
      </x:c>
      <x:c r="C18" s="26" t="str">
        <x:v>AC200L</x:v>
      </x:c>
      <x:c r="D18" s="43" t="n">
        <x:v>19.51</x:v>
      </x:c>
      <x:c r="E18" s="26" t="str">
        <x:v>反推假设：23lb、Zone3（账单Zone3）。
标准运费23.07×61%≈14.07
＋假设折后附加费0.00
＋燃油(14.07＋0.00)×26.00%≈3.66
＝预估承运成本17.73
按既有收费规则折算→预付19.50；与原预付差-0.01。</x:v>
      </x:c>
      <x:c r="F18" s="43" t="n">
        <x:v>19.5</x:v>
      </x:c>
      <x:c r="G18" s="43" t="n">
        <x:f>F18-D18</x:f>
        <x:v>-0.010000000000001563</x:v>
      </x:c>
      <x:c r="H18" s="26" t="str">
        <x:v>运输费42.82
−折扣16.70
＋Add'l Handling-Weight 25.12
＋燃油13.32
＝承运净额64.56
账单实收71.016（按既有收费规则）</x:v>
      </x:c>
      <x:c r="I18" s="43" t="n">
        <x:v>64.56</x:v>
      </x:c>
      <x:c r="J18" s="43" t="n">
        <x:v>71.016</x:v>
      </x:c>
      <x:c r="K18" s="43" t="n">
        <x:f>J18-D18</x:f>
        <x:v>51.506</x:v>
      </x:c>
      <x:c r="L18" s="26" t="str">
        <x:v>预估未超过50lb、实际超过50lb，触发重量附加费。
实际比预估重42.71lb，需核对称重与申报。</x:v>
      </x:c>
      <x:c r="M18" s="26" t="str">
        <x:v>账单已对账；预付试算接近（差≤0.15）</x:v>
      </x:c>
      <x:c r="N18" s="26" t="str">
        <x:v>20260616</x:v>
      </x:c>
      <x:c r="O18" s="26" t="n">
        <x:v>3</x:v>
      </x:c>
      <x:c r="P18" s="31" t="n">
        <x:v>22.99421394588273</x:v>
      </x:c>
      <x:c r="Q18" s="31" t="n">
        <x:v>65.7</x:v>
      </x:c>
      <x:c r="R18" s="26" t="n">
        <x:v>66</x:v>
      </x:c>
      <x:c r="S18" s="26" t="n">
        <x:v>166</x:v>
      </x:c>
      <x:c r="T18" s="43" t="n">
        <x:v>42.82</x:v>
      </x:c>
      <x:c r="U18" s="43" t="n">
        <x:v>-16.7</x:v>
      </x:c>
      <x:c r="V18" s="43" t="n">
        <x:v>25.12</x:v>
      </x:c>
      <x:c r="W18" s="43" t="n">
        <x:v>13.32</x:v>
      </x:c>
      <x:c r="X18" s="44" t="n">
        <x:v>0.26</x:v>
      </x:c>
      <x:c r="Y18" s="30" t="b">
        <x:v>0</x:v>
      </x:c>
      <x:c r="Z18" s="26" t="n">
        <x:v>3</x:v>
      </x:c>
      <x:c r="AA18" s="26" t="n">
        <x:v>23</x:v>
      </x:c>
      <x:c r="AB18" s="26" t="n">
        <x:v>4</x:v>
      </x:c>
      <x:c r="AC18" s="43" t="n">
        <x:v>19.5</x:v>
      </x:c>
    </x:row>
    <x:row r="19" ht="135" customHeight="1">
      <x:c r="A19" s="26" t="n">
        <x:v>18</x:v>
      </x:c>
      <x:c r="B19" s="26" t="str">
        <x:v>873550710598</x:v>
      </x:c>
      <x:c r="C19" s="26" t="str">
        <x:v>EL200</x:v>
      </x:c>
      <x:c r="D19" s="43" t="n">
        <x:v>60.52</x:v>
      </x:c>
      <x:c r="E19" s="26" t="str">
        <x:v>反推假设：43lb、Zone7（账单Zone7）。
标准运费71.87×61%≈43.84
＋假设折后附加费0.00
＋燃油(43.84＋0.00)×25.50%≈11.18
＝预估承运成本55.02
按既有收费规则折算→预付60.52；与原预付差+0.00。</x:v>
      </x:c>
      <x:c r="F19" s="43" t="n">
        <x:v>60.52</x:v>
      </x:c>
      <x:c r="G19" s="43" t="n">
        <x:f>F19-D19</x:f>
        <x:v>0</x:v>
      </x:c>
      <x:c r="H19" s="26" t="str">
        <x:v>运输费84.61
−折扣33.00
＋Add'l Handling-Weight 29.37
＋燃油20.65
＝承运净额101.63
账单实收111.793（按既有收费规则）</x:v>
      </x:c>
      <x:c r="I19" s="43" t="n">
        <x:v>101.63</x:v>
      </x:c>
      <x:c r="J19" s="43" t="n">
        <x:v>111.793</x:v>
      </x:c>
      <x:c r="K19" s="43" t="n">
        <x:f>J19-D19</x:f>
        <x:v>51.273</x:v>
      </x:c>
      <x:c r="L19" s="26" t="str">
        <x:v>预估未超过50lb、实际超过50lb，触发重量附加费。
实际比预估重20.11lb，需核对称重与申报。</x:v>
      </x:c>
      <x:c r="M19" s="26" t="str">
        <x:v>账单已对账；预付试算接近（差≤0.15）</x:v>
      </x:c>
      <x:c r="N19" s="26" t="str">
        <x:v>20260625</x:v>
      </x:c>
      <x:c r="O19" s="26" t="n">
        <x:v>7</x:v>
      </x:c>
      <x:c r="P19" s="31" t="n">
        <x:v>42.99014112605113</x:v>
      </x:c>
      <x:c r="Q19" s="31" t="n">
        <x:v>63.1</x:v>
      </x:c>
      <x:c r="R19" s="26" t="n">
        <x:v>64</x:v>
      </x:c>
      <x:c r="S19" s="26" t="n">
        <x:v>166</x:v>
      </x:c>
      <x:c r="T19" s="43" t="n">
        <x:v>84.61</x:v>
      </x:c>
      <x:c r="U19" s="43" t="n">
        <x:v>-33</x:v>
      </x:c>
      <x:c r="V19" s="43" t="n">
        <x:v>29.37</x:v>
      </x:c>
      <x:c r="W19" s="43" t="n">
        <x:v>20.65</x:v>
      </x:c>
      <x:c r="X19" s="44" t="n">
        <x:v>0.255</x:v>
      </x:c>
      <x:c r="Y19" s="30" t="b">
        <x:v>0</x:v>
      </x:c>
      <x:c r="Z19" s="26" t="n">
        <x:v>7</x:v>
      </x:c>
      <x:c r="AA19" s="26" t="n">
        <x:v>43</x:v>
      </x:c>
      <x:c r="AB19" s="26" t="n">
        <x:v>174</x:v>
      </x:c>
      <x:c r="AC19" s="43" t="n">
        <x:v>60.52</x:v>
      </x:c>
    </x:row>
    <x:row r="20" ht="135" customHeight="1">
      <x:c r="A20" s="26" t="n">
        <x:v>19</x:v>
      </x:c>
      <x:c r="B20" s="26" t="str">
        <x:v>873867357360</x:v>
      </x:c>
      <x:c r="C20" s="26" t="str">
        <x:v>EL400</x:v>
      </x:c>
      <x:c r="D20" s="43" t="n">
        <x:v>87.96</x:v>
      </x:c>
      <x:c r="E20" s="26" t="str">
        <x:v>反推假设：89lb、Zone3（账单Zone8）。
标准运费63.49×61%≈38.73
＋假设折后附加费25.13
＋燃油(38.73＋25.13)×25.25%≈16.12
＝预估承运成本79.98
按既有收费规则折算→预付87.98；与原预付差+0.02。</x:v>
      </x:c>
      <x:c r="F20" s="43" t="n">
        <x:v>87.98</x:v>
      </x:c>
      <x:c r="G20" s="43" t="n">
        <x:f>F20-D20</x:f>
        <x:v>0.020000000000010232</x:v>
      </x:c>
      <x:c r="H20" s="26" t="str">
        <x:v>运输费117.21
−折扣45.71
＋Add'l Handling-Weight 29.37
＋燃油25.47
＝承运净额126.34
账单实收138.974（按既有收费规则）</x:v>
      </x:c>
      <x:c r="I20" s="43" t="n">
        <x:v>126.34</x:v>
      </x:c>
      <x:c r="J20" s="43" t="n">
        <x:v>138.974</x:v>
      </x:c>
      <x:c r="K20" s="43" t="n">
        <x:f>J20-D20</x:f>
        <x:v>51.013999999999996</x:v>
      </x:c>
      <x:c r="L20" s="26" t="str">
        <x:v>预付反推Zone3，最终Zone8；不代表分区错误，需查原邮编与合同。</x:v>
      </x:c>
      <x:c r="M20" s="26" t="str">
        <x:v>账单已对账；预付试算接近（差≤0.15）</x:v>
      </x:c>
      <x:c r="N20" s="26" t="str">
        <x:v>20260702</x:v>
      </x:c>
      <x:c r="O20" s="26" t="n">
        <x:v>8</x:v>
      </x:c>
      <x:c r="P20" s="31" t="n">
        <x:v>88.18490487395103</x:v>
      </x:c>
      <x:c r="Q20" s="31"/>
      <x:c r="R20" s="26" t="n">
        <x:v>89</x:v>
      </x:c>
      <x:c r="S20" s="26" t="n">
        <x:v>166</x:v>
      </x:c>
      <x:c r="T20" s="43" t="n">
        <x:v>117.21</x:v>
      </x:c>
      <x:c r="U20" s="43" t="n">
        <x:v>-45.71</x:v>
      </x:c>
      <x:c r="V20" s="43" t="n">
        <x:v>29.37</x:v>
      </x:c>
      <x:c r="W20" s="43" t="n">
        <x:v>25.47</x:v>
      </x:c>
      <x:c r="X20" s="44" t="n">
        <x:v>0.2525</x:v>
      </x:c>
      <x:c r="Y20" s="30" t="b">
        <x:v>0</x:v>
      </x:c>
      <x:c r="Z20" s="26" t="n">
        <x:v>3</x:v>
      </x:c>
      <x:c r="AA20" s="26" t="n">
        <x:v>89</x:v>
      </x:c>
      <x:c r="AB20" s="26" t="n">
        <x:v>247</x:v>
      </x:c>
      <x:c r="AC20" s="43" t="n">
        <x:v>138.99</x:v>
      </x:c>
    </x:row>
    <x:row r="21" ht="135" customHeight="1">
      <x:c r="A21" s="26" t="n">
        <x:v>20</x:v>
      </x:c>
      <x:c r="B21" s="26" t="str">
        <x:v>874146533931</x:v>
      </x:c>
      <x:c r="C21" s="26" t="str">
        <x:v>EL100V2</x:v>
      </x:c>
      <x:c r="D21" s="43" t="n">
        <x:v>26.2</x:v>
      </x:c>
      <x:c r="E21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1" s="43" t="n">
        <x:v>26.19</x:v>
      </x:c>
      <x:c r="G21" s="43" t="n">
        <x:f>F21-D21</x:f>
        <x:v>-0.00999999999999801</x:v>
      </x:c>
      <x:c r="H21" s="26" t="str">
        <x:v>运输费55.80
＋燃油13.95
＝承运净额69.75
账单实收76.725（按既有收费规则）</x:v>
      </x:c>
      <x:c r="I21" s="43" t="n">
        <x:v>69.75</x:v>
      </x:c>
      <x:c r="J21" s="43" t="n">
        <x:v>76.725</x:v>
      </x:c>
      <x:c r="K21" s="43" t="n">
        <x:f>J21-D21</x:f>
        <x:v>50.52499999999999</x:v>
      </x:c>
      <x:c r="L21" s="26" t="str">
        <x:v>7月13日批次：无折扣行、体积重除数139，需查账户/渠道及折扣。
运输费吻合公开零售价；该价表注明已含燃油，另列燃油是否重复计入需原发票核验。</x:v>
      </x:c>
      <x:c r="M21" s="26" t="str">
        <x:v>账单已对账；预付试算接近（差≤0.15）</x:v>
      </x:c>
      <x:c r="N21" s="26" t="str">
        <x:v>20260713</x:v>
      </x:c>
      <x:c r="O21" s="26" t="n">
        <x:v>5</x:v>
      </x:c>
      <x:c r="P21" s="31" t="n">
        <x:v>25.000420531765116</x:v>
      </x:c>
      <x:c r="Q21" s="31" t="n">
        <x:v>29</x:v>
      </x:c>
      <x:c r="R21" s="26" t="n">
        <x:v>30</x:v>
      </x:c>
      <x:c r="S21" s="26" t="n">
        <x:v>139</x:v>
      </x:c>
      <x:c r="T21" s="43" t="n">
        <x:v>55.8</x:v>
      </x:c>
      <x:c r="U21" s="43" t="n">
        <x:v>0</x:v>
      </x:c>
      <x:c r="V21" s="43" t="n">
        <x:v>0</x:v>
      </x:c>
      <x:c r="W21" s="43" t="n">
        <x:v>13.95</x:v>
      </x:c>
      <x:c r="X21" s="44" t="n">
        <x:v>0.25</x:v>
      </x:c>
      <x:c r="Y21" s="30" t="b">
        <x:v>1</x:v>
      </x:c>
      <x:c r="Z21" s="26" t="n">
        <x:v>5</x:v>
      </x:c>
      <x:c r="AA21" s="26" t="n">
        <x:v>25</x:v>
      </x:c>
      <x:c r="AB21" s="26" t="n">
        <x:v>405</x:v>
      </x:c>
      <x:c r="AC21" s="43" t="n">
        <x:v>26.19</x:v>
      </x:c>
    </x:row>
    <x:row r="22" ht="135" customHeight="1">
      <x:c r="A22" s="26" t="n">
        <x:v>21</x:v>
      </x:c>
      <x:c r="B22" s="26" t="str">
        <x:v>874207551259</x:v>
      </x:c>
      <x:c r="C22" s="26" t="str">
        <x:v>AC70</x:v>
      </x:c>
      <x:c r="D22" s="43" t="n">
        <x:v>23.61</x:v>
      </x:c>
      <x:c r="E22" s="26" t="str">
        <x:v>反推假设：18lb、Zone6（账单Zone5）。
标准运费30.05×61%≈18.33
＋假设折后附加费0.00
＋燃油(18.33＋0.00)×25.00%≈4.58
＝预估承运成本22.91
按既有收费规则折算→预付25.20；与原预付差+1.59。</x:v>
      </x:c>
      <x:c r="F22" s="43" t="n">
        <x:v>25.2</x:v>
      </x:c>
      <x:c r="G22" s="43" t="n">
        <x:f>F22-D22</x:f>
        <x:v>1.5899999999999999</x:v>
      </x:c>
      <x:c r="H22" s="26" t="str">
        <x:v>运输费52.88
＋燃油13.22
＝承运净额66.10
账单实收72.710（按既有收费规则）</x:v>
      </x:c>
      <x:c r="I22" s="43" t="n">
        <x:v>66.1</x:v>
      </x:c>
      <x:c r="J22" s="43" t="n">
        <x:v>72.71</x:v>
      </x:c>
      <x:c r="K22" s="43" t="n">
        <x:f>J22-D22</x:f>
        <x:v>49.099999999999994</x:v>
      </x:c>
      <x:c r="L22" s="26" t="str">
        <x:v>7月13日批次：无折扣行、体积重除数139，需查账户/渠道及折扣。
运输费吻合公开零售价；该价表注明已含燃油，另列燃油是否重复计入需原发票核验。
实际比预估重9.21lb，需核对称重与申报。
预付反推Zone6，最终Zone5；不代表分区错误，需查原邮编与合同。
试算偏差较大：缺原始报价/折扣/尺寸，不能强行归因。</x:v>
      </x:c>
      <x:c r="M22" s="26" t="str">
        <x:v>账单已对账；现有假设未还原预付</x:v>
      </x:c>
      <x:c r="N22" s="26" t="str">
        <x:v>20260713</x:v>
      </x:c>
      <x:c r="O22" s="26" t="n">
        <x:v>5</x:v>
      </x:c>
      <x:c r="P22" s="31" t="n">
        <x:v>17.98972059428601</x:v>
      </x:c>
      <x:c r="Q22" s="31" t="n">
        <x:v>27.2</x:v>
      </x:c>
      <x:c r="R22" s="26" t="n">
        <x:v>28</x:v>
      </x:c>
      <x:c r="S22" s="26" t="n">
        <x:v>139</x:v>
      </x:c>
      <x:c r="T22" s="43" t="n">
        <x:v>52.88</x:v>
      </x:c>
      <x:c r="U22" s="43" t="n">
        <x:v>0</x:v>
      </x:c>
      <x:c r="V22" s="43" t="n">
        <x:v>0</x:v>
      </x:c>
      <x:c r="W22" s="43" t="n">
        <x:v>13.22</x:v>
      </x:c>
      <x:c r="X22" s="44" t="n">
        <x:v>0.25</x:v>
      </x:c>
      <x:c r="Y22" s="30" t="b">
        <x:v>1</x:v>
      </x:c>
      <x:c r="Z22" s="26" t="n">
        <x:v>6</x:v>
      </x:c>
      <x:c r="AA22" s="26" t="n">
        <x:v>18</x:v>
      </x:c>
      <x:c r="AB22" s="26" t="n">
        <x:v>411</x:v>
      </x:c>
      <x:c r="AC22" s="43" t="n">
        <x:v>21.16</x:v>
      </x:c>
    </x:row>
    <x:row r="23" ht="135" customHeight="1">
      <x:c r="A23" s="26" t="n">
        <x:v>22</x:v>
      </x:c>
      <x:c r="B23" s="26" t="str">
        <x:v>873910359390</x:v>
      </x:c>
      <x:c r="C23" s="26" t="str">
        <x:v>EL100V2</x:v>
      </x:c>
      <x:c r="D23" s="43" t="n">
        <x:v>29.12</x:v>
      </x:c>
      <x:c r="E23" s="26" t="str">
        <x:v>反推假设：28lb、Zone5（账单Zone5）。
标准运费34.65×61%≈21.14
＋假设折后附加费0.00
＋燃油(21.14＋0.00)×25.00%≈5.29
＝预估承运成本26.43
按既有收费规则折算→预付29.07；与原预付差-0.05。</x:v>
      </x:c>
      <x:c r="F23" s="43" t="n">
        <x:v>29.07</x:v>
      </x:c>
      <x:c r="G23" s="43" t="n">
        <x:f>F23-D23</x:f>
        <x:v>-0.05000000000000071</x:v>
      </x:c>
      <x:c r="H23" s="26" t="str">
        <x:v>运输费55.80
＋燃油13.95
＝承运净额69.75
账单实收76.725（按既有收费规则）</x:v>
      </x:c>
      <x:c r="I23" s="43" t="n">
        <x:v>69.75</x:v>
      </x:c>
      <x:c r="J23" s="43" t="n">
        <x:v>76.725</x:v>
      </x:c>
      <x:c r="K23" s="43" t="n">
        <x:f>J23-D23</x:f>
        <x:v>47.60499999999999</x:v>
      </x:c>
      <x:c r="L23" s="26" t="str">
        <x:v>7月13日批次：无折扣行、体积重除数139，需查账户/渠道及折扣。
运输费吻合公开零售价；该价表注明已含燃油，另列燃油是否重复计入需原发票核验。</x:v>
      </x:c>
      <x:c r="M23" s="26" t="str">
        <x:v>账单已对账；预付试算接近（差≤0.15）</x:v>
      </x:c>
      <x:c r="N23" s="26" t="str">
        <x:v>20260713</x:v>
      </x:c>
      <x:c r="O23" s="26" t="n">
        <x:v>5</x:v>
      </x:c>
      <x:c r="P23" s="31" t="n">
        <x:v>27.182996927395404</x:v>
      </x:c>
      <x:c r="Q23" s="31" t="n">
        <x:v>29.7</x:v>
      </x:c>
      <x:c r="R23" s="26" t="n">
        <x:v>30</x:v>
      </x:c>
      <x:c r="S23" s="26" t="n">
        <x:v>139</x:v>
      </x:c>
      <x:c r="T23" s="43" t="n">
        <x:v>55.8</x:v>
      </x:c>
      <x:c r="U23" s="43" t="n">
        <x:v>0</x:v>
      </x:c>
      <x:c r="V23" s="43" t="n">
        <x:v>0</x:v>
      </x:c>
      <x:c r="W23" s="43" t="n">
        <x:v>13.95</x:v>
      </x:c>
      <x:c r="X23" s="44" t="n">
        <x:v>0.25</x:v>
      </x:c>
      <x:c r="Y23" s="30" t="b">
        <x:v>1</x:v>
      </x:c>
      <x:c r="Z23" s="26" t="n">
        <x:v>5</x:v>
      </x:c>
      <x:c r="AA23" s="26" t="n">
        <x:v>28</x:v>
      </x:c>
      <x:c r="AB23" s="26" t="n">
        <x:v>378</x:v>
      </x:c>
      <x:c r="AC23" s="43" t="n">
        <x:v>29.07</x:v>
      </x:c>
    </x:row>
    <x:row r="24" ht="135" customHeight="1">
      <x:c r="A24" s="26" t="n">
        <x:v>23</x:v>
      </x:c>
      <x:c r="B24" s="26" t="str">
        <x:v>873244180333</x:v>
      </x:c>
      <x:c r="C24" s="26" t="str">
        <x:v>EL200</x:v>
      </x:c>
      <x:c r="D24" s="43" t="n">
        <x:v>41.36</x:v>
      </x:c>
      <x:c r="E24" s="26" t="str">
        <x:v>反推假设：43lb、Zone5（账单Zone5）。
标准运费48.91×61%≈29.84
＋假设折后附加费0.00
＋燃油(29.84＋0.00)×25.25%≈7.53
＝预估承运成本37.37
按既有收费规则折算→预付41.11；与原预付差-0.25。</x:v>
      </x:c>
      <x:c r="F24" s="43" t="n">
        <x:v>41.11</x:v>
      </x:c>
      <x:c r="G24" s="43" t="n">
        <x:f>F24-D24</x:f>
        <x:v>-0.25</x:v>
      </x:c>
      <x:c r="H24" s="26" t="str">
        <x:v>运输费59.64
−折扣23.26
＋Add'l Handling-Weight 28.12
＋燃油16.29
＝承运净额80.79
账单实收88.869（按既有收费规则）</x:v>
      </x:c>
      <x:c r="I24" s="43" t="n">
        <x:v>80.79</x:v>
      </x:c>
      <x:c r="J24" s="43" t="n">
        <x:v>88.869</x:v>
      </x:c>
      <x:c r="K24" s="43" t="n">
        <x:f>J24-D24</x:f>
        <x:v>47.509</x:v>
      </x:c>
      <x:c r="L24" s="26" t="str">
        <x:v>预估未超过50lb、实际超过50lb，触发重量附加费。
实际比预估重19.61lb，需核对称重与申报。
试算偏差较大：缺原始报价/折扣/尺寸，不能强行归因。</x:v>
      </x:c>
      <x:c r="M24" s="26" t="str">
        <x:v>账单已对账；现有假设未还原预付</x:v>
      </x:c>
      <x:c r="N24" s="26" t="str">
        <x:v>20260701</x:v>
      </x:c>
      <x:c r="O24" s="26" t="n">
        <x:v>5</x:v>
      </x:c>
      <x:c r="P24" s="31" t="n">
        <x:v>42.99014112605113</x:v>
      </x:c>
      <x:c r="Q24" s="31" t="n">
        <x:v>62.6</x:v>
      </x:c>
      <x:c r="R24" s="26" t="n">
        <x:v>63</x:v>
      </x:c>
      <x:c r="S24" s="26" t="n">
        <x:v>166</x:v>
      </x:c>
      <x:c r="T24" s="43" t="n">
        <x:v>59.64</x:v>
      </x:c>
      <x:c r="U24" s="43" t="n">
        <x:v>-23.26</x:v>
      </x:c>
      <x:c r="V24" s="43" t="n">
        <x:v>28.12</x:v>
      </x:c>
      <x:c r="W24" s="43" t="n">
        <x:v>16.29</x:v>
      </x:c>
      <x:c r="X24" s="44" t="n">
        <x:v>0.2525</x:v>
      </x:c>
      <x:c r="Y24" s="30" t="b">
        <x:v>0</x:v>
      </x:c>
      <x:c r="Z24" s="26" t="n">
        <x:v>5</x:v>
      </x:c>
      <x:c r="AA24" s="26" t="n">
        <x:v>43</x:v>
      </x:c>
      <x:c r="AB24" s="26" t="n">
        <x:v>213</x:v>
      </x:c>
      <x:c r="AC24" s="43" t="n">
        <x:v>41.11</x:v>
      </x:c>
    </x:row>
    <x:row r="25" ht="135" customHeight="1">
      <x:c r="A25" s="26" t="n">
        <x:v>24</x:v>
      </x:c>
      <x:c r="B25" s="26" t="str">
        <x:v>873109426400</x:v>
      </x:c>
      <x:c r="C25" s="26"/>
      <x:c r="D25" s="43" t="n">
        <x:v>31.75</x:v>
      </x:c>
      <x:c r="E25" s="26" t="str">
        <x:v>反推假设：7lb、Zone8（账单Zone7）。
标准运费22.51×61%≈13.73
＋假设折后附加费0.00
＋燃油(13.73＋0.00)×26.00%≈3.57
＝预估承运成本17.30
按既有收费规则折算→预付19.03；与原预付差-12.72。</x:v>
      </x:c>
      <x:c r="F25" s="43" t="n">
        <x:v>19.03</x:v>
      </x:c>
      <x:c r="G25" s="43" t="n">
        <x:f>F25-D25</x:f>
        <x:v>-12.719999999999999</x:v>
      </x:c>
      <x:c r="H25" s="26" t="str">
        <x:v>运输费29.04
−折扣7.84
＋Address Correction 25.50
＋Residential Delivery 3.22
＋燃油12.98
＝承运净额62.90
账单实收75.480（按既有收费规则）</x:v>
      </x:c>
      <x:c r="I25" s="43" t="n">
        <x:v>62.9</x:v>
      </x:c>
      <x:c r="J25" s="43" t="n">
        <x:v>75.48</x:v>
      </x:c>
      <x:c r="K25" s="43" t="n">
        <x:f>J25-D25</x:f>
        <x:v>43.730000000000004</x:v>
      </x:c>
      <x:c r="L25" s="26" t="str">
        <x:v>核对明细列有住宅派送费3.22美元；是否在预付中漏估须原始报价确认。
核对明细列有地址更正费25.50美元；是否在预付中漏估须原始报价确认。
实际比预估重5.51lb，需核对称重与申报。
预付反推Zone8，最终Zone7；不代表分区错误，需查原邮编与合同。
试算偏差较大：缺原始报价/折扣/尺寸，不能强行归因。</x:v>
      </x:c>
      <x:c r="M25" s="26" t="str">
        <x:v>账单已对账；现有假设未还原预付</x:v>
      </x:c>
      <x:c r="N25" s="26" t="str">
        <x:v>20260616</x:v>
      </x:c>
      <x:c r="O25" s="26" t="n">
        <x:v>7</x:v>
      </x:c>
      <x:c r="P25" s="31" t="n">
        <x:v>6.988653711260619</x:v>
      </x:c>
      <x:c r="Q25" s="31" t="n">
        <x:v>12.5</x:v>
      </x:c>
      <x:c r="R25" s="26" t="n">
        <x:v>13</x:v>
      </x:c>
      <x:c r="S25" s="26" t="n">
        <x:v>166</x:v>
      </x:c>
      <x:c r="T25" s="43" t="n">
        <x:v>29.04</x:v>
      </x:c>
      <x:c r="U25" s="43" t="n">
        <x:v>-7.84</x:v>
      </x:c>
      <x:c r="V25" s="43" t="n">
        <x:v>28.72</x:v>
      </x:c>
      <x:c r="W25" s="43" t="n">
        <x:v>12.98</x:v>
      </x:c>
      <x:c r="X25" s="44" t="n">
        <x:v>0.26</x:v>
      </x:c>
      <x:c r="Y25" s="30" t="b">
        <x:v>0</x:v>
      </x:c>
      <x:c r="Z25" s="26" t="n">
        <x:v>8</x:v>
      </x:c>
      <x:c r="AA25" s="26" t="n">
        <x:v>7</x:v>
      </x:c>
      <x:c r="AB25" s="26" t="n">
        <x:v>36</x:v>
      </x:c>
      <x:c r="AC25" s="43" t="n">
        <x:v>17.79</x:v>
      </x:c>
    </x:row>
    <x:row r="26" ht="135" customHeight="1">
      <x:c r="A26" s="26" t="n">
        <x:v>25</x:v>
      </x:c>
      <x:c r="B26" s="26" t="str">
        <x:v>875028998897</x:v>
      </x:c>
      <x:c r="C26" s="26" t="str">
        <x:v>Elite 200 V2</x:v>
      </x:c>
      <x:c r="D26" s="43" t="n">
        <x:v>55.87</x:v>
      </x:c>
      <x:c r="E26" s="26" t="str">
        <x:v>缺核对明细，无法重建预付；原预付仅按基础表保留。</x:v>
      </x:c>
      <x:c r="F26" s="43"/>
      <x:c r="G26" s="43"/>
      <x:c r="H26" s="26" t="str">
        <x:v>缺原始核对明细，无法拆分。</x:v>
      </x:c>
      <x:c r="I26" s="43"/>
      <x:c r="J26" s="43" t="n">
        <x:v>99.539</x:v>
      </x:c>
      <x:c r="K26" s="43" t="n">
        <x:f>J26-D26</x:f>
        <x:v>43.669000000000004</x:v>
      </x:c>
      <x:c r="L26" s="26" t="str">
        <x:v>核对表无唯一匹配费用明细，无法确认差距原因；需补原始FedEx账单。</x:v>
      </x:c>
      <x:c r="M26" s="26" t="str">
        <x:v>缺核对明细，原因未确认</x:v>
      </x:c>
      <x:c r="N26" s="26"/>
      <x:c r="O26" s="26"/>
      <x:c r="P26" s="31"/>
      <x:c r="Q26" s="31"/>
      <x:c r="R26" s="26"/>
      <x:c r="S26" s="26"/>
      <x:c r="T26" s="43"/>
      <x:c r="U26" s="43"/>
      <x:c r="V26" s="43"/>
      <x:c r="W26" s="43"/>
      <x:c r="X26" s="44"/>
      <x:c r="Y26" s="26"/>
      <x:c r="Z26" s="26"/>
      <x:c r="AA26" s="26"/>
      <x:c r="AB26" s="26"/>
      <x:c r="AC26" s="43"/>
    </x:row>
    <x:row r="27" ht="135" customHeight="1">
      <x:c r="A27" s="26" t="n">
        <x:v>26</x:v>
      </x:c>
      <x:c r="B27" s="26" t="str">
        <x:v>875130751304</x:v>
      </x:c>
      <x:c r="C27" s="26" t="str">
        <x:v>FRPOWER</x:v>
      </x:c>
      <x:c r="D27" s="43" t="n">
        <x:v>42.02</x:v>
      </x:c>
      <x:c r="E27" s="26" t="str">
        <x:v>缺核对明细，无法重建预付；原预付仅按基础表保留。</x:v>
      </x:c>
      <x:c r="F27" s="43"/>
      <x:c r="G27" s="43"/>
      <x:c r="H27" s="26" t="str">
        <x:v>缺原始核对明细，无法拆分。</x:v>
      </x:c>
      <x:c r="I27" s="43"/>
      <x:c r="J27" s="43" t="n">
        <x:v>84.403</x:v>
      </x:c>
      <x:c r="K27" s="43" t="n">
        <x:f>J27-D27</x:f>
        <x:v>42.383</x:v>
      </x:c>
      <x:c r="L27" s="26" t="str">
        <x:v>核对表无唯一匹配费用明细，无法确认差距原因；需补原始FedEx账单。</x:v>
      </x:c>
      <x:c r="M27" s="26" t="str">
        <x:v>缺核对明细，原因未确认</x:v>
      </x:c>
      <x:c r="N27" s="26"/>
      <x:c r="O27" s="26"/>
      <x:c r="P27" s="31"/>
      <x:c r="Q27" s="31"/>
      <x:c r="R27" s="26"/>
      <x:c r="S27" s="26"/>
      <x:c r="T27" s="43"/>
      <x:c r="U27" s="43"/>
      <x:c r="V27" s="43"/>
      <x:c r="W27" s="43"/>
      <x:c r="X27" s="44"/>
      <x:c r="Y27" s="26"/>
      <x:c r="Z27" s="26"/>
      <x:c r="AA27" s="26"/>
      <x:c r="AB27" s="26"/>
      <x:c r="AC27" s="43"/>
    </x:row>
    <x:row r="28" ht="135" customHeight="1">
      <x:c r="A28" s="26" t="n">
        <x:v>27</x:v>
      </x:c>
      <x:c r="B28" s="26" t="str">
        <x:v>875134297499</x:v>
      </x:c>
      <x:c r="C28" s="26" t="str">
        <x:v>FRPOWER</x:v>
      </x:c>
      <x:c r="D28" s="43" t="n">
        <x:v>42.01</x:v>
      </x:c>
      <x:c r="E28" s="26" t="str">
        <x:v>缺核对明细，无法重建预付；原预付仅按基础表保留。</x:v>
      </x:c>
      <x:c r="F28" s="43"/>
      <x:c r="G28" s="43"/>
      <x:c r="H28" s="26" t="str">
        <x:v>缺原始核对明细，无法拆分。</x:v>
      </x:c>
      <x:c r="I28" s="43"/>
      <x:c r="J28" s="43" t="n">
        <x:v>84.381</x:v>
      </x:c>
      <x:c r="K28" s="43" t="n">
        <x:f>J28-D28</x:f>
        <x:v>42.371</x:v>
      </x:c>
      <x:c r="L28" s="26" t="str">
        <x:v>核对表无唯一匹配费用明细，无法确认差距原因；需补原始FedEx账单。</x:v>
      </x:c>
      <x:c r="M28" s="26" t="str">
        <x:v>缺核对明细，原因未确认</x:v>
      </x:c>
      <x:c r="N28" s="26"/>
      <x:c r="O28" s="26"/>
      <x:c r="P28" s="31"/>
      <x:c r="Q28" s="31"/>
      <x:c r="R28" s="26"/>
      <x:c r="S28" s="26"/>
      <x:c r="T28" s="43"/>
      <x:c r="U28" s="43"/>
      <x:c r="V28" s="43"/>
      <x:c r="W28" s="43"/>
      <x:c r="X28" s="44"/>
      <x:c r="Y28" s="26"/>
      <x:c r="Z28" s="26"/>
      <x:c r="AA28" s="26"/>
      <x:c r="AB28" s="26"/>
      <x:c r="AC28" s="43"/>
    </x:row>
    <x:row r="29" ht="135" customHeight="1">
      <x:c r="A29" s="26" t="n">
        <x:v>28</x:v>
      </x:c>
      <x:c r="B29" s="26" t="str">
        <x:v>874765539780</x:v>
      </x:c>
      <x:c r="C29" s="26" t="str">
        <x:v>AC200L</x:v>
      </x:c>
      <x:c r="D29" s="43" t="n">
        <x:v>30.61</x:v>
      </x:c>
      <x:c r="E29" s="26" t="str">
        <x:v>缺核对明细，无法重建预付；原预付仅按基础表保留。</x:v>
      </x:c>
      <x:c r="F29" s="43"/>
      <x:c r="G29" s="43"/>
      <x:c r="H29" s="26" t="str">
        <x:v>缺原始核对明细，无法拆分。</x:v>
      </x:c>
      <x:c r="I29" s="43"/>
      <x:c r="J29" s="43" t="n">
        <x:v>72.809</x:v>
      </x:c>
      <x:c r="K29" s="43" t="n">
        <x:f>J29-D29</x:f>
        <x:v>42.199</x:v>
      </x:c>
      <x:c r="L29" s="26" t="str">
        <x:v>核对表无唯一匹配费用明细，无法确认差距原因；需补原始FedEx账单。</x:v>
      </x:c>
      <x:c r="M29" s="26" t="str">
        <x:v>缺核对明细，原因未确认</x:v>
      </x:c>
      <x:c r="N29" s="26"/>
      <x:c r="O29" s="26"/>
      <x:c r="P29" s="31"/>
      <x:c r="Q29" s="31"/>
      <x:c r="R29" s="26"/>
      <x:c r="S29" s="26"/>
      <x:c r="T29" s="43"/>
      <x:c r="U29" s="43"/>
      <x:c r="V29" s="43"/>
      <x:c r="W29" s="43"/>
      <x:c r="X29" s="44"/>
      <x:c r="Y29" s="26"/>
      <x:c r="Z29" s="26"/>
      <x:c r="AA29" s="26"/>
      <x:c r="AB29" s="26"/>
      <x:c r="AC29" s="43"/>
    </x:row>
    <x:row r="30" ht="135" customHeight="1">
      <x:c r="A30" s="26" t="n">
        <x:v>29</x:v>
      </x:c>
      <x:c r="B30" s="26" t="str">
        <x:v>873914785670</x:v>
      </x:c>
      <x:c r="C30" s="26" t="str">
        <x:v>EL100V2</x:v>
      </x:c>
      <x:c r="D30" s="43" t="n">
        <x:v>26.25</x:v>
      </x:c>
      <x:c r="E30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F30" s="43" t="n">
        <x:v>26.19</x:v>
      </x:c>
      <x:c r="G30" s="43" t="n">
        <x:f>F30-D30</x:f>
        <x:v>-0.05999999999999872</x:v>
      </x:c>
      <x:c r="H30" s="26" t="str">
        <x:v>运输费49.58
＋燃油12.40
＝承运净额61.98
账单实收68.178（按既有收费规则）</x:v>
      </x:c>
      <x:c r="I30" s="43" t="n">
        <x:v>61.98</x:v>
      </x:c>
      <x:c r="J30" s="43" t="n">
        <x:v>68.178</x:v>
      </x:c>
      <x:c r="K30" s="43" t="n">
        <x:f>J30-D30</x:f>
        <x:v>41.928</x:v>
      </x:c>
      <x:c r="L30" s="26" t="str">
        <x:v>7月13日批次：无折扣行、体积重除数139，需查账户/渠道及折扣。
运输费吻合公开零售价；该价表注明已含燃油，另列燃油是否重复计入需原发票核验。</x:v>
      </x:c>
      <x:c r="M30" s="26" t="str">
        <x:v>账单已对账；预付试算接近（差≤0.15）</x:v>
      </x:c>
      <x:c r="N30" s="26" t="str">
        <x:v>20260713</x:v>
      </x:c>
      <x:c r="O30" s="26" t="n">
        <x:v>5</x:v>
      </x:c>
      <x:c r="P30" s="31" t="n">
        <x:v>25.000420531765116</x:v>
      </x:c>
      <x:c r="Q30" s="31" t="n">
        <x:v>25.8</x:v>
      </x:c>
      <x:c r="R30" s="26" t="n">
        <x:v>26</x:v>
      </x:c>
      <x:c r="S30" s="26" t="n">
        <x:v>139</x:v>
      </x:c>
      <x:c r="T30" s="43" t="n">
        <x:v>49.58</x:v>
      </x:c>
      <x:c r="U30" s="43" t="n">
        <x:v>0</x:v>
      </x:c>
      <x:c r="V30" s="43" t="n">
        <x:v>0</x:v>
      </x:c>
      <x:c r="W30" s="43" t="n">
        <x:v>12.4</x:v>
      </x:c>
      <x:c r="X30" s="44" t="n">
        <x:v>0.25</x:v>
      </x:c>
      <x:c r="Y30" s="30" t="b">
        <x:v>1</x:v>
      </x:c>
      <x:c r="Z30" s="26" t="n">
        <x:v>5</x:v>
      </x:c>
      <x:c r="AA30" s="26" t="n">
        <x:v>25</x:v>
      </x:c>
      <x:c r="AB30" s="26" t="n">
        <x:v>379</x:v>
      </x:c>
      <x:c r="AC30" s="43" t="n">
        <x:v>26.19</x:v>
      </x:c>
    </x:row>
    <x:row r="31" ht="135" customHeight="1">
      <x:c r="A31" s="26" t="n">
        <x:v>30</x:v>
      </x:c>
      <x:c r="B31" s="26" t="str">
        <x:v>873804755283</x:v>
      </x:c>
      <x:c r="C31" s="26" t="str">
        <x:v>FridgePower</x:v>
      </x:c>
      <x:c r="D31" s="43" t="n">
        <x:v>41.86</x:v>
      </x:c>
      <x:c r="E31" s="26" t="str">
        <x:v>反推假设：45lb、Zone5（账单Zone5）。
标准运费49.80×61%≈30.38
＋假设折后附加费0.00
＋燃油(30.38＋0.00)×25.25%≈7.67
＝预估承运成本38.05
按既有收费规则折算→预付41.86；与原预付差+0.00。</x:v>
      </x:c>
      <x:c r="F31" s="43" t="n">
        <x:v>41.86</x:v>
      </x:c>
      <x:c r="G31" s="43" t="n">
        <x:f>F31-D31</x:f>
        <x:v>0</x:v>
      </x:c>
      <x:c r="H31" s="26" t="str">
        <x:v>运输费53.51
−折扣20.87
＋Add'l Handling-Weight 28.12
＋燃油15.34
＝承运净额76.10
账单实收83.710（按既有收费规则）</x:v>
      </x:c>
      <x:c r="I31" s="43" t="n">
        <x:v>76.1</x:v>
      </x:c>
      <x:c r="J31" s="43" t="n">
        <x:v>83.71</x:v>
      </x:c>
      <x:c r="K31" s="43" t="n">
        <x:f>J31-D31</x:f>
        <x:v>41.849999999999994</x:v>
      </x:c>
      <x:c r="L31" s="26" t="str">
        <x:v>预估未超过50lb、实际超过50lb，触发重量附加费。
实际比预估重6.71lb，需核对称重与申报。</x:v>
      </x:c>
      <x:c r="M31" s="26" t="str">
        <x:v>账单已对账；预付试算接近（差≤0.15）</x:v>
      </x:c>
      <x:c r="N31" s="26" t="str">
        <x:v>20260703</x:v>
      </x:c>
      <x:c r="O31" s="26" t="n">
        <x:v>5</x:v>
      </x:c>
      <x:c r="P31" s="31" t="n">
        <x:v>44.09245243697551</x:v>
      </x:c>
      <x:c r="Q31" s="31" t="n">
        <x:v>50.8</x:v>
      </x:c>
      <x:c r="R31" s="26" t="n">
        <x:v>51</x:v>
      </x:c>
      <x:c r="S31" s="26" t="n">
        <x:v>166</x:v>
      </x:c>
      <x:c r="T31" s="43" t="n">
        <x:v>53.51</x:v>
      </x:c>
      <x:c r="U31" s="43" t="n">
        <x:v>-20.87</x:v>
      </x:c>
      <x:c r="V31" s="43" t="n">
        <x:v>28.12</x:v>
      </x:c>
      <x:c r="W31" s="43" t="n">
        <x:v>15.34</x:v>
      </x:c>
      <x:c r="X31" s="44" t="n">
        <x:v>0.2525</x:v>
      </x:c>
      <x:c r="Y31" s="30" t="b">
        <x:v>0</x:v>
      </x:c>
      <x:c r="Z31" s="26" t="n">
        <x:v>5</x:v>
      </x:c>
      <x:c r="AA31" s="26" t="n">
        <x:v>45</x:v>
      </x:c>
      <x:c r="AB31" s="26" t="n">
        <x:v>254</x:v>
      </x:c>
      <x:c r="AC31" s="43" t="n">
        <x:v>41.86</x:v>
      </x:c>
    </x:row>
    <x:row r="32" ht="135" customHeight="1">
      <x:c r="A32" s="26" t="n">
        <x:v>31</x:v>
      </x:c>
      <x:c r="B32" s="26" t="str">
        <x:v>875020713663</x:v>
      </x:c>
      <x:c r="C32" s="26" t="str">
        <x:v>AC300</x:v>
      </x:c>
      <x:c r="D32" s="43" t="n">
        <x:v>55.45</x:v>
      </x:c>
      <x:c r="E32" s="26" t="str">
        <x:v>缺核对明细，无法重建预付；原预付仅按基础表保留。</x:v>
      </x:c>
      <x:c r="F32" s="43"/>
      <x:c r="G32" s="43"/>
      <x:c r="H32" s="26" t="str">
        <x:v>缺原始核对明细，无法拆分。</x:v>
      </x:c>
      <x:c r="I32" s="43"/>
      <x:c r="J32" s="43" t="n">
        <x:v>96.602</x:v>
      </x:c>
      <x:c r="K32" s="43" t="n">
        <x:f>J32-D32</x:f>
        <x:v>41.152</x:v>
      </x:c>
      <x:c r="L32" s="26" t="str">
        <x:v>核对表无唯一匹配费用明细，无法确认差距原因；需补原始FedEx账单。</x:v>
      </x:c>
      <x:c r="M32" s="26" t="str">
        <x:v>缺核对明细，原因未确认</x:v>
      </x:c>
      <x:c r="N32" s="26"/>
      <x:c r="O32" s="26"/>
      <x:c r="P32" s="31"/>
      <x:c r="Q32" s="31"/>
      <x:c r="R32" s="26"/>
      <x:c r="S32" s="26"/>
      <x:c r="T32" s="43"/>
      <x:c r="U32" s="43"/>
      <x:c r="V32" s="43"/>
      <x:c r="W32" s="43"/>
      <x:c r="X32" s="44"/>
      <x:c r="Y32" s="26"/>
      <x:c r="Z32" s="26"/>
      <x:c r="AA32" s="26"/>
      <x:c r="AB32" s="26"/>
      <x:c r="AC32" s="43"/>
    </x:row>
    <x:row r="33" ht="135" customHeight="1">
      <x:c r="A33" s="26" t="n">
        <x:v>32</x:v>
      </x:c>
      <x:c r="B33" s="26" t="str">
        <x:v>874042653905</x:v>
      </x:c>
      <x:c r="C33" s="26" t="str">
        <x:v>EL300</x:v>
      </x:c>
      <x:c r="D33" s="43" t="n">
        <x:v>33.66</x:v>
      </x:c>
      <x:c r="E33" s="26" t="str">
        <x:v>反推假设：43lb、Zone4（账单Zone4）。
标准运费40.13×61%≈24.48
＋假设折后附加费0.00
＋燃油(24.48＋0.00)×25.00%≈6.12
＝预估承运成本30.60
按既有收费规则折算→预付33.66；与原预付差+0.00。</x:v>
      </x:c>
      <x:c r="F33" s="43" t="n">
        <x:v>33.66</x:v>
      </x:c>
      <x:c r="G33" s="43" t="n">
        <x:f>F33-D33</x:f>
        <x:v>0</x:v>
      </x:c>
      <x:c r="H33" s="26" t="str">
        <x:v>运输费47.77
−折扣18.63
＋Add'l Handling-Weight 25.12
＋燃油13.57
＝承运净额67.83
账单实收74.613（按既有收费规则）</x:v>
      </x:c>
      <x:c r="I33" s="43" t="n">
        <x:v>67.83</x:v>
      </x:c>
      <x:c r="J33" s="43" t="n">
        <x:v>74.613</x:v>
      </x:c>
      <x:c r="K33" s="43" t="n">
        <x:f>J33-D33</x:f>
        <x:v>40.953</x:v>
      </x:c>
      <x:c r="L33" s="26" t="str">
        <x:v>预估未超过50lb、实际超过50lb，触发重量附加费。
实际比预估重22.41lb，需核对称重与申报。</x:v>
      </x:c>
      <x:c r="M33" s="26" t="str">
        <x:v>账单已对账；预付试算接近（差≤0.15）</x:v>
      </x:c>
      <x:c r="N33" s="26" t="str">
        <x:v>20260709</x:v>
      </x:c>
      <x:c r="O33" s="26" t="n">
        <x:v>4</x:v>
      </x:c>
      <x:c r="P33" s="31" t="n">
        <x:v>42.99014112605113</x:v>
      </x:c>
      <x:c r="Q33" s="31" t="n">
        <x:v>65.4</x:v>
      </x:c>
      <x:c r="R33" s="26" t="n">
        <x:v>66</x:v>
      </x:c>
      <x:c r="S33" s="26" t="n">
        <x:v>166</x:v>
      </x:c>
      <x:c r="T33" s="43" t="n">
        <x:v>47.77</x:v>
      </x:c>
      <x:c r="U33" s="43" t="n">
        <x:v>-18.63</x:v>
      </x:c>
      <x:c r="V33" s="43" t="n">
        <x:v>25.12</x:v>
      </x:c>
      <x:c r="W33" s="43" t="n">
        <x:v>13.57</x:v>
      </x:c>
      <x:c r="X33" s="44" t="n">
        <x:v>0.25</x:v>
      </x:c>
      <x:c r="Y33" s="30" t="b">
        <x:v>0</x:v>
      </x:c>
      <x:c r="Z33" s="26" t="n">
        <x:v>4</x:v>
      </x:c>
      <x:c r="AA33" s="26" t="n">
        <x:v>43</x:v>
      </x:c>
      <x:c r="AB33" s="26" t="n">
        <x:v>345</x:v>
      </x:c>
      <x:c r="AC33" s="43" t="n">
        <x:v>33.66</x:v>
      </x:c>
    </x:row>
    <x:row r="34" ht="135" customHeight="1">
      <x:c r="A34" s="26" t="n">
        <x:v>33</x:v>
      </x:c>
      <x:c r="B34" s="26" t="str">
        <x:v>873362675888</x:v>
      </x:c>
      <x:c r="C34" s="26" t="str">
        <x:v>AC300</x:v>
      </x:c>
      <x:c r="D34" s="43" t="n">
        <x:v>44.6</x:v>
      </x:c>
      <x:c r="E34" s="26" t="str">
        <x:v>反推假设：49lb、Zone5（账单Zone5）。
标准运费52.96×61%≈32.31
＋假设折后附加费0.00
＋燃油(32.31＋0.00)×25.50%≈8.24
＝预估承运成本40.55
按既有收费规则折算→预付44.61；与原预付差+0.01。</x:v>
      </x:c>
      <x:c r="F34" s="43" t="n">
        <x:v>44.61</x:v>
      </x:c>
      <x:c r="G34" s="43" t="n">
        <x:f>F34-D34</x:f>
        <x:v>0.00999999999999801</x:v>
      </x:c>
      <x:c r="H34" s="26" t="str">
        <x:v>运输费54.07
−折扣21.09
＋Add'l Handling-Weight 28.12
＋燃油15.58
＝承运净额76.68
账单实收84.348（按既有收费规则）</x:v>
      </x:c>
      <x:c r="I34" s="43" t="n">
        <x:v>76.68</x:v>
      </x:c>
      <x:c r="J34" s="43" t="n">
        <x:v>84.348</x:v>
      </x:c>
      <x:c r="K34" s="43" t="n">
        <x:f>J34-D34</x:f>
        <x:v>39.748</x:v>
      </x:c>
      <x:c r="L34" s="26" t="str">
        <x:v>预估未超过50lb、实际超过50lb，触发重量附加费。</x:v>
      </x:c>
      <x:c r="M34" s="26" t="str">
        <x:v>账单已对账；预付试算接近（差≤0.15）</x:v>
      </x:c>
      <x:c r="N34" s="26" t="str">
        <x:v>20260624</x:v>
      </x:c>
      <x:c r="O34" s="26" t="n">
        <x:v>5</x:v>
      </x:c>
      <x:c r="P34" s="31" t="n">
        <x:v>48.50169768067307</x:v>
      </x:c>
      <x:c r="Q34" s="31" t="n">
        <x:v>52.5</x:v>
      </x:c>
      <x:c r="R34" s="26" t="n">
        <x:v>53</x:v>
      </x:c>
      <x:c r="S34" s="26" t="n">
        <x:v>166</x:v>
      </x:c>
      <x:c r="T34" s="43" t="n">
        <x:v>54.07</x:v>
      </x:c>
      <x:c r="U34" s="43" t="n">
        <x:v>-21.09</x:v>
      </x:c>
      <x:c r="V34" s="43" t="n">
        <x:v>28.12</x:v>
      </x:c>
      <x:c r="W34" s="43" t="n">
        <x:v>15.58</x:v>
      </x:c>
      <x:c r="X34" s="44" t="n">
        <x:v>0.255</x:v>
      </x:c>
      <x:c r="Y34" s="30" t="b">
        <x:v>0</x:v>
      </x:c>
      <x:c r="Z34" s="26" t="n">
        <x:v>5</x:v>
      </x:c>
      <x:c r="AA34" s="26" t="n">
        <x:v>49</x:v>
      </x:c>
      <x:c r="AB34" s="26" t="n">
        <x:v>147</x:v>
      </x:c>
      <x:c r="AC34" s="43" t="n">
        <x:v>44.61</x:v>
      </x:c>
    </x:row>
    <x:row r="35" ht="135" customHeight="1">
      <x:c r="A35" s="26" t="n">
        <x:v>34</x:v>
      </x:c>
      <x:c r="B35" s="26" t="str">
        <x:v>874284365236</x:v>
      </x:c>
      <x:c r="C35" s="26" t="str">
        <x:v>AC300</x:v>
      </x:c>
      <x:c r="D35" s="43" t="n">
        <x:v>44.42</x:v>
      </x:c>
      <x:c r="E35" s="26" t="str">
        <x:v>反推假设：48lb、Zone5（账单Zone5）。
标准运费52.95×61%≈32.30
＋假设折后附加费0.00
＋燃油(32.30＋0.00)×25.00%≈8.08
＝预估承运成本40.38
按既有收费规则折算→预付44.42；与原预付差+0.00。</x:v>
      </x:c>
      <x:c r="F35" s="43" t="n">
        <x:v>44.42</x:v>
      </x:c>
      <x:c r="G35" s="43" t="n">
        <x:f>F35-D35</x:f>
        <x:v>0</x:v>
      </x:c>
      <x:c r="H35" s="26" t="str">
        <x:v>运输费54.19
−折扣21.13
＋Add'l Handling-Weight 28.12
＋燃油15.30
＝承运净额76.48
账单实收84.128（按既有收费规则）</x:v>
      </x:c>
      <x:c r="I35" s="43" t="n">
        <x:v>76.48</x:v>
      </x:c>
      <x:c r="J35" s="43" t="n">
        <x:v>84.128</x:v>
      </x:c>
      <x:c r="K35" s="43" t="n">
        <x:f>J35-D35</x:f>
        <x:v>39.708</x:v>
      </x:c>
      <x:c r="L35" s="26" t="str">
        <x:v>预估未超过50lb、实际超过50lb，触发重量附加费。
实际比预估重7.68lb，需核对称重与申报。</x:v>
      </x:c>
      <x:c r="M35" s="26" t="str">
        <x:v>账单已对账；预付试算接近（差≤0.15）</x:v>
      </x:c>
      <x:c r="N35" s="26" t="str">
        <x:v>20260717</x:v>
      </x:c>
      <x:c r="O35" s="26" t="n">
        <x:v>5</x:v>
      </x:c>
      <x:c r="P35" s="31" t="n">
        <x:v>47.61984863193356</x:v>
      </x:c>
      <x:c r="Q35" s="31" t="n">
        <x:v>55.3</x:v>
      </x:c>
      <x:c r="R35" s="26" t="n">
        <x:v>56</x:v>
      </x:c>
      <x:c r="S35" s="26" t="n">
        <x:v>166</x:v>
      </x:c>
      <x:c r="T35" s="43" t="n">
        <x:v>54.19</x:v>
      </x:c>
      <x:c r="U35" s="43" t="n">
        <x:v>-21.13</x:v>
      </x:c>
      <x:c r="V35" s="43" t="n">
        <x:v>28.12</x:v>
      </x:c>
      <x:c r="W35" s="43" t="n">
        <x:v>15.3</x:v>
      </x:c>
      <x:c r="X35" s="44" t="n">
        <x:v>0.25</x:v>
      </x:c>
      <x:c r="Y35" s="30" t="b">
        <x:v>0</x:v>
      </x:c>
      <x:c r="Z35" s="26" t="n">
        <x:v>5</x:v>
      </x:c>
      <x:c r="AA35" s="26" t="n">
        <x:v>48</x:v>
      </x:c>
      <x:c r="AB35" s="26" t="n">
        <x:v>437</x:v>
      </x:c>
      <x:c r="AC35" s="43" t="n">
        <x:v>44.42</x:v>
      </x:c>
    </x:row>
    <x:row r="36" ht="135" customHeight="1">
      <x:c r="A36" s="26" t="n">
        <x:v>35</x:v>
      </x:c>
      <x:c r="B36" s="26" t="str">
        <x:v>874658545575</x:v>
      </x:c>
      <x:c r="C36" s="26" t="str">
        <x:v>AC200L</x:v>
      </x:c>
      <x:c r="D36" s="43" t="n">
        <x:v>23.47</x:v>
      </x:c>
      <x:c r="E36" s="26" t="str">
        <x:v>反推假设：43lb、Zone2（账单Zone2）。
标准运费27.93×61%≈17.04
＋假设折后附加费0.00
＋燃油(17.04＋0.00)×25.25%≈4.30
＝预估承运成本21.34
按既有收费规则折算→预付23.47；与原预付差+0.00。</x:v>
      </x:c>
      <x:c r="F36" s="43" t="n">
        <x:v>23.47</x:v>
      </x:c>
      <x:c r="G36" s="43" t="n">
        <x:f>F36-D36</x:f>
        <x:v>0</x:v>
      </x:c>
      <x:c r="H36" s="26" t="str">
        <x:v>运输费36.91
−折扣14.39
＋Add'l Handling-Weight 23.00
＋燃油11.49
＝承运净额57.01
账单实收62.711（按既有收费规则）</x:v>
      </x:c>
      <x:c r="I36" s="43" t="n">
        <x:v>57.01</x:v>
      </x:c>
      <x:c r="J36" s="43" t="n">
        <x:v>62.711</x:v>
      </x:c>
      <x:c r="K36" s="43" t="n">
        <x:f>J36-D36</x:f>
        <x:v>39.241</x:v>
      </x:c>
      <x:c r="L36" s="26" t="str">
        <x:v>预估未超过50lb、实际超过50lb，触发重量附加费。
实际比预估重30.71lb，需核对称重与申报。</x:v>
      </x:c>
      <x:c r="M36" s="26" t="str">
        <x:v>账单已对账；预付试算接近（差≤0.15）</x:v>
      </x:c>
      <x:c r="N36" s="26" t="str">
        <x:v>20260724</x:v>
      </x:c>
      <x:c r="O36" s="26" t="n">
        <x:v>2</x:v>
      </x:c>
      <x:c r="P36" s="31" t="n">
        <x:v>42.99014112605113</x:v>
      </x:c>
      <x:c r="Q36" s="31" t="n">
        <x:v>73.7</x:v>
      </x:c>
      <x:c r="R36" s="26" t="n">
        <x:v>74</x:v>
      </x:c>
      <x:c r="S36" s="26" t="n">
        <x:v>166</x:v>
      </x:c>
      <x:c r="T36" s="43" t="n">
        <x:v>36.91</x:v>
      </x:c>
      <x:c r="U36" s="43" t="n">
        <x:v>-14.39</x:v>
      </x:c>
      <x:c r="V36" s="43" t="n">
        <x:v>23</x:v>
      </x:c>
      <x:c r="W36" s="43" t="n">
        <x:v>11.49</x:v>
      </x:c>
      <x:c r="X36" s="44" t="n">
        <x:v>0.2525</x:v>
      </x:c>
      <x:c r="Y36" s="30" t="b">
        <x:v>0</x:v>
      </x:c>
      <x:c r="Z36" s="26" t="n">
        <x:v>2</x:v>
      </x:c>
      <x:c r="AA36" s="26" t="n">
        <x:v>43</x:v>
      </x:c>
      <x:c r="AB36" s="26" t="n">
        <x:v>529</x:v>
      </x:c>
      <x:c r="AC36" s="43" t="n">
        <x:v>23.47</x:v>
      </x:c>
    </x:row>
    <x:row r="37" ht="135" customHeight="1">
      <x:c r="A37" s="26" t="n">
        <x:v>36</x:v>
      </x:c>
      <x:c r="B37" s="26" t="str">
        <x:v>874349396659</x:v>
      </x:c>
      <x:c r="C37" s="26" t="str">
        <x:v>FP2</x:v>
      </x:c>
      <x:c r="D37" s="43" t="n">
        <x:v>34.54</x:v>
      </x:c>
      <x:c r="E37" s="26" t="str">
        <x:v>缺核对明细，无法重建预付；原预付仅按基础表保留。</x:v>
      </x:c>
      <x:c r="F37" s="43"/>
      <x:c r="G37" s="43"/>
      <x:c r="H37" s="26" t="str">
        <x:v>缺原始核对明细，无法拆分。</x:v>
      </x:c>
      <x:c r="I37" s="43"/>
      <x:c r="J37" s="43" t="n">
        <x:v>71.995</x:v>
      </x:c>
      <x:c r="K37" s="43" t="n">
        <x:f>J37-D37</x:f>
        <x:v>37.455000000000005</x:v>
      </x:c>
      <x:c r="L37" s="26" t="str">
        <x:v>核对表无唯一匹配费用明细，无法确认差距原因；需补原始FedEx账单。</x:v>
      </x:c>
      <x:c r="M37" s="26" t="str">
        <x:v>缺核对明细，原因未确认</x:v>
      </x:c>
      <x:c r="N37" s="26"/>
      <x:c r="O37" s="26"/>
      <x:c r="P37" s="31"/>
      <x:c r="Q37" s="31"/>
      <x:c r="R37" s="26"/>
      <x:c r="S37" s="26"/>
      <x:c r="T37" s="43"/>
      <x:c r="U37" s="43"/>
      <x:c r="V37" s="43"/>
      <x:c r="W37" s="43"/>
      <x:c r="X37" s="44"/>
      <x:c r="Y37" s="26"/>
      <x:c r="Z37" s="26"/>
      <x:c r="AA37" s="26"/>
      <x:c r="AB37" s="26"/>
      <x:c r="AC37" s="43"/>
    </x:row>
    <x:row r="38" ht="135" customHeight="1">
      <x:c r="A38" s="26" t="n">
        <x:v>37</x:v>
      </x:c>
      <x:c r="B38" s="26" t="str">
        <x:v>874825347598</x:v>
      </x:c>
      <x:c r="C38" s="26" t="str">
        <x:v>FP2</x:v>
      </x:c>
      <x:c r="D38" s="43" t="n">
        <x:v>34.6</x:v>
      </x:c>
      <x:c r="E38" s="26" t="str">
        <x:v>反推假设：45lb、Zone4（账单Zone4）。
标准运费41.18×61%≈25.12
＋假设折后附加费0.00
＋燃油(25.12＋0.00)×25.25%≈6.34
＝预估承运成本31.46
按既有收费规则折算→预付34.61；与原预付差+0.01。</x:v>
      </x:c>
      <x:c r="F38" s="43" t="n">
        <x:v>34.61</x:v>
      </x:c>
      <x:c r="G38" s="43" t="n">
        <x:f>F38-D38</x:f>
        <x:v>0.00999999999999801</x:v>
      </x:c>
      <x:c r="H38" s="26" t="str">
        <x:v>运输费44.12
−折扣17.21
＋Add'l Handling-Weight 25.12
＋燃油13.14
＝承运净额65.17
账单实收71.687（按既有收费规则）</x:v>
      </x:c>
      <x:c r="I38" s="43" t="n">
        <x:v>65.17</x:v>
      </x:c>
      <x:c r="J38" s="43" t="n">
        <x:v>71.687</x:v>
      </x:c>
      <x:c r="K38" s="43" t="n">
        <x:f>J38-D38</x:f>
        <x:v>37.086999999999996</x:v>
      </x:c>
      <x:c r="L38" s="26" t="str">
        <x:v>预估未超过50lb、实际超过50lb，触发重量附加费。
实际比预估重6.71lb，需核对称重与申报。</x:v>
      </x:c>
      <x:c r="M38" s="26" t="str">
        <x:v>账单已对账；预付试算接近（差≤0.15）</x:v>
      </x:c>
      <x:c r="N38" s="26" t="str">
        <x:v>20260724</x:v>
      </x:c>
      <x:c r="O38" s="26" t="n">
        <x:v>4</x:v>
      </x:c>
      <x:c r="P38" s="31" t="n">
        <x:v>44.09245243697551</x:v>
      </x:c>
      <x:c r="Q38" s="31" t="n">
        <x:v>50.8</x:v>
      </x:c>
      <x:c r="R38" s="26" t="n">
        <x:v>51</x:v>
      </x:c>
      <x:c r="S38" s="26" t="n">
        <x:v>166</x:v>
      </x:c>
      <x:c r="T38" s="43" t="n">
        <x:v>44.12</x:v>
      </x:c>
      <x:c r="U38" s="43" t="n">
        <x:v>-17.21</x:v>
      </x:c>
      <x:c r="V38" s="43" t="n">
        <x:v>25.12</x:v>
      </x:c>
      <x:c r="W38" s="43" t="n">
        <x:v>13.14</x:v>
      </x:c>
      <x:c r="X38" s="44" t="n">
        <x:v>0.2525</x:v>
      </x:c>
      <x:c r="Y38" s="30" t="b">
        <x:v>0</x:v>
      </x:c>
      <x:c r="Z38" s="26" t="n">
        <x:v>4</x:v>
      </x:c>
      <x:c r="AA38" s="26" t="n">
        <x:v>45</x:v>
      </x:c>
      <x:c r="AB38" s="26" t="n">
        <x:v>545</x:v>
      </x:c>
      <x:c r="AC38" s="43" t="n">
        <x:v>34.61</x:v>
      </x:c>
    </x:row>
    <x:row r="39" ht="135" customHeight="1">
      <x:c r="A39" s="26" t="n">
        <x:v>38</x:v>
      </x:c>
      <x:c r="B39" s="26" t="str">
        <x:v>874712976955</x:v>
      </x:c>
      <x:c r="C39" s="26" t="str">
        <x:v>Elite 200 V2</x:v>
      </x:c>
      <x:c r="D39" s="43" t="n">
        <x:v>30.61</x:v>
      </x:c>
      <x:c r="E39" s="26" t="str">
        <x:v>反推假设：48lb、Zone3（账单Zone3）。
标准运费36.42×61%≈22.22
＋假设折后附加费0.00
＋燃油(22.22＋0.00)×25.75%≈5.72
＝预估承运成本27.94
按既有收费规则折算→预付30.73；与原预付差+0.12。</x:v>
      </x:c>
      <x:c r="F39" s="43" t="n">
        <x:v>30.73</x:v>
      </x:c>
      <x:c r="G39" s="43" t="n">
        <x:f>F39-D39</x:f>
        <x:v>0.120000000000001</x:v>
      </x:c>
      <x:c r="H39" s="26" t="str">
        <x:v>运输费38.43
−折扣14.99
＋Add'l Handling-Weight 25.12
＋燃油12.50
＝承运净额61.06
账单实收67.166（按既有收费规则）</x:v>
      </x:c>
      <x:c r="I39" s="43" t="n">
        <x:v>61.06</x:v>
      </x:c>
      <x:c r="J39" s="43" t="n">
        <x:v>67.166</x:v>
      </x:c>
      <x:c r="K39" s="43" t="n">
        <x:f>J39-D39</x:f>
        <x:v>36.556</x:v>
      </x:c>
      <x:c r="L39" s="26" t="str">
        <x:v>预估未超过50lb、实际超过50lb，触发重量附加费。
实际比预估重11.11lb，需核对称重与申报。</x:v>
      </x:c>
      <x:c r="M39" s="26" t="str">
        <x:v>账单已对账；预付试算接近（差≤0.15）</x:v>
      </x:c>
      <x:c r="N39" s="26" t="str">
        <x:v>20260727</x:v>
      </x:c>
      <x:c r="O39" s="26" t="n">
        <x:v>3</x:v>
      </x:c>
      <x:c r="P39" s="31" t="n">
        <x:v>47.99463447764784</x:v>
      </x:c>
      <x:c r="Q39" s="31" t="n">
        <x:v>59.1</x:v>
      </x:c>
      <x:c r="R39" s="26" t="n">
        <x:v>60</x:v>
      </x:c>
      <x:c r="S39" s="26" t="n">
        <x:v>166</x:v>
      </x:c>
      <x:c r="T39" s="43" t="n">
        <x:v>38.43</x:v>
      </x:c>
      <x:c r="U39" s="43" t="n">
        <x:v>-14.99</x:v>
      </x:c>
      <x:c r="V39" s="43" t="n">
        <x:v>25.12</x:v>
      </x:c>
      <x:c r="W39" s="43" t="n">
        <x:v>12.5</x:v>
      </x:c>
      <x:c r="X39" s="44" t="n">
        <x:v>0.2575</x:v>
      </x:c>
      <x:c r="Y39" s="30" t="b">
        <x:v>0</x:v>
      </x:c>
      <x:c r="Z39" s="26" t="n">
        <x:v>3</x:v>
      </x:c>
      <x:c r="AA39" s="26" t="n">
        <x:v>48</x:v>
      </x:c>
      <x:c r="AB39" s="26" t="n">
        <x:v>560</x:v>
      </x:c>
      <x:c r="AC39" s="43" t="n">
        <x:v>30.73</x:v>
      </x:c>
    </x:row>
    <x:row r="40" ht="135" customHeight="1">
      <x:c r="A40" s="26" t="n">
        <x:v>39</x:v>
      </x:c>
      <x:c r="B40" s="26" t="str">
        <x:v>874587829088</x:v>
      </x:c>
      <x:c r="C40" s="26" t="str">
        <x:v>AC300</x:v>
      </x:c>
      <x:c r="D40" s="43" t="n">
        <x:v>36.7</x:v>
      </x:c>
      <x:c r="E40" s="26" t="str">
        <x:v>缺核对明细，无法重建预付；原预付仅按基础表保留。</x:v>
      </x:c>
      <x:c r="F40" s="43"/>
      <x:c r="G40" s="43"/>
      <x:c r="H40" s="26" t="str">
        <x:v>缺原始核对明细，无法拆分。</x:v>
      </x:c>
      <x:c r="I40" s="43"/>
      <x:c r="J40" s="43" t="n">
        <x:v>71.973</x:v>
      </x:c>
      <x:c r="K40" s="43" t="n">
        <x:f>J40-D40</x:f>
        <x:v>35.272999999999996</x:v>
      </x:c>
      <x:c r="L40" s="26" t="str">
        <x:v>核对表无唯一匹配费用明细，无法确认差距原因；需补原始FedEx账单。</x:v>
      </x:c>
      <x:c r="M40" s="26" t="str">
        <x:v>缺核对明细，原因未确认</x:v>
      </x:c>
      <x:c r="N40" s="26"/>
      <x:c r="O40" s="26"/>
      <x:c r="P40" s="31"/>
      <x:c r="Q40" s="31"/>
      <x:c r="R40" s="26"/>
      <x:c r="S40" s="26"/>
      <x:c r="T40" s="43"/>
      <x:c r="U40" s="43"/>
      <x:c r="V40" s="43"/>
      <x:c r="W40" s="43"/>
      <x:c r="X40" s="44"/>
      <x:c r="Y40" s="26"/>
      <x:c r="Z40" s="26"/>
      <x:c r="AA40" s="26"/>
      <x:c r="AB40" s="26"/>
      <x:c r="AC40" s="43"/>
    </x:row>
    <x:row r="41" ht="135" customHeight="1">
      <x:c r="A41" s="26" t="n">
        <x:v>40</x:v>
      </x:c>
      <x:c r="B41" s="26" t="str">
        <x:v>874036973093</x:v>
      </x:c>
      <x:c r="C41" s="26" t="str">
        <x:v>FP2</x:v>
      </x:c>
      <x:c r="D41" s="43" t="n">
        <x:v>36.63</x:v>
      </x:c>
      <x:c r="E41" s="26" t="str">
        <x:v>反推假设：48lb、Zone4（账单Zone4）。
标准运费43.67×61%≈26.64
＋假设折后附加费0.00
＋燃油(26.64＋0.00)×25.00%≈6.66
＝预估承运成本33.30
按既有收费规则折算→预付36.63；与原预付差+0.00。</x:v>
      </x:c>
      <x:c r="F41" s="43" t="n">
        <x:v>36.63</x:v>
      </x:c>
      <x:c r="G41" s="43" t="n">
        <x:f>F41-D41</x:f>
        <x:v>0</x:v>
      </x:c>
      <x:c r="H41" s="26" t="str">
        <x:v>运输费44.12
−折扣17.21
＋Add'l Handling-Weight 25.12
＋燃油13.01
＝承运净额65.04
账单实收71.544（按既有收费规则）</x:v>
      </x:c>
      <x:c r="I41" s="43" t="n">
        <x:v>65.04</x:v>
      </x:c>
      <x:c r="J41" s="43" t="n">
        <x:v>71.544</x:v>
      </x:c>
      <x:c r="K41" s="43" t="n">
        <x:f>J41-D41</x:f>
        <x:v>34.913999999999994</x:v>
      </x:c>
      <x:c r="L41" s="26" t="str">
        <x:v>预估未超过50lb、实际超过50lb，触发重量附加费。</x:v>
      </x:c>
      <x:c r="M41" s="26" t="str">
        <x:v>账单已对账；预付试算接近（差≤0.15）</x:v>
      </x:c>
      <x:c r="N41" s="26" t="str">
        <x:v>20260708</x:v>
      </x:c>
      <x:c r="O41" s="26" t="n">
        <x:v>4</x:v>
      </x:c>
      <x:c r="P41" s="31" t="n">
        <x:v>47.399386369748676</x:v>
      </x:c>
      <x:c r="Q41" s="31" t="n">
        <x:v>51</x:v>
      </x:c>
      <x:c r="R41" s="26" t="n">
        <x:v>51</x:v>
      </x:c>
      <x:c r="S41" s="26" t="n">
        <x:v>166</x:v>
      </x:c>
      <x:c r="T41" s="43" t="n">
        <x:v>44.12</x:v>
      </x:c>
      <x:c r="U41" s="43" t="n">
        <x:v>-17.21</x:v>
      </x:c>
      <x:c r="V41" s="43" t="n">
        <x:v>25.12</x:v>
      </x:c>
      <x:c r="W41" s="43" t="n">
        <x:v>13.01</x:v>
      </x:c>
      <x:c r="X41" s="44" t="n">
        <x:v>0.25</x:v>
      </x:c>
      <x:c r="Y41" s="30" t="b">
        <x:v>0</x:v>
      </x:c>
      <x:c r="Z41" s="26" t="n">
        <x:v>4</x:v>
      </x:c>
      <x:c r="AA41" s="26" t="n">
        <x:v>48</x:v>
      </x:c>
      <x:c r="AB41" s="26" t="n">
        <x:v>342</x:v>
      </x:c>
      <x:c r="AC41" s="43" t="n">
        <x:v>36.63</x:v>
      </x:c>
    </x:row>
    <x:row r="42" ht="135" customHeight="1">
      <x:c r="A42" s="26" t="n">
        <x:v>41</x:v>
      </x:c>
      <x:c r="B42" s="26" t="str">
        <x:v>873132283590</x:v>
      </x:c>
      <x:c r="C42" s="26"/>
      <x:c r="D42" s="43" t="n">
        <x:v>37.69</x:v>
      </x:c>
      <x:c r="E42" s="26" t="str">
        <x:v>反推假设：45lb、Zone4（账单Zone4）。
标准运费41.18×61%≈25.12
＋假设折后附加费0.00
＋燃油(25.12＋0.00)×26.00%≈6.53
＝预估承运成本31.65
按既有收费规则折算→预付34.82；与原预付差-2.87。</x:v>
      </x:c>
      <x:c r="F42" s="43" t="n">
        <x:v>34.82</x:v>
      </x:c>
      <x:c r="G42" s="43" t="n">
        <x:f>F42-D42</x:f>
        <x:v>-2.8699999999999974</x:v>
      </x:c>
      <x:c r="H42" s="26" t="str">
        <x:v>运输费44.14
−折扣17.21
＋Add'l Handling-Weight 25.12
＋燃油13.53
＝承运净额65.58
账单实收72.138（按既有收费规则）</x:v>
      </x:c>
      <x:c r="I42" s="43" t="n">
        <x:v>65.58</x:v>
      </x:c>
      <x:c r="J42" s="43" t="n">
        <x:v>72.138</x:v>
      </x:c>
      <x:c r="K42" s="43" t="n">
        <x:f>J42-D42</x:f>
        <x:v>34.44800000000001</x:v>
      </x:c>
      <x:c r="L42" s="26" t="str">
        <x:v>预估未超过50lb、实际超过50lb，触发重量附加费。
实际比预估重7.01lb，需核对称重与申报。
试算偏差较大：缺原始报价/折扣/尺寸，不能强行归因。</x:v>
      </x:c>
      <x:c r="M42" s="26" t="str">
        <x:v>账单已对账；现有假设未还原预付</x:v>
      </x:c>
      <x:c r="N42" s="26" t="str">
        <x:v>20260619</x:v>
      </x:c>
      <x:c r="O42" s="26" t="n">
        <x:v>4</x:v>
      </x:c>
      <x:c r="P42" s="31" t="n">
        <x:v>44.09245243697551</x:v>
      </x:c>
      <x:c r="Q42" s="31" t="n">
        <x:v>51.1</x:v>
      </x:c>
      <x:c r="R42" s="26" t="n">
        <x:v>52</x:v>
      </x:c>
      <x:c r="S42" s="26" t="n">
        <x:v>166</x:v>
      </x:c>
      <x:c r="T42" s="43" t="n">
        <x:v>44.14</x:v>
      </x:c>
      <x:c r="U42" s="43" t="n">
        <x:v>-17.21</x:v>
      </x:c>
      <x:c r="V42" s="43" t="n">
        <x:v>25.12</x:v>
      </x:c>
      <x:c r="W42" s="43" t="n">
        <x:v>13.53</x:v>
      </x:c>
      <x:c r="X42" s="44" t="n">
        <x:v>0.26</x:v>
      </x:c>
      <x:c r="Y42" s="30" t="b">
        <x:v>0</x:v>
      </x:c>
      <x:c r="Z42" s="26" t="n">
        <x:v>4</x:v>
      </x:c>
      <x:c r="AA42" s="26" t="n">
        <x:v>45</x:v>
      </x:c>
      <x:c r="AB42" s="26" t="n">
        <x:v>79</x:v>
      </x:c>
      <x:c r="AC42" s="43" t="n">
        <x:v>34.82</x:v>
      </x:c>
    </x:row>
    <x:row r="43" ht="135" customHeight="1">
      <x:c r="A43" s="26" t="n">
        <x:v>42</x:v>
      </x:c>
      <x:c r="B43" s="26" t="str">
        <x:v>874289169525</x:v>
      </x:c>
      <x:c r="C43" s="26" t="str">
        <x:v>EL100V2</x:v>
      </x:c>
      <x:c r="D43" s="43" t="n">
        <x:v>22.58</x:v>
      </x:c>
      <x:c r="E43" s="26" t="str">
        <x:v>反推假设：26lb、Zone4（账单Zone4）。
标准运费26.91×61%≈16.42
＋假设折后附加费0.00
＋燃油(16.42＋0.00)×25.00%≈4.11
＝预估承运成本20.53
按既有收费规则折算→预付22.58；与原预付差+0.00。</x:v>
      </x:c>
      <x:c r="F43" s="43" t="n">
        <x:v>22.58</x:v>
      </x:c>
      <x:c r="G43" s="43" t="n">
        <x:f>F43-D43</x:f>
        <x:v>0</x:v>
      </x:c>
      <x:c r="H43" s="26" t="str">
        <x:v>运输费40.26
＋燃油10.07
＝承运净额50.33
账单实收55.363（按既有收费规则）</x:v>
      </x:c>
      <x:c r="I43" s="43" t="n">
        <x:v>50.33</x:v>
      </x:c>
      <x:c r="J43" s="43" t="n">
        <x:v>55.363</x:v>
      </x:c>
      <x:c r="K43" s="43" t="n">
        <x:f>J43-D43</x:f>
        <x:v>32.783</x:v>
      </x:c>
      <x:c r="L43" s="26" t="str">
        <x:v>7月13日批次：无折扣行、体积重除数139，需查账户/渠道及折扣。
运输费吻合公开零售价；该价表注明已含燃油，另列燃油是否重复计入需原发票核验。</x:v>
      </x:c>
      <x:c r="M43" s="26" t="str">
        <x:v>账单已对账；预付试算接近（差≤0.15）</x:v>
      </x:c>
      <x:c r="N43" s="26" t="str">
        <x:v>20260713</x:v>
      </x:c>
      <x:c r="O43" s="26" t="n">
        <x:v>4</x:v>
      </x:c>
      <x:c r="P43" s="31" t="n">
        <x:v>25.35316015126092</x:v>
      </x:c>
      <x:c r="Q43" s="31" t="n">
        <x:v>29.7</x:v>
      </x:c>
      <x:c r="R43" s="26" t="n">
        <x:v>30</x:v>
      </x:c>
      <x:c r="S43" s="26" t="n">
        <x:v>139</x:v>
      </x:c>
      <x:c r="T43" s="43" t="n">
        <x:v>40.26</x:v>
      </x:c>
      <x:c r="U43" s="43" t="n">
        <x:v>0</x:v>
      </x:c>
      <x:c r="V43" s="43" t="n">
        <x:v>0</x:v>
      </x:c>
      <x:c r="W43" s="43" t="n">
        <x:v>10.07</x:v>
      </x:c>
      <x:c r="X43" s="44" t="n">
        <x:v>0.25</x:v>
      </x:c>
      <x:c r="Y43" s="30" t="b">
        <x:v>1</x:v>
      </x:c>
      <x:c r="Z43" s="26" t="n">
        <x:v>4</x:v>
      </x:c>
      <x:c r="AA43" s="26" t="n">
        <x:v>26</x:v>
      </x:c>
      <x:c r="AB43" s="26" t="n">
        <x:v>393</x:v>
      </x:c>
      <x:c r="AC43" s="43" t="n">
        <x:v>22.58</x:v>
      </x:c>
    </x:row>
    <x:row r="44" ht="135" customHeight="1">
      <x:c r="A44" s="26" t="n">
        <x:v>43</x:v>
      </x:c>
      <x:c r="B44" s="26" t="str">
        <x:v>873475760387</x:v>
      </x:c>
      <x:c r="C44" s="26" t="str">
        <x:v>FridgePower</x:v>
      </x:c>
      <x:c r="D44" s="43" t="n">
        <x:v>23.88</x:v>
      </x:c>
      <x:c r="E44" s="26" t="str">
        <x:v>反推假设：45lb、Zone2（账单Zone2）。
标准运费28.36×61%≈17.30
＋假设折后附加费0.00
＋燃油(17.30＋0.00)×25.00%≈4.33
＝预估承运成本21.63
按既有收费规则折算→预付23.79；与原预付差-0.09。</x:v>
      </x:c>
      <x:c r="F44" s="43" t="n">
        <x:v>23.79</x:v>
      </x:c>
      <x:c r="G44" s="43" t="n">
        <x:f>F44-D44</x:f>
        <x:v>-0.08999999999999986</x:v>
      </x:c>
      <x:c r="H44" s="26" t="str">
        <x:v>运输费29.35
−折扣11.45
＋Add'l Handling-Weight 23.00
＋燃油10.23
＝承运净额51.13
账单实收56.243（按既有收费规则）</x:v>
      </x:c>
      <x:c r="I44" s="43" t="n">
        <x:v>51.13</x:v>
      </x:c>
      <x:c r="J44" s="43" t="n">
        <x:v>56.243</x:v>
      </x:c>
      <x:c r="K44" s="43" t="n">
        <x:f>J44-D44</x:f>
        <x:v>32.363</x:v>
      </x:c>
      <x:c r="L44" s="26" t="str">
        <x:v>预估未超过50lb、实际超过50lb，触发重量附加费。
实际比预估重7.21lb，需核对称重与申报。</x:v>
      </x:c>
      <x:c r="M44" s="26" t="str">
        <x:v>账单已对账；预付试算接近（差≤0.15）</x:v>
      </x:c>
      <x:c r="N44" s="26" t="str">
        <x:v>20260706</x:v>
      </x:c>
      <x:c r="O44" s="26" t="n">
        <x:v>2</x:v>
      </x:c>
      <x:c r="P44" s="31" t="n">
        <x:v>44.09245243697551</x:v>
      </x:c>
      <x:c r="Q44" s="31" t="n">
        <x:v>51.3</x:v>
      </x:c>
      <x:c r="R44" s="26" t="n">
        <x:v>52</x:v>
      </x:c>
      <x:c r="S44" s="26" t="n">
        <x:v>166</x:v>
      </x:c>
      <x:c r="T44" s="43" t="n">
        <x:v>29.35</x:v>
      </x:c>
      <x:c r="U44" s="43" t="n">
        <x:v>-11.45</x:v>
      </x:c>
      <x:c r="V44" s="43" t="n">
        <x:v>23</x:v>
      </x:c>
      <x:c r="W44" s="43" t="n">
        <x:v>10.23</x:v>
      </x:c>
      <x:c r="X44" s="44" t="n">
        <x:v>0.25</x:v>
      </x:c>
      <x:c r="Y44" s="30" t="b">
        <x:v>0</x:v>
      </x:c>
      <x:c r="Z44" s="26" t="n">
        <x:v>2</x:v>
      </x:c>
      <x:c r="AA44" s="26" t="n">
        <x:v>45</x:v>
      </x:c>
      <x:c r="AB44" s="26" t="n">
        <x:v>249</x:v>
      </x:c>
      <x:c r="AC44" s="43" t="n">
        <x:v>23.79</x:v>
      </x:c>
    </x:row>
    <x:row r="45" ht="135" customHeight="1">
      <x:c r="A45" s="26" t="n">
        <x:v>44</x:v>
      </x:c>
      <x:c r="B45" s="26" t="str">
        <x:v>873124536230</x:v>
      </x:c>
      <x:c r="C45" s="26" t="str">
        <x:v>EL400</x:v>
      </x:c>
      <x:c r="D45" s="43" t="n">
        <x:v>73.15</x:v>
      </x:c>
      <x:c r="E45" s="26" t="str">
        <x:v>反推假设：60lb、Zone4（账单Zone4）。
标准运费45.35×61%≈27.66
＋假设折后附加费25.13
＋燃油(27.66＋25.13)×26.00%≈13.73
＝预估承运成本66.52
按既有收费规则折算→预付73.17；与原预付差+0.02。</x:v>
      </x:c>
      <x:c r="F45" s="43" t="n">
        <x:v>73.17</x:v>
      </x:c>
      <x:c r="G45" s="43" t="n">
        <x:f>F45-D45</x:f>
        <x:v>0.01999999999999602</x:v>
      </x:c>
      <x:c r="H45" s="26" t="str">
        <x:v>运输费82.48
−折扣32.17
＋Add'l Handling-Weight 25.12
＋燃油19.61
＝承运净额95.04
账单实收104.544（按既有收费规则）</x:v>
      </x:c>
      <x:c r="I45" s="43" t="n">
        <x:v>95.04</x:v>
      </x:c>
      <x:c r="J45" s="43" t="n">
        <x:v>104.544</x:v>
      </x:c>
      <x:c r="K45" s="43" t="n">
        <x:f>J45-D45</x:f>
        <x:v>31.39399999999999</x:v>
      </x:c>
      <x:c r="L45" s="26" t="str">
        <x:v>实际比预估重39.91lb，需核对称重与申报。</x:v>
      </x:c>
      <x:c r="M45" s="26" t="str">
        <x:v>账单已对账；预付试算接近（差≤0.15）</x:v>
      </x:c>
      <x:c r="N45" s="26" t="str">
        <x:v>20260616</x:v>
      </x:c>
      <x:c r="O45" s="26" t="n">
        <x:v>4</x:v>
      </x:c>
      <x:c r="P45" s="31" t="n">
        <x:v>59.98778154050519</x:v>
      </x:c>
      <x:c r="Q45" s="31" t="n">
        <x:v>99.9</x:v>
      </x:c>
      <x:c r="R45" s="26" t="n">
        <x:v>100</x:v>
      </x:c>
      <x:c r="S45" s="26" t="n">
        <x:v>166</x:v>
      </x:c>
      <x:c r="T45" s="43" t="n">
        <x:v>82.48</x:v>
      </x:c>
      <x:c r="U45" s="43" t="n">
        <x:v>-32.17</x:v>
      </x:c>
      <x:c r="V45" s="43" t="n">
        <x:v>25.12</x:v>
      </x:c>
      <x:c r="W45" s="43" t="n">
        <x:v>19.61</x:v>
      </x:c>
      <x:c r="X45" s="44" t="n">
        <x:v>0.26</x:v>
      </x:c>
      <x:c r="Y45" s="30" t="b">
        <x:v>0</x:v>
      </x:c>
      <x:c r="Z45" s="26" t="n">
        <x:v>4</x:v>
      </x:c>
      <x:c r="AA45" s="26" t="n">
        <x:v>60</x:v>
      </x:c>
      <x:c r="AB45" s="26" t="n">
        <x:v>60</x:v>
      </x:c>
      <x:c r="AC45" s="43" t="n">
        <x:v>73.17</x:v>
      </x:c>
    </x:row>
    <x:row r="46" ht="135" customHeight="1">
      <x:c r="A46" s="26" t="n">
        <x:v>45</x:v>
      </x:c>
      <x:c r="B46" s="26" t="str">
        <x:v>874147241971</x:v>
      </x:c>
      <x:c r="C46" s="26" t="str">
        <x:v>EL100V2</x:v>
      </x:c>
      <x:c r="D46" s="43" t="n">
        <x:v>23.02</x:v>
      </x:c>
      <x:c r="E46" s="26" t="str">
        <x:v>反推假设：27lb、Zone4（账单Zone4）。
标准运费27.45×61%≈16.74
＋假设折后附加费0.00
＋燃油(16.74＋0.00)×25.00%≈4.19
＝预估承运成本20.93
按既有收费规则折算→预付23.02；与原预付差+0.00。</x:v>
      </x:c>
      <x:c r="F46" s="43" t="n">
        <x:v>23.02</x:v>
      </x:c>
      <x:c r="G46" s="43" t="n">
        <x:f>F46-D46</x:f>
        <x:v>0</x:v>
      </x:c>
      <x:c r="H46" s="26" t="str">
        <x:v>运输费39.22
＋燃油9.81
＝承运净额49.03
账单实收53.933（按既有收费规则）</x:v>
      </x:c>
      <x:c r="I46" s="43" t="n">
        <x:v>49.03</x:v>
      </x:c>
      <x:c r="J46" s="43" t="n">
        <x:v>53.933</x:v>
      </x:c>
      <x:c r="K46" s="43" t="n">
        <x:f>J46-D46</x:f>
        <x:v>30.913</x:v>
      </x:c>
      <x:c r="L46" s="26" t="str">
        <x:v>7月13日批次：无折扣行、体积重除数139，需查账户/渠道及折扣。
运输费吻合公开零售价；该价表注明已含燃油，另列燃油是否重复计入需原发票核验。</x:v>
      </x:c>
      <x:c r="M46" s="26" t="str">
        <x:v>账单已对账；预付试算接近（差≤0.15）</x:v>
      </x:c>
      <x:c r="N46" s="26" t="str">
        <x:v>20260713</x:v>
      </x:c>
      <x:c r="O46" s="26" t="n">
        <x:v>4</x:v>
      </x:c>
      <x:c r="P46" s="31" t="n">
        <x:v>26.455471462185308</x:v>
      </x:c>
      <x:c r="Q46" s="31" t="n">
        <x:v>28.4</x:v>
      </x:c>
      <x:c r="R46" s="26" t="n">
        <x:v>29</x:v>
      </x:c>
      <x:c r="S46" s="26" t="n">
        <x:v>139</x:v>
      </x:c>
      <x:c r="T46" s="43" t="n">
        <x:v>39.22</x:v>
      </x:c>
      <x:c r="U46" s="43" t="n">
        <x:v>0</x:v>
      </x:c>
      <x:c r="V46" s="43" t="n">
        <x:v>0</x:v>
      </x:c>
      <x:c r="W46" s="43" t="n">
        <x:v>9.81</x:v>
      </x:c>
      <x:c r="X46" s="44" t="n">
        <x:v>0.25</x:v>
      </x:c>
      <x:c r="Y46" s="30" t="b">
        <x:v>1</x:v>
      </x:c>
      <x:c r="Z46" s="26" t="n">
        <x:v>4</x:v>
      </x:c>
      <x:c r="AA46" s="26" t="n">
        <x:v>27</x:v>
      </x:c>
      <x:c r="AB46" s="26" t="n">
        <x:v>387</x:v>
      </x:c>
      <x:c r="AC46" s="43" t="n">
        <x:v>23.02</x:v>
      </x:c>
    </x:row>
    <x:row r="47" ht="135" customHeight="1">
      <x:c r="A47" s="26" t="n">
        <x:v>46</x:v>
      </x:c>
      <x:c r="B47" s="26" t="str">
        <x:v>874085171465</x:v>
      </x:c>
      <x:c r="C47" s="26" t="str">
        <x:v>EL100V2</x:v>
      </x:c>
      <x:c r="D47" s="43" t="n">
        <x:v>21.67</x:v>
      </x:c>
      <x:c r="E47" s="26" t="str">
        <x:v>反推假设：25lb、Zone4（账单Zone4）。
标准运费25.83×61%≈15.76
＋假设折后附加费0.00
＋燃油(15.76＋0.00)×25.00%≈3.94
＝预估承运成本19.70
按既有收费规则折算→预付21.67；与原预付差+0.00。</x:v>
      </x:c>
      <x:c r="F47" s="43" t="n">
        <x:v>21.67</x:v>
      </x:c>
      <x:c r="G47" s="43" t="n">
        <x:f>F47-D47</x:f>
        <x:v>0</x:v>
      </x:c>
      <x:c r="H47" s="26" t="str">
        <x:v>运输费37.25
＋燃油9.31
＝承运净额46.56
账单实收51.216（按既有收费规则）</x:v>
      </x:c>
      <x:c r="I47" s="43" t="n">
        <x:v>46.56</x:v>
      </x:c>
      <x:c r="J47" s="43" t="n">
        <x:v>51.216</x:v>
      </x:c>
      <x:c r="K47" s="43" t="n">
        <x:f>J47-D47</x:f>
        <x:v>29.546</x:v>
      </x:c>
      <x:c r="L47" s="26" t="str">
        <x:v>7月13日批次：无折扣行、体积重除数139，需查账户/渠道及折扣。
运输费吻合公开零售价；该价表注明已含燃油，另列燃油是否重复计入需原发票核验。</x:v>
      </x:c>
      <x:c r="M47" s="26" t="str">
        <x:v>账单已对账；预付试算接近（差≤0.15）</x:v>
      </x:c>
      <x:c r="N47" s="26" t="str">
        <x:v>20260713</x:v>
      </x:c>
      <x:c r="O47" s="26" t="n">
        <x:v>4</x:v>
      </x:c>
      <x:c r="P47" s="31" t="n">
        <x:v>25.000420531765116</x:v>
      </x:c>
      <x:c r="Q47" s="31" t="n">
        <x:v>26.4</x:v>
      </x:c>
      <x:c r="R47" s="26" t="n">
        <x:v>27</x:v>
      </x:c>
      <x:c r="S47" s="26" t="n">
        <x:v>139</x:v>
      </x:c>
      <x:c r="T47" s="43" t="n">
        <x:v>37.25</x:v>
      </x:c>
      <x:c r="U47" s="43" t="n">
        <x:v>0</x:v>
      </x:c>
      <x:c r="V47" s="43" t="n">
        <x:v>0</x:v>
      </x:c>
      <x:c r="W47" s="43" t="n">
        <x:v>9.31</x:v>
      </x:c>
      <x:c r="X47" s="44" t="n">
        <x:v>0.25</x:v>
      </x:c>
      <x:c r="Y47" s="30" t="b">
        <x:v>1</x:v>
      </x:c>
      <x:c r="Z47" s="26" t="n">
        <x:v>4</x:v>
      </x:c>
      <x:c r="AA47" s="26" t="n">
        <x:v>25</x:v>
      </x:c>
      <x:c r="AB47" s="26" t="n">
        <x:v>382</x:v>
      </x:c>
      <x:c r="AC47" s="43" t="n">
        <x:v>21.67</x:v>
      </x:c>
    </x:row>
    <x:row r="48" ht="135" customHeight="1">
      <x:c r="A48" s="26" t="n">
        <x:v>47</x:v>
      </x:c>
      <x:c r="B48" s="26" t="str">
        <x:v>874909437335</x:v>
      </x:c>
      <x:c r="C48" s="26" t="str">
        <x:v>EL100V2</x:v>
      </x:c>
      <x:c r="D48" s="43" t="n">
        <x:v>23.15</x:v>
      </x:c>
      <x:c r="E48" s="26" t="str">
        <x:v>缺核对明细，无法重建预付；原预付仅按基础表保留。</x:v>
      </x:c>
      <x:c r="F48" s="43"/>
      <x:c r="G48" s="43"/>
      <x:c r="H48" s="26" t="str">
        <x:v>缺原始核对明细，无法拆分。</x:v>
      </x:c>
      <x:c r="I48" s="43"/>
      <x:c r="J48" s="43" t="n">
        <x:v>52.14</x:v>
      </x:c>
      <x:c r="K48" s="43" t="n">
        <x:f>J48-D48</x:f>
        <x:v>28.990000000000002</x:v>
      </x:c>
      <x:c r="L48" s="26" t="str">
        <x:v>核对表无唯一匹配费用明细，无法确认差距原因；需补原始FedEx账单。</x:v>
      </x:c>
      <x:c r="M48" s="26" t="str">
        <x:v>缺核对明细，原因未确认</x:v>
      </x:c>
      <x:c r="N48" s="26"/>
      <x:c r="O48" s="26"/>
      <x:c r="P48" s="31"/>
      <x:c r="Q48" s="31"/>
      <x:c r="R48" s="26"/>
      <x:c r="S48" s="26"/>
      <x:c r="T48" s="43"/>
      <x:c r="U48" s="43"/>
      <x:c r="V48" s="43"/>
      <x:c r="W48" s="43"/>
      <x:c r="X48" s="44"/>
      <x:c r="Y48" s="26"/>
      <x:c r="Z48" s="26"/>
      <x:c r="AA48" s="26"/>
      <x:c r="AB48" s="26"/>
      <x:c r="AC48" s="43"/>
    </x:row>
    <x:row r="49" ht="135" customHeight="1">
      <x:c r="A49" s="26" t="n">
        <x:v>48</x:v>
      </x:c>
      <x:c r="B49" s="26" t="str">
        <x:v>873149110472</x:v>
      </x:c>
      <x:c r="C49" s="26"/>
      <x:c r="D49" s="43" t="n">
        <x:v>113.73</x:v>
      </x:c>
      <x:c r="E49" s="26" t="str">
        <x:v>反推假设：66lb、Zone7（账单Zone5）。
标准运费85.08×61%≈51.90
＋假设折后附加费29.38
＋燃油(51.90＋29.38)×26.00%≈21.13
＝预估承运成本102.41
按既有收费规则折算→预付112.65；与原预付差-1.08。</x:v>
      </x:c>
      <x:c r="F49" s="43" t="n">
        <x:v>112.65</x:v>
      </x:c>
      <x:c r="G49" s="43" t="n">
        <x:f>F49-D49</x:f>
        <x:v>-1.0799999999999983</x:v>
      </x:c>
      <x:c r="H49" s="26" t="str">
        <x:v>运输费87.80
−折扣28.10
＋Add'l Handling-Weight 28.12
＋Residential Delivery 3.22
＋DAS Residential 3.30
＋燃油24.53
＝承运净额118.87
账单实收142.644（按既有收费规则）</x:v>
      </x:c>
      <x:c r="I49" s="43" t="n">
        <x:v>118.87</x:v>
      </x:c>
      <x:c r="J49" s="43" t="n">
        <x:v>142.644</x:v>
      </x:c>
      <x:c r="K49" s="43" t="n">
        <x:f>J49-D49</x:f>
        <x:v>28.914</x:v>
      </x:c>
      <x:c r="L49" s="26" t="str">
        <x:v>核对明细列有住宅派送费3.22美元；是否在预付中漏估须原始报价确认。
核对明细列有派送区域/偏远费3.30美元；是否在预付中漏估尚未确认。
实际比预估重31.72lb，需核对称重与申报。
预付反推Zone7，最终Zone5；不代表分区错误，需查原邮编与合同。
试算偏差较大：缺原始报价/折扣/尺寸，不能强行归因。</x:v>
      </x:c>
      <x:c r="M49" s="26" t="str">
        <x:v>账单已对账；现有假设未还原预付</x:v>
      </x:c>
      <x:c r="N49" s="26" t="str">
        <x:v>20260616</x:v>
      </x:c>
      <x:c r="O49" s="26" t="n">
        <x:v>5</x:v>
      </x:c>
      <x:c r="P49" s="31" t="n">
        <x:v>65.98435507193386</x:v>
      </x:c>
      <x:c r="Q49" s="31" t="n">
        <x:v>97.7</x:v>
      </x:c>
      <x:c r="R49" s="26" t="n">
        <x:v>98</x:v>
      </x:c>
      <x:c r="S49" s="26" t="n">
        <x:v>166</x:v>
      </x:c>
      <x:c r="T49" s="43" t="n">
        <x:v>87.8</x:v>
      </x:c>
      <x:c r="U49" s="43" t="n">
        <x:v>-28.1</x:v>
      </x:c>
      <x:c r="V49" s="43" t="n">
        <x:v>34.64</x:v>
      </x:c>
      <x:c r="W49" s="43" t="n">
        <x:v>24.53</x:v>
      </x:c>
      <x:c r="X49" s="44" t="n">
        <x:v>0.26</x:v>
      </x:c>
      <x:c r="Y49" s="30" t="b">
        <x:v>0</x:v>
      </x:c>
      <x:c r="Z49" s="26" t="n">
        <x:v>7</x:v>
      </x:c>
      <x:c r="AA49" s="26" t="n">
        <x:v>66</x:v>
      </x:c>
      <x:c r="AB49" s="26" t="n">
        <x:v>61</x:v>
      </x:c>
      <x:c r="AC49" s="43" t="n">
        <x:v>89.44</x:v>
      </x:c>
    </x:row>
    <x:row r="50" ht="135" customHeight="1">
      <x:c r="A50" s="26" t="n">
        <x:v>49</x:v>
      </x:c>
      <x:c r="B50" s="26" t="str">
        <x:v>874200404197</x:v>
      </x:c>
      <x:c r="C50" s="26" t="str">
        <x:v>EL100V2</x:v>
      </x:c>
      <x:c r="D50" s="43" t="n">
        <x:v>21.9</x:v>
      </x:c>
      <x:c r="E50" s="26" t="str">
        <x:v>反推假设：28lb、Zone3（账单Zone3）。
标准运费26.12×61%≈15.93
＋假设折后附加费0.00
＋燃油(15.93＋0.00)×25.00%≈3.98
＝预估承运成本19.91
按既有收费规则折算→预付21.90；与原预付差+0.00。</x:v>
      </x:c>
      <x:c r="F50" s="43" t="n">
        <x:v>21.9</x:v>
      </x:c>
      <x:c r="G50" s="43" t="n">
        <x:f>F50-D50</x:f>
        <x:v>0</x:v>
      </x:c>
      <x:c r="H50" s="26" t="str">
        <x:v>运输费35.75
＋燃油8.94
＝承运净额44.69
账单实收49.159（按既有收费规则）</x:v>
      </x:c>
      <x:c r="I50" s="43" t="n">
        <x:v>44.69</x:v>
      </x:c>
      <x:c r="J50" s="43" t="n">
        <x:v>49.159</x:v>
      </x:c>
      <x:c r="K50" s="43" t="n">
        <x:f>J50-D50</x:f>
        <x:v>27.259</x:v>
      </x:c>
      <x:c r="L50" s="26" t="str">
        <x:v>7月13日批次：无折扣行、体积重除数139，需查账户/渠道及折扣。
运输费吻合公开零售价；该价表注明已含燃油，另列燃油是否重复计入需原发票核验。</x:v>
      </x:c>
      <x:c r="M50" s="26" t="str">
        <x:v>账单已对账；预付试算接近（差≤0.15）</x:v>
      </x:c>
      <x:c r="N50" s="26" t="str">
        <x:v>20260713</x:v>
      </x:c>
      <x:c r="O50" s="26" t="n">
        <x:v>3</x:v>
      </x:c>
      <x:c r="P50" s="31" t="n">
        <x:v>27.182996927395404</x:v>
      </x:c>
      <x:c r="Q50" s="31" t="n">
        <x:v>29.7</x:v>
      </x:c>
      <x:c r="R50" s="26" t="n">
        <x:v>30</x:v>
      </x:c>
      <x:c r="S50" s="26" t="n">
        <x:v>139</x:v>
      </x:c>
      <x:c r="T50" s="43" t="n">
        <x:v>35.75</x:v>
      </x:c>
      <x:c r="U50" s="43" t="n">
        <x:v>0</x:v>
      </x:c>
      <x:c r="V50" s="43" t="n">
        <x:v>0</x:v>
      </x:c>
      <x:c r="W50" s="43" t="n">
        <x:v>8.94</x:v>
      </x:c>
      <x:c r="X50" s="44" t="n">
        <x:v>0.25</x:v>
      </x:c>
      <x:c r="Y50" s="30" t="b">
        <x:v>1</x:v>
      </x:c>
      <x:c r="Z50" s="26" t="n">
        <x:v>3</x:v>
      </x:c>
      <x:c r="AA50" s="26" t="n">
        <x:v>28</x:v>
      </x:c>
      <x:c r="AB50" s="26" t="n">
        <x:v>373</x:v>
      </x:c>
      <x:c r="AC50" s="43" t="n">
        <x:v>21.9</x:v>
      </x:c>
    </x:row>
    <x:row r="51" ht="135" customHeight="1">
      <x:c r="A51" s="26" t="n">
        <x:v>50</x:v>
      </x:c>
      <x:c r="B51" s="26" t="str">
        <x:v>873599566482</x:v>
      </x:c>
      <x:c r="C51" s="26"/>
      <x:c r="D51" s="43" t="n">
        <x:v>52.56</x:v>
      </x:c>
      <x:c r="E51" s="26" t="str">
        <x:v>反推假设：41lb、Zone6（账单Zone5）。
标准运费58.42×61%≈35.64
＋假设折后附加费0.00
＋燃油(35.64＋0.00)×25.25%≈9.00
＝预估承运成本44.64
按既有收费规则折算→预付49.10；与原预付差-3.46。</x:v>
      </x:c>
      <x:c r="F51" s="43" t="n">
        <x:v>49.1</x:v>
      </x:c>
      <x:c r="G51" s="43" t="n">
        <x:f>F51-D51</x:f>
        <x:v>-3.460000000000001</x:v>
      </x:c>
      <x:c r="H51" s="26" t="str">
        <x:v>运输费46.39
−折扣14.84
＋Residential Delivery 3.22
＋DAS Residential 3.30
＋Add'l Handling-Dimension 19.25
＋燃油14.47
＝承运净额71.79
账单实收78.969（按既有收费规则）</x:v>
      </x:c>
      <x:c r="I51" s="43" t="n">
        <x:v>71.79</x:v>
      </x:c>
      <x:c r="J51" s="43" t="n">
        <x:v>78.969</x:v>
      </x:c>
      <x:c r="K51" s="43" t="n">
        <x:f>J51-D51</x:f>
        <x:v>26.408999999999992</x:v>
      </x:c>
      <x:c r="L51" s="26" t="str">
        <x:v>核对明细列有尺寸额外处理费19.25美元；是否在预付中漏估须原始报价确认。
核对明细列有住宅派送费3.22美元；是否在预付中漏估须原始报价确认。
核对明细列有派送区域/偏远费3.30美元；是否在预付中漏估尚未确认。
预付反推Zone6，最终Zone5；不代表分区错误，需查原邮编与合同。
试算偏差较大：缺原始报价/折扣/尺寸，不能强行归因。</x:v>
      </x:c>
      <x:c r="M51" s="26" t="str">
        <x:v>账单已对账；现有假设未还原预付</x:v>
      </x:c>
      <x:c r="N51" s="26" t="str">
        <x:v>20260702</x:v>
      </x:c>
      <x:c r="O51" s="26" t="n">
        <x:v>5</x:v>
      </x:c>
      <x:c r="P51" s="31" t="n">
        <x:v>41.00598076638723</x:v>
      </x:c>
      <x:c r="Q51" s="31"/>
      <x:c r="R51" s="26" t="n">
        <x:v>41</x:v>
      </x:c>
      <x:c r="S51" s="26" t="n">
        <x:v>166</x:v>
      </x:c>
      <x:c r="T51" s="43" t="n">
        <x:v>46.39</x:v>
      </x:c>
      <x:c r="U51" s="43" t="n">
        <x:v>-14.84</x:v>
      </x:c>
      <x:c r="V51" s="43" t="n">
        <x:v>25.77</x:v>
      </x:c>
      <x:c r="W51" s="43" t="n">
        <x:v>14.47</x:v>
      </x:c>
      <x:c r="X51" s="44" t="n">
        <x:v>0.2525</x:v>
      </x:c>
      <x:c r="Y51" s="30" t="b">
        <x:v>0</x:v>
      </x:c>
      <x:c r="Z51" s="26" t="n">
        <x:v>6</x:v>
      </x:c>
      <x:c r="AA51" s="26" t="n">
        <x:v>41</x:v>
      </x:c>
      <x:c r="AB51" s="26" t="n">
        <x:v>221</x:v>
      </x:c>
      <x:c r="AC51" s="43" t="n">
        <x:v>39</x:v>
      </x:c>
    </x:row>
    <x:row r="52" ht="135" customHeight="1">
      <x:c r="A52" s="26" t="n">
        <x:v>51</x:v>
      </x:c>
      <x:c r="B52" s="26" t="str">
        <x:v>873803439087</x:v>
      </x:c>
      <x:c r="C52" s="26" t="str">
        <x:v>AC70</x:v>
      </x:c>
      <x:c r="D52" s="43" t="n">
        <x:v>24.44</x:v>
      </x:c>
      <x:c r="E52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F52" s="43" t="n">
        <x:v>24.4</x:v>
      </x:c>
      <x:c r="G52" s="43" t="n">
        <x:f>F52-D52</x:f>
        <x:v>-0.0400000000000027</x:v>
      </x:c>
      <x:c r="H52" s="26" t="str">
        <x:v>运输费32.50
−折扣12.68
＋Add'l Handling-Packaging 16.50
＋燃油9.08
＝承运净额45.40
账单实收49.940（按既有收费规则）</x:v>
      </x:c>
      <x:c r="I52" s="43" t="n">
        <x:v>45.4</x:v>
      </x:c>
      <x:c r="J52" s="43" t="n">
        <x:v>49.94</x:v>
      </x:c>
      <x:c r="K52" s="43" t="n">
        <x:f>J52-D52</x:f>
        <x:v>25.499999999999996</x:v>
      </x:c>
      <x:c r="L52" s="26" t="str">
        <x:v>核对明细列有包装额外处理费16.50美元；是否在预付中漏估须原始报价确认。</x:v>
      </x:c>
      <x:c r="M52" s="26" t="str">
        <x:v>账单已对账；预付试算接近（差≤0.15）</x:v>
      </x:c>
      <x:c r="N52" s="26" t="str">
        <x:v>20260717</x:v>
      </x:c>
      <x:c r="O52" s="26" t="n">
        <x:v>5</x:v>
      </x:c>
      <x:c r="P52" s="31" t="n">
        <x:v>22.487150742857512</x:v>
      </x:c>
      <x:c r="Q52" s="31" t="n">
        <x:v>25.7</x:v>
      </x:c>
      <x:c r="R52" s="26" t="n">
        <x:v>26</x:v>
      </x:c>
      <x:c r="S52" s="26" t="n">
        <x:v>166</x:v>
      </x:c>
      <x:c r="T52" s="43" t="n">
        <x:v>32.5</x:v>
      </x:c>
      <x:c r="U52" s="43" t="n">
        <x:v>-12.68</x:v>
      </x:c>
      <x:c r="V52" s="43" t="n">
        <x:v>16.5</x:v>
      </x:c>
      <x:c r="W52" s="43" t="n">
        <x:v>9.08</x:v>
      </x:c>
      <x:c r="X52" s="44" t="n">
        <x:v>0.25</x:v>
      </x:c>
      <x:c r="Y52" s="30" t="b">
        <x:v>0</x:v>
      </x:c>
      <x:c r="Z52" s="26" t="n">
        <x:v>5</x:v>
      </x:c>
      <x:c r="AA52" s="26" t="n">
        <x:v>23</x:v>
      </x:c>
      <x:c r="AB52" s="26" t="n">
        <x:v>431</x:v>
      </x:c>
      <x:c r="AC52" s="43" t="n">
        <x:v>24.4</x:v>
      </x:c>
    </x:row>
    <x:row r="53" ht="135" customHeight="1">
      <x:c r="A53" s="26" t="n">
        <x:v>52</x:v>
      </x:c>
      <x:c r="B53" s="26" t="str">
        <x:v>873743038264</x:v>
      </x:c>
      <x:c r="C53" s="26" t="str">
        <x:v>PV350</x:v>
      </x:c>
      <x:c r="D53" s="43" t="n">
        <x:v>25.79</x:v>
      </x:c>
      <x:c r="E53" s="26" t="str">
        <x:v>缺核对明细，无法重建预付；原预付仅按基础表保留。</x:v>
      </x:c>
      <x:c r="F53" s="43"/>
      <x:c r="G53" s="43"/>
      <x:c r="H53" s="26" t="str">
        <x:v>缺原始核对明细，无法拆分。</x:v>
      </x:c>
      <x:c r="I53" s="43"/>
      <x:c r="J53" s="43" t="n">
        <x:v>50.424</x:v>
      </x:c>
      <x:c r="K53" s="43" t="n">
        <x:f>J53-D53</x:f>
        <x:v>24.634</x:v>
      </x:c>
      <x:c r="L53" s="26" t="str">
        <x:v>核对表无唯一匹配费用明细，无法确认差距原因；需补原始FedEx账单。</x:v>
      </x:c>
      <x:c r="M53" s="26" t="str">
        <x:v>缺核对明细，原因未确认</x:v>
      </x:c>
      <x:c r="N53" s="26"/>
      <x:c r="O53" s="26"/>
      <x:c r="P53" s="31"/>
      <x:c r="Q53" s="31"/>
      <x:c r="R53" s="26"/>
      <x:c r="S53" s="26"/>
      <x:c r="T53" s="43"/>
      <x:c r="U53" s="43"/>
      <x:c r="V53" s="43"/>
      <x:c r="W53" s="43"/>
      <x:c r="X53" s="44"/>
      <x:c r="Y53" s="26"/>
      <x:c r="Z53" s="26"/>
      <x:c r="AA53" s="26"/>
      <x:c r="AB53" s="26"/>
      <x:c r="AC53" s="43"/>
    </x:row>
    <x:row r="54" ht="135" customHeight="1">
      <x:c r="A54" s="26" t="n">
        <x:v>53</x:v>
      </x:c>
      <x:c r="B54" s="26" t="str">
        <x:v>873967903896</x:v>
      </x:c>
      <x:c r="C54" s="26" t="str">
        <x:v>EL30V2</x:v>
      </x:c>
      <x:c r="D54" s="43" t="n">
        <x:v>19.69</x:v>
      </x:c>
      <x:c r="E54" s="26" t="str">
        <x:v>反推假设：10lb、Zone7（账单Zone5）。
标准运费23.87×61%≈14.56
＋假设折后附加费0.00
＋燃油(14.56＋0.00)×25.00%≈3.64
＝预估承运成本18.20
按既有收费规则折算→预付20.02；与原预付差+0.33。</x:v>
      </x:c>
      <x:c r="F54" s="43" t="n">
        <x:v>20.02</x:v>
      </x:c>
      <x:c r="G54" s="43" t="n">
        <x:f>F54-D54</x:f>
        <x:v>0.3299999999999983</x:v>
      </x:c>
      <x:c r="H54" s="26" t="str">
        <x:v>运输费32.15
＋燃油8.04
＝承运净额40.19
账单实收44.209（按既有收费规则）</x:v>
      </x:c>
      <x:c r="I54" s="43" t="n">
        <x:v>40.19</x:v>
      </x:c>
      <x:c r="J54" s="43" t="n">
        <x:v>44.209</x:v>
      </x:c>
      <x:c r="K54" s="43" t="n">
        <x:f>J54-D54</x:f>
        <x:v>24.519000000000002</x:v>
      </x:c>
      <x:c r="L54" s="26" t="str">
        <x:v>7月13日批次：无折扣行、体积重除数139，需查账户/渠道及折扣。
运输费吻合公开零售价；该价表注明已含燃油，另列燃油是否重复计入需原发票核验。
预付反推Zone7，最终Zone5；不代表分区错误，需查原邮编与合同。
试算偏差较大：缺原始报价/折扣/尺寸，不能强行归因。</x:v>
      </x:c>
      <x:c r="M54" s="26" t="str">
        <x:v>账单已对账；现有假设未还原预付</x:v>
      </x:c>
      <x:c r="N54" s="26" t="str">
        <x:v>20260713</x:v>
      </x:c>
      <x:c r="O54" s="26" t="n">
        <x:v>5</x:v>
      </x:c>
      <x:c r="P54" s="31" t="n">
        <x:v>9.986940476974954</x:v>
      </x:c>
      <x:c r="Q54" s="31" t="n">
        <x:v>13</x:v>
      </x:c>
      <x:c r="R54" s="26" t="n">
        <x:v>16</x:v>
      </x:c>
      <x:c r="S54" s="26" t="n">
        <x:v>139</x:v>
      </x:c>
      <x:c r="T54" s="43" t="n">
        <x:v>32.15</x:v>
      </x:c>
      <x:c r="U54" s="43" t="n">
        <x:v>0</x:v>
      </x:c>
      <x:c r="V54" s="43" t="n">
        <x:v>0</x:v>
      </x:c>
      <x:c r="W54" s="43" t="n">
        <x:v>8.04</x:v>
      </x:c>
      <x:c r="X54" s="44" t="n">
        <x:v>0.25</x:v>
      </x:c>
      <x:c r="Y54" s="30" t="b">
        <x:v>1</x:v>
      </x:c>
      <x:c r="Z54" s="26" t="n">
        <x:v>7</x:v>
      </x:c>
      <x:c r="AA54" s="26" t="n">
        <x:v>10</x:v>
      </x:c>
      <x:c r="AB54" s="26" t="n">
        <x:v>380</x:v>
      </x:c>
      <x:c r="AC54" s="43" t="n">
        <x:v>17.16</x:v>
      </x:c>
    </x:row>
    <x:row r="55" ht="135" customHeight="1">
      <x:c r="A55" s="26" t="n">
        <x:v>54</x:v>
      </x:c>
      <x:c r="B55" s="26" t="str">
        <x:v>874596029426</x:v>
      </x:c>
      <x:c r="C55" s="26" t="str">
        <x:v>PV350</x:v>
      </x:c>
      <x:c r="D55" s="43" t="n">
        <x:v>20.19</x:v>
      </x:c>
      <x:c r="E55" s="26" t="str">
        <x:v>反推假设：31lb、Zone2（账单Zone2）。
标准运费24.01×61%≈14.65
＋假设折后附加费0.00
＋燃油(14.65＋0.00)×25.75%≈3.77
＝预估承运成本18.42
按既有收费规则折算→预付20.26；与原预付差+0.07。</x:v>
      </x:c>
      <x:c r="F55" s="43" t="n">
        <x:v>20.26</x:v>
      </x:c>
      <x:c r="G55" s="43" t="n">
        <x:f>F55-D55</x:f>
        <x:v>0.07000000000000028</x:v>
      </x:c>
      <x:c r="H55" s="26" t="str">
        <x:v>运输费26.79
−折扣10.45
＋Add'l Handling-Dimension 14.75
＋燃油8.01
＝承运净额39.10
账单实收43.010（按既有收费规则）</x:v>
      </x:c>
      <x:c r="I55" s="43" t="n">
        <x:v>39.1</x:v>
      </x:c>
      <x:c r="J55" s="43" t="n">
        <x:v>43.01</x:v>
      </x:c>
      <x:c r="K55" s="43" t="n">
        <x:f>J55-D55</x:f>
        <x:v>22.819999999999997</x:v>
      </x:c>
      <x:c r="L55" s="26" t="str">
        <x:v>核对明细列有尺寸额外处理费14.75美元；是否在预付中漏估须原始报价确认。</x:v>
      </x:c>
      <x:c r="M55" s="26" t="str">
        <x:v>账单已对账；预付试算接近（差≤0.15）</x:v>
      </x:c>
      <x:c r="N55" s="26" t="str">
        <x:v>20260727</x:v>
      </x:c>
      <x:c r="O55" s="26" t="n">
        <x:v>2</x:v>
      </x:c>
      <x:c r="P55" s="31" t="n">
        <x:v>30.86471670588286</x:v>
      </x:c>
      <x:c r="Q55" s="31" t="n">
        <x:v>35.2</x:v>
      </x:c>
      <x:c r="R55" s="26" t="n">
        <x:v>40</x:v>
      </x:c>
      <x:c r="S55" s="26" t="n">
        <x:v>166</x:v>
      </x:c>
      <x:c r="T55" s="43" t="n">
        <x:v>26.79</x:v>
      </x:c>
      <x:c r="U55" s="43" t="n">
        <x:v>-10.45</x:v>
      </x:c>
      <x:c r="V55" s="43" t="n">
        <x:v>14.75</x:v>
      </x:c>
      <x:c r="W55" s="43" t="n">
        <x:v>8.01</x:v>
      </x:c>
      <x:c r="X55" s="44" t="n">
        <x:v>0.2575</x:v>
      </x:c>
      <x:c r="Y55" s="30" t="b">
        <x:v>0</x:v>
      </x:c>
      <x:c r="Z55" s="26" t="n">
        <x:v>2</x:v>
      </x:c>
      <x:c r="AA55" s="26" t="n">
        <x:v>31</x:v>
      </x:c>
      <x:c r="AB55" s="26" t="n">
        <x:v>555</x:v>
      </x:c>
      <x:c r="AC55" s="43" t="n">
        <x:v>20.26</x:v>
      </x:c>
    </x:row>
    <x:row r="56" ht="135" customHeight="1">
      <x:c r="A56" s="26" t="n">
        <x:v>55</x:v>
      </x:c>
      <x:c r="B56" s="26" t="str">
        <x:v>874585659895</x:v>
      </x:c>
      <x:c r="C56" s="26" t="str">
        <x:v>AC300</x:v>
      </x:c>
      <x:c r="D56" s="43" t="n">
        <x:v>59.67</x:v>
      </x:c>
      <x:c r="E56" s="26" t="str">
        <x:v>反推假设：65lb、Zone2（账单Zone2）。
标准运费33.29×61%≈20.31
＋假设折后附加费23.00
＋燃油(20.31＋23.00)×25.75%≈11.15
＝预估承运成本54.46
按既有收费规则折算→预付59.91；与原预付差+0.24。</x:v>
      </x:c>
      <x:c r="F56" s="43" t="n">
        <x:v>59.91</x:v>
      </x:c>
      <x:c r="G56" s="43" t="n">
        <x:f>F56-D56</x:f>
        <x:v>0.23999999999999488</x:v>
      </x:c>
      <x:c r="H56" s="26" t="str">
        <x:v>运输费59.86
−折扣23.35
＋Add'l Handling-Weight 23.00
＋燃油15.32
＝承运净额74.83
账单实收82.313（按既有收费规则）</x:v>
      </x:c>
      <x:c r="I56" s="43" t="n">
        <x:v>74.83</x:v>
      </x:c>
      <x:c r="J56" s="43" t="n">
        <x:v>82.313</x:v>
      </x:c>
      <x:c r="K56" s="43" t="n">
        <x:f>J56-D56</x:f>
        <x:v>22.643</x:v>
      </x:c>
      <x:c r="L56" s="26" t="str">
        <x:v>试算偏差较大：缺原始报价/折扣/尺寸，不能强行归因。</x:v>
      </x:c>
      <x:c r="M56" s="26" t="str">
        <x:v>账单已对账；现有假设未还原预付</x:v>
      </x:c>
      <x:c r="N56" s="26" t="str">
        <x:v>20260727</x:v>
      </x:c>
      <x:c r="O56" s="26" t="n">
        <x:v>2</x:v>
      </x:c>
      <x:c r="P56" s="31" t="n">
        <x:v>64.9922748921019</x:v>
      </x:c>
      <x:c r="Q56" s="31" t="n">
        <x:v>67.1</x:v>
      </x:c>
      <x:c r="R56" s="26" t="n">
        <x:v>89</x:v>
      </x:c>
      <x:c r="S56" s="26" t="n">
        <x:v>166</x:v>
      </x:c>
      <x:c r="T56" s="43" t="n">
        <x:v>59.86</x:v>
      </x:c>
      <x:c r="U56" s="43" t="n">
        <x:v>-23.35</x:v>
      </x:c>
      <x:c r="V56" s="43" t="n">
        <x:v>23</x:v>
      </x:c>
      <x:c r="W56" s="43" t="n">
        <x:v>15.32</x:v>
      </x:c>
      <x:c r="X56" s="44" t="n">
        <x:v>0.2575</x:v>
      </x:c>
      <x:c r="Y56" s="30" t="b">
        <x:v>0</x:v>
      </x:c>
      <x:c r="Z56" s="26" t="n">
        <x:v>2</x:v>
      </x:c>
      <x:c r="AA56" s="26" t="n">
        <x:v>65</x:v>
      </x:c>
      <x:c r="AB56" s="26" t="n">
        <x:v>548</x:v>
      </x:c>
      <x:c r="AC56" s="43" t="n">
        <x:v>59.91</x:v>
      </x:c>
    </x:row>
    <x:row r="57" ht="135" customHeight="1">
      <x:c r="A57" s="26" t="n">
        <x:v>56</x:v>
      </x:c>
      <x:c r="B57" s="26" t="str">
        <x:v>874206828837</x:v>
      </x:c>
      <x:c r="C57" s="26" t="str">
        <x:v>EL300</x:v>
      </x:c>
      <x:c r="D57" s="43" t="n">
        <x:v>149.24</x:v>
      </x:c>
      <x:c r="E57" s="26" t="str">
        <x:v>反推假设：67lb、Zone8（账单Zone4）。
标准运费102.42×61%≈62.48
＋假设折后附加费29.38
＋燃油(62.48＋29.38)×25.00%≈22.97
＝预估承运成本114.83
按既有收费规则折算→预付126.31；与原预付差-22.93。</x:v>
      </x:c>
      <x:c r="F57" s="43" t="n">
        <x:v>126.31</x:v>
      </x:c>
      <x:c r="G57" s="43" t="n">
        <x:f>F57-D57</x:f>
        <x:v>-22.930000000000007</x:v>
      </x:c>
      <x:c r="H57" s="26" t="str">
        <x:v>运输费74.68
＋Add'l Handling-Weight 50.25
＋燃油31.23
＝承运净额156.16
账单实收171.776（按既有收费规则）</x:v>
      </x:c>
      <x:c r="I57" s="43" t="n">
        <x:v>156.16</x:v>
      </x:c>
      <x:c r="J57" s="43" t="n">
        <x:v>171.776</x:v>
      </x:c>
      <x:c r="K57" s="43" t="n">
        <x:f>J57-D57</x:f>
        <x:v>22.536</x:v>
      </x:c>
      <x:c r="L57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
预付反推Zone8，最终Zone4；不代表分区错误，需查原邮编与合同。
试算偏差较大：缺原始报价/折扣/尺寸，不能强行归因。</x:v>
      </x:c>
      <x:c r="M57" s="26" t="str">
        <x:v>账单已对账；现有假设未还原预付</x:v>
      </x:c>
      <x:c r="N57" s="26" t="str">
        <x:v>20260713</x:v>
      </x:c>
      <x:c r="O57" s="26" t="n">
        <x:v>4</x:v>
      </x:c>
      <x:c r="P57" s="31" t="n">
        <x:v>66.13867865546327</x:v>
      </x:c>
      <x:c r="Q57" s="31" t="n">
        <x:v>64.9</x:v>
      </x:c>
      <x:c r="R57" s="26" t="n">
        <x:v>65</x:v>
      </x:c>
      <x:c r="S57" s="26" t="n">
        <x:v>139</x:v>
      </x:c>
      <x:c r="T57" s="43" t="n">
        <x:v>74.68</x:v>
      </x:c>
      <x:c r="U57" s="43" t="n">
        <x:v>0</x:v>
      </x:c>
      <x:c r="V57" s="43" t="n">
        <x:v>50.25</x:v>
      </x:c>
      <x:c r="W57" s="43" t="n">
        <x:v>31.23</x:v>
      </x:c>
      <x:c r="X57" s="44" t="n">
        <x:v>0.25</x:v>
      </x:c>
      <x:c r="Y57" s="30" t="b">
        <x:v>1</x:v>
      </x:c>
      <x:c r="Z57" s="26" t="n">
        <x:v>8</x:v>
      </x:c>
      <x:c r="AA57" s="26" t="n">
        <x:v>67</x:v>
      </x:c>
      <x:c r="AB57" s="26" t="n">
        <x:v>409</x:v>
      </x:c>
      <x:c r="AC57" s="43" t="n">
        <x:v>74.64</x:v>
      </x:c>
    </x:row>
    <x:row r="58" ht="135" customHeight="1">
      <x:c r="A58" s="26" t="n">
        <x:v>57</x:v>
      </x:c>
      <x:c r="B58" s="26" t="str">
        <x:v>873067151160</x:v>
      </x:c>
      <x:c r="C58" s="26" t="str">
        <x:v>EL100V2</x:v>
      </x:c>
      <x:c r="D58" s="43" t="n">
        <x:v>35.03</x:v>
      </x:c>
      <x:c r="E58" s="26" t="str">
        <x:v>反推假设：27lb、Zone6（账单Zone6）。
标准运费41.42×61%≈25.27
＋假设折后附加费0.00
＋燃油(25.27＋0.00)×26.00%≈6.57
＝预估承运成本31.84
按既有收费规则折算→预付35.02；与原预付差-0.01。</x:v>
      </x:c>
      <x:c r="F58" s="43" t="n">
        <x:v>35.02</x:v>
      </x:c>
      <x:c r="G58" s="43" t="n">
        <x:f>F58-D58</x:f>
        <x:v>-0.00999999999999801</x:v>
      </x:c>
      <x:c r="H58" s="26" t="str">
        <x:v>运输费67.95
−折扣26.50
＋燃油10.78
＝承运净额52.23
账单实收57.453（按既有收费规则）</x:v>
      </x:c>
      <x:c r="I58" s="43" t="n">
        <x:v>52.23</x:v>
      </x:c>
      <x:c r="J58" s="43" t="n">
        <x:v>57.453</x:v>
      </x:c>
      <x:c r="K58" s="43" t="n">
        <x:f>J58-D58</x:f>
        <x:v>22.423000000000002</x:v>
      </x:c>
      <x:c r="L58" s="26" t="str">
        <x:v>实际比预估重11.34lb，需核对称重与申报。</x:v>
      </x:c>
      <x:c r="M58" s="26" t="str">
        <x:v>账单已对账；预付试算接近（差≤0.15）</x:v>
      </x:c>
      <x:c r="N58" s="26" t="str">
        <x:v>20260617</x:v>
      </x:c>
      <x:c r="O58" s="26" t="n">
        <x:v>6</x:v>
      </x:c>
      <x:c r="P58" s="31" t="n">
        <x:v>26.455471462185308</x:v>
      </x:c>
      <x:c r="Q58" s="31" t="n">
        <x:v>37.8</x:v>
      </x:c>
      <x:c r="R58" s="26" t="n">
        <x:v>52</x:v>
      </x:c>
      <x:c r="S58" s="26" t="n">
        <x:v>166</x:v>
      </x:c>
      <x:c r="T58" s="43" t="n">
        <x:v>67.95</x:v>
      </x:c>
      <x:c r="U58" s="43" t="n">
        <x:v>-26.5</x:v>
      </x:c>
      <x:c r="V58" s="43" t="n">
        <x:v>0</x:v>
      </x:c>
      <x:c r="W58" s="43" t="n">
        <x:v>10.78</x:v>
      </x:c>
      <x:c r="X58" s="44" t="n">
        <x:v>0.26</x:v>
      </x:c>
      <x:c r="Y58" s="30" t="b">
        <x:v>0</x:v>
      </x:c>
      <x:c r="Z58" s="26" t="n">
        <x:v>6</x:v>
      </x:c>
      <x:c r="AA58" s="26" t="n">
        <x:v>27</x:v>
      </x:c>
      <x:c r="AB58" s="26" t="n">
        <x:v>69</x:v>
      </x:c>
      <x:c r="AC58" s="43" t="n">
        <x:v>35.02</x:v>
      </x:c>
    </x:row>
    <x:row r="59" ht="135" customHeight="1">
      <x:c r="A59" s="26" t="n">
        <x:v>58</x:v>
      </x:c>
      <x:c r="B59" s="26" t="str">
        <x:v>874027781816</x:v>
      </x:c>
      <x:c r="C59" s="26" t="str">
        <x:v>AC70</x:v>
      </x:c>
      <x:c r="D59" s="43" t="n">
        <x:v>24.39</x:v>
      </x:c>
      <x:c r="E59" s="26" t="str">
        <x:v>反推假设：23lb、Zone5（账单Zone8）。
标准运费29.09×61%≈17.74
＋假设折后附加费0.00
＋燃油(17.74＋0.00)×25.00%≈4.44
＝预估承运成本22.18
按既有收费规则折算→预付24.40；与原预付差+0.01。</x:v>
      </x:c>
      <x:c r="F59" s="43" t="n">
        <x:v>24.4</x:v>
      </x:c>
      <x:c r="G59" s="43" t="n">
        <x:f>F59-D59</x:f>
        <x:v>0.00999999999999801</x:v>
      </x:c>
      <x:c r="H59" s="26" t="str">
        <x:v>运输费55.65
−折扣21.70
＋燃油8.49
＝承运净额42.44
账单实收46.684（按既有收费规则）</x:v>
      </x:c>
      <x:c r="I59" s="43" t="n">
        <x:v>42.44</x:v>
      </x:c>
      <x:c r="J59" s="43" t="n">
        <x:v>46.684</x:v>
      </x:c>
      <x:c r="K59" s="43" t="n">
        <x:f>J59-D59</x:f>
        <x:v>22.293999999999997</x:v>
      </x:c>
      <x:c r="L59" s="26" t="str">
        <x:v>预付反推Zone5，最终Zone8；不代表分区错误，需查原邮编与合同。</x:v>
      </x:c>
      <x:c r="M59" s="26" t="str">
        <x:v>账单已对账；预付试算接近（差≤0.15）</x:v>
      </x:c>
      <x:c r="N59" s="26" t="str">
        <x:v>20260707</x:v>
      </x:c>
      <x:c r="O59" s="26" t="n">
        <x:v>8</x:v>
      </x:c>
      <x:c r="P59" s="31" t="n">
        <x:v>22.487150742857512</x:v>
      </x:c>
      <x:c r="Q59" s="31" t="n">
        <x:v>26.8</x:v>
      </x:c>
      <x:c r="R59" s="26" t="n">
        <x:v>27</x:v>
      </x:c>
      <x:c r="S59" s="26" t="n">
        <x:v>166</x:v>
      </x:c>
      <x:c r="T59" s="43" t="n">
        <x:v>55.65</x:v>
      </x:c>
      <x:c r="U59" s="43" t="n">
        <x:v>-21.7</x:v>
      </x:c>
      <x:c r="V59" s="43" t="n">
        <x:v>0</x:v>
      </x:c>
      <x:c r="W59" s="43" t="n">
        <x:v>8.49</x:v>
      </x:c>
      <x:c r="X59" s="44" t="n">
        <x:v>0.25</x:v>
      </x:c>
      <x:c r="Y59" s="30" t="b">
        <x:v>0</x:v>
      </x:c>
      <x:c r="Z59" s="26" t="n">
        <x:v>5</x:v>
      </x:c>
      <x:c r="AA59" s="26" t="n">
        <x:v>23</x:v>
      </x:c>
      <x:c r="AB59" s="26" t="n">
        <x:v>303</x:v>
      </x:c>
      <x:c r="AC59" s="43" t="n">
        <x:v>40.82</x:v>
      </x:c>
    </x:row>
    <x:row r="60" ht="135" customHeight="1">
      <x:c r="A60" s="26" t="n">
        <x:v>59</x:v>
      </x:c>
      <x:c r="B60" s="26" t="str">
        <x:v>872831064790</x:v>
      </x:c>
      <x:c r="C60" s="26" t="str">
        <x:v>CHARGER2</x:v>
      </x:c>
      <x:c r="D60" s="43" t="n">
        <x:v>11.82</x:v>
      </x:c>
      <x:c r="E60" s="26" t="str">
        <x:v>缺核对明细，无法重建预付；原预付仅按基础表保留。</x:v>
      </x:c>
      <x:c r="F60" s="43"/>
      <x:c r="G60" s="43"/>
      <x:c r="H60" s="26" t="str">
        <x:v>缺原始核对明细，无法拆分。</x:v>
      </x:c>
      <x:c r="I60" s="43"/>
      <x:c r="J60" s="43" t="n">
        <x:v>33.92</x:v>
      </x:c>
      <x:c r="K60" s="43" t="n">
        <x:f>J60-D60</x:f>
        <x:v>22.1</x:v>
      </x:c>
      <x:c r="L60" s="26" t="str">
        <x:v>核对表无唯一匹配费用明细，无法确认差距原因；需补原始FedEx账单。</x:v>
      </x:c>
      <x:c r="M60" s="26" t="str">
        <x:v>缺核对明细，原因未确认</x:v>
      </x:c>
      <x:c r="N60" s="26"/>
      <x:c r="O60" s="26"/>
      <x:c r="P60" s="31"/>
      <x:c r="Q60" s="31"/>
      <x:c r="R60" s="26"/>
      <x:c r="S60" s="26"/>
      <x:c r="T60" s="43"/>
      <x:c r="U60" s="43"/>
      <x:c r="V60" s="43"/>
      <x:c r="W60" s="43"/>
      <x:c r="X60" s="44"/>
      <x:c r="Y60" s="26"/>
      <x:c r="Z60" s="26"/>
      <x:c r="AA60" s="26"/>
      <x:c r="AB60" s="26"/>
      <x:c r="AC60" s="43"/>
    </x:row>
    <x:row r="61" ht="135" customHeight="1">
      <x:c r="A61" s="26" t="n">
        <x:v>60</x:v>
      </x:c>
      <x:c r="B61" s="26" t="str">
        <x:v>875086683086</x:v>
      </x:c>
      <x:c r="C61" s="26" t="str">
        <x:v>B300</x:v>
      </x:c>
      <x:c r="D61" s="43" t="n">
        <x:v>70.66</x:v>
      </x:c>
      <x:c r="E61" s="26" t="str">
        <x:v>缺核对明细，无法重建预付；原预付仅按基础表保留。</x:v>
      </x:c>
      <x:c r="F61" s="43"/>
      <x:c r="G61" s="43"/>
      <x:c r="H61" s="26" t="str">
        <x:v>缺原始核对明细，无法拆分。</x:v>
      </x:c>
      <x:c r="I61" s="43"/>
      <x:c r="J61" s="43" t="n">
        <x:v>92.444</x:v>
      </x:c>
      <x:c r="K61" s="43" t="n">
        <x:f>J61-D61</x:f>
        <x:v>21.784000000000006</x:v>
      </x:c>
      <x:c r="L61" s="26" t="str">
        <x:v>核对表无唯一匹配费用明细，无法确认差距原因；需补原始FedEx账单。</x:v>
      </x:c>
      <x:c r="M61" s="26" t="str">
        <x:v>缺核对明细，原因未确认</x:v>
      </x:c>
      <x:c r="N61" s="26"/>
      <x:c r="O61" s="26"/>
      <x:c r="P61" s="31"/>
      <x:c r="Q61" s="31"/>
      <x:c r="R61" s="26"/>
      <x:c r="S61" s="26"/>
      <x:c r="T61" s="43"/>
      <x:c r="U61" s="43"/>
      <x:c r="V61" s="43"/>
      <x:c r="W61" s="43"/>
      <x:c r="X61" s="44"/>
      <x:c r="Y61" s="26"/>
      <x:c r="Z61" s="26"/>
      <x:c r="AA61" s="26"/>
      <x:c r="AB61" s="26"/>
      <x:c r="AC61" s="43"/>
    </x:row>
    <x:row r="62" ht="135" customHeight="1">
      <x:c r="A62" s="26" t="n">
        <x:v>61</x:v>
      </x:c>
      <x:c r="B62" s="26" t="str">
        <x:v>874595913300</x:v>
      </x:c>
      <x:c r="C62" s="26" t="str">
        <x:v>AP300</x:v>
      </x:c>
      <x:c r="D62" s="43" t="n">
        <x:v>74.26</x:v>
      </x:c>
      <x:c r="E62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F62" s="43" t="n">
        <x:v>74.56</x:v>
      </x:c>
      <x:c r="G62" s="43" t="n">
        <x:f>F62-D62</x:f>
        <x:v>0.29999999999999716</x:v>
      </x:c>
      <x:c r="H62" s="26" t="str">
        <x:v>运输费75.13
−折扣29.30
＋Add'l Handling-Weight 23.00
＋燃油17.72
＝承运净额86.55
账单实收95.205（按既有收费规则）</x:v>
      </x:c>
      <x:c r="I62" s="43" t="n">
        <x:v>86.55</x:v>
      </x:c>
      <x:c r="J62" s="43" t="n">
        <x:v>95.205</x:v>
      </x:c>
      <x:c r="K62" s="43" t="n">
        <x:f>J62-D62</x:f>
        <x:v>20.944999999999993</x:v>
      </x:c>
      <x:c r="L62" s="26" t="str">
        <x:v>实际比预估重16.22lb，需核对称重与申报。
试算偏差较大：缺原始报价/折扣/尺寸，不能强行归因。</x:v>
      </x:c>
      <x:c r="M62" s="26" t="str">
        <x:v>账单已对账；现有假设未还原预付</x:v>
      </x:c>
      <x:c r="N62" s="26" t="str">
        <x:v>20260727</x:v>
      </x:c>
      <x:c r="O62" s="26" t="n">
        <x:v>2</x:v>
      </x:c>
      <x:c r="P62" s="31" t="n">
        <x:v>83.77565963025347</x:v>
      </x:c>
      <x:c r="Q62" s="31" t="n">
        <x:v>100</x:v>
      </x:c>
      <x:c r="R62" s="26" t="n">
        <x:v>101</x:v>
      </x:c>
      <x:c r="S62" s="26" t="n">
        <x:v>166</x:v>
      </x:c>
      <x:c r="T62" s="43" t="n">
        <x:v>75.13</x:v>
      </x:c>
      <x:c r="U62" s="43" t="n">
        <x:v>-29.3</x:v>
      </x:c>
      <x:c r="V62" s="43" t="n">
        <x:v>23</x:v>
      </x:c>
      <x:c r="W62" s="43" t="n">
        <x:v>17.72</x:v>
      </x:c>
      <x:c r="X62" s="44" t="n">
        <x:v>0.2575</x:v>
      </x:c>
      <x:c r="Y62" s="30" t="b">
        <x:v>0</x:v>
      </x:c>
      <x:c r="Z62" s="26" t="n">
        <x:v>2</x:v>
      </x:c>
      <x:c r="AA62" s="26" t="n">
        <x:v>84</x:v>
      </x:c>
      <x:c r="AB62" s="26" t="n">
        <x:v>554</x:v>
      </x:c>
      <x:c r="AC62" s="43" t="n">
        <x:v>74.56</x:v>
      </x:c>
    </x:row>
    <x:row r="63" ht="135" customHeight="1">
      <x:c r="A63" s="26" t="n">
        <x:v>62</x:v>
      </x:c>
      <x:c r="B63" s="26" t="str">
        <x:v>874595829270</x:v>
      </x:c>
      <x:c r="C63" s="26" t="str">
        <x:v>AP300</x:v>
      </x:c>
      <x:c r="D63" s="43" t="n">
        <x:v>74.26</x:v>
      </x:c>
      <x:c r="E63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F63" s="43" t="n">
        <x:v>74.56</x:v>
      </x:c>
      <x:c r="G63" s="43" t="n">
        <x:f>F63-D63</x:f>
        <x:v>0.29999999999999716</x:v>
      </x:c>
      <x:c r="H63" s="26" t="str">
        <x:v>运输费74.61
−折扣29.10
＋Add'l Handling-Weight 23.00
＋燃油17.64
＝承运净额86.15
账单实收94.765（按既有收费规则）</x:v>
      </x:c>
      <x:c r="I63" s="43" t="n">
        <x:v>86.15</x:v>
      </x:c>
      <x:c r="J63" s="43" t="n">
        <x:v>94.765</x:v>
      </x:c>
      <x:c r="K63" s="43" t="n">
        <x:f>J63-D63</x:f>
        <x:v>20.504999999999995</x:v>
      </x:c>
      <x:c r="L63" s="26" t="str">
        <x:v>实际比预估重15.92lb，需核对称重与申报。
试算偏差较大：缺原始报价/折扣/尺寸，不能强行归因。</x:v>
      </x:c>
      <x:c r="M63" s="26" t="str">
        <x:v>账单已对账；现有假设未还原预付</x:v>
      </x:c>
      <x:c r="N63" s="26" t="str">
        <x:v>20260727</x:v>
      </x:c>
      <x:c r="O63" s="26" t="n">
        <x:v>2</x:v>
      </x:c>
      <x:c r="P63" s="31" t="n">
        <x:v>83.77565963025347</x:v>
      </x:c>
      <x:c r="Q63" s="31" t="n">
        <x:v>99.7</x:v>
      </x:c>
      <x:c r="R63" s="26" t="n">
        <x:v>100</x:v>
      </x:c>
      <x:c r="S63" s="26" t="n">
        <x:v>166</x:v>
      </x:c>
      <x:c r="T63" s="43" t="n">
        <x:v>74.61</x:v>
      </x:c>
      <x:c r="U63" s="43" t="n">
        <x:v>-29.1</x:v>
      </x:c>
      <x:c r="V63" s="43" t="n">
        <x:v>23</x:v>
      </x:c>
      <x:c r="W63" s="43" t="n">
        <x:v>17.64</x:v>
      </x:c>
      <x:c r="X63" s="44" t="n">
        <x:v>0.2575</x:v>
      </x:c>
      <x:c r="Y63" s="30" t="b">
        <x:v>0</x:v>
      </x:c>
      <x:c r="Z63" s="26" t="n">
        <x:v>2</x:v>
      </x:c>
      <x:c r="AA63" s="26" t="n">
        <x:v>84</x:v>
      </x:c>
      <x:c r="AB63" s="26" t="n">
        <x:v>552</x:v>
      </x:c>
      <x:c r="AC63" s="43" t="n">
        <x:v>74.56</x:v>
      </x:c>
    </x:row>
    <x:row r="64" ht="135" customHeight="1">
      <x:c r="A64" s="26" t="n">
        <x:v>63</x:v>
      </x:c>
      <x:c r="B64" s="26" t="str">
        <x:v>874595766890</x:v>
      </x:c>
      <x:c r="C64" s="26" t="str">
        <x:v>AP300</x:v>
      </x:c>
      <x:c r="D64" s="43" t="n">
        <x:v>74.26</x:v>
      </x:c>
      <x:c r="E64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F64" s="43" t="n">
        <x:v>74.56</x:v>
      </x:c>
      <x:c r="G64" s="43" t="n">
        <x:f>F64-D64</x:f>
        <x:v>0.29999999999999716</x:v>
      </x:c>
      <x:c r="H64" s="26" t="str">
        <x:v>运输费74.61
−折扣29.10
＋Add'l Handling-Weight 23.00
＋燃油17.64
＝承运净额86.15
账单实收94.765（按既有收费规则）</x:v>
      </x:c>
      <x:c r="I64" s="43" t="n">
        <x:v>86.15</x:v>
      </x:c>
      <x:c r="J64" s="43" t="n">
        <x:v>94.765</x:v>
      </x:c>
      <x:c r="K64" s="43" t="n">
        <x:f>J64-D64</x:f>
        <x:v>20.504999999999995</x:v>
      </x:c>
      <x:c r="L64" s="26" t="str">
        <x:v>实际比预估重15.82lb，需核对称重与申报。
试算偏差较大：缺原始报价/折扣/尺寸，不能强行归因。</x:v>
      </x:c>
      <x:c r="M64" s="26" t="str">
        <x:v>账单已对账；现有假设未还原预付</x:v>
      </x:c>
      <x:c r="N64" s="26" t="str">
        <x:v>20260727</x:v>
      </x:c>
      <x:c r="O64" s="26" t="n">
        <x:v>2</x:v>
      </x:c>
      <x:c r="P64" s="31" t="n">
        <x:v>83.77565963025347</x:v>
      </x:c>
      <x:c r="Q64" s="31" t="n">
        <x:v>99.6</x:v>
      </x:c>
      <x:c r="R64" s="26" t="n">
        <x:v>100</x:v>
      </x:c>
      <x:c r="S64" s="26" t="n">
        <x:v>166</x:v>
      </x:c>
      <x:c r="T64" s="43" t="n">
        <x:v>74.61</x:v>
      </x:c>
      <x:c r="U64" s="43" t="n">
        <x:v>-29.1</x:v>
      </x:c>
      <x:c r="V64" s="43" t="n">
        <x:v>23</x:v>
      </x:c>
      <x:c r="W64" s="43" t="n">
        <x:v>17.64</x:v>
      </x:c>
      <x:c r="X64" s="44" t="n">
        <x:v>0.2575</x:v>
      </x:c>
      <x:c r="Y64" s="30" t="b">
        <x:v>0</x:v>
      </x:c>
      <x:c r="Z64" s="26" t="n">
        <x:v>2</x:v>
      </x:c>
      <x:c r="AA64" s="26" t="n">
        <x:v>84</x:v>
      </x:c>
      <x:c r="AB64" s="26" t="n">
        <x:v>551</x:v>
      </x:c>
      <x:c r="AC64" s="43" t="n">
        <x:v>74.56</x:v>
      </x:c>
    </x:row>
    <x:row r="65" ht="135" customHeight="1">
      <x:c r="A65" s="26" t="n">
        <x:v>64</x:v>
      </x:c>
      <x:c r="B65" s="26" t="str">
        <x:v>873668650078</x:v>
      </x:c>
      <x:c r="C65" s="26" t="str">
        <x:v>RV5</x:v>
      </x:c>
      <x:c r="D65" s="43" t="n">
        <x:v>22.56</x:v>
      </x:c>
      <x:c r="E65" s="26" t="str">
        <x:v>反推假设：40lb、Zone2（账单Zone2）。
标准运费26.79×61%≈16.34
＋假设折后附加费0.00
＋燃油(16.34＋0.00)×25.25%≈4.13
＝预估承运成本20.47
按既有收费规则折算→预付22.52；与原预付差-0.04。</x:v>
      </x:c>
      <x:c r="F65" s="43" t="n">
        <x:v>22.52</x:v>
      </x:c>
      <x:c r="G65" s="43" t="n">
        <x:f>F65-D65</x:f>
        <x:v>-0.03999999999999915</x:v>
      </x:c>
      <x:c r="H65" s="26" t="str">
        <x:v>运输费28.30
−折扣11.04
＋Add'l Handling-Packaging 13.25
＋燃油7.70
＝承运净额38.21
账单实收42.031（按既有收费规则）</x:v>
      </x:c>
      <x:c r="I65" s="43" t="n">
        <x:v>38.21</x:v>
      </x:c>
      <x:c r="J65" s="43" t="n">
        <x:v>42.031</x:v>
      </x:c>
      <x:c r="K65" s="43" t="n">
        <x:f>J65-D65</x:f>
        <x:v>19.471</x:v>
      </x:c>
      <x:c r="L65" s="26" t="str">
        <x:v>核对明细列有包装额外处理费13.25美元；是否在预付中漏估须原始报价确认。</x:v>
      </x:c>
      <x:c r="M65" s="26" t="str">
        <x:v>账单已对账；预付试算接近（差≤0.15）</x:v>
      </x:c>
      <x:c r="N65" s="26" t="str">
        <x:v>20260702</x:v>
      </x:c>
      <x:c r="O65" s="26" t="n">
        <x:v>2</x:v>
      </x:c>
      <x:c r="P65" s="31" t="n">
        <x:v>39.991854360336795</x:v>
      </x:c>
      <x:c r="Q65" s="31" t="n">
        <x:v>43.5</x:v>
      </x:c>
      <x:c r="R65" s="26" t="n">
        <x:v>44</x:v>
      </x:c>
      <x:c r="S65" s="26" t="n">
        <x:v>166</x:v>
      </x:c>
      <x:c r="T65" s="43" t="n">
        <x:v>28.3</x:v>
      </x:c>
      <x:c r="U65" s="43" t="n">
        <x:v>-11.04</x:v>
      </x:c>
      <x:c r="V65" s="43" t="n">
        <x:v>13.25</x:v>
      </x:c>
      <x:c r="W65" s="43" t="n">
        <x:v>7.7</x:v>
      </x:c>
      <x:c r="X65" s="44" t="n">
        <x:v>0.2525</x:v>
      </x:c>
      <x:c r="Y65" s="30" t="b">
        <x:v>0</x:v>
      </x:c>
      <x:c r="Z65" s="26" t="n">
        <x:v>2</x:v>
      </x:c>
      <x:c r="AA65" s="26" t="n">
        <x:v>40</x:v>
      </x:c>
      <x:c r="AB65" s="26" t="n">
        <x:v>224</x:v>
      </x:c>
      <x:c r="AC65" s="43" t="n">
        <x:v>22.52</x:v>
      </x:c>
    </x:row>
    <x:row r="66" ht="135" customHeight="1">
      <x:c r="A66" s="26" t="n">
        <x:v>65</x:v>
      </x:c>
      <x:c r="B66" s="26" t="str">
        <x:v>874085169204</x:v>
      </x:c>
      <x:c r="C66" s="26" t="str">
        <x:v>EL100V2</x:v>
      </x:c>
      <x:c r="D66" s="43" t="n">
        <x:v>20.38</x:v>
      </x:c>
      <x:c r="E66" s="26" t="str">
        <x:v>反推假设：34lb、Zone2（账单Zone2）。
标准运费24.30×61%≈14.82
＋假设折后附加费0.00
＋燃油(14.82＋0.00)×25.00%≈3.71
＝预估承运成本18.53
按既有收费规则折算→预付20.38；与原预付差+0.00。</x:v>
      </x:c>
      <x:c r="F66" s="43" t="n">
        <x:v>20.38</x:v>
      </x:c>
      <x:c r="G66" s="43" t="n">
        <x:f>F66-D66</x:f>
        <x:v>0</x:v>
      </x:c>
      <x:c r="H66" s="26" t="str">
        <x:v>运输费28.79
＋燃油7.20
＝承运净额35.99
账单实收39.589（按既有收费规则）</x:v>
      </x:c>
      <x:c r="I66" s="43" t="n">
        <x:v>35.99</x:v>
      </x:c>
      <x:c r="J66" s="43" t="n">
        <x:v>39.589</x:v>
      </x:c>
      <x:c r="K66" s="43" t="n">
        <x:f>J66-D66</x:f>
        <x:v>19.209</x:v>
      </x:c>
      <x:c r="L66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</x:v>
      </x:c>
      <x:c r="M66" s="26" t="str">
        <x:v>账单已对账；预付试算接近（差≤0.15）</x:v>
      </x:c>
      <x:c r="N66" s="26" t="str">
        <x:v>20260713</x:v>
      </x:c>
      <x:c r="O66" s="26" t="n">
        <x:v>2</x:v>
      </x:c>
      <x:c r="P66" s="31" t="n">
        <x:v>33.06933932773163</x:v>
      </x:c>
      <x:c r="Q66" s="31" t="n">
        <x:v>27</x:v>
      </x:c>
      <x:c r="R66" s="26" t="n">
        <x:v>27</x:v>
      </x:c>
      <x:c r="S66" s="26" t="n">
        <x:v>139</x:v>
      </x:c>
      <x:c r="T66" s="43" t="n">
        <x:v>28.79</x:v>
      </x:c>
      <x:c r="U66" s="43" t="n">
        <x:v>0</x:v>
      </x:c>
      <x:c r="V66" s="43" t="n">
        <x:v>0</x:v>
      </x:c>
      <x:c r="W66" s="43" t="n">
        <x:v>7.2</x:v>
      </x:c>
      <x:c r="X66" s="44" t="n">
        <x:v>0.25</x:v>
      </x:c>
      <x:c r="Y66" s="30" t="b">
        <x:v>1</x:v>
      </x:c>
      <x:c r="Z66" s="26" t="n">
        <x:v>2</x:v>
      </x:c>
      <x:c r="AA66" s="26" t="n">
        <x:v>34</x:v>
      </x:c>
      <x:c r="AB66" s="26" t="n">
        <x:v>369</x:v>
      </x:c>
      <x:c r="AC66" s="43" t="n">
        <x:v>20.38</x:v>
      </x:c>
    </x:row>
    <x:row r="67" ht="135" customHeight="1">
      <x:c r="A67" s="26" t="n">
        <x:v>66</x:v>
      </x:c>
      <x:c r="B67" s="26" t="str">
        <x:v>873685329559</x:v>
      </x:c>
      <x:c r="C67" s="26" t="str">
        <x:v>AC180</x:v>
      </x:c>
      <x:c r="D67" s="43" t="n">
        <x:v>36.51</x:v>
      </x:c>
      <x:c r="E67" s="26" t="str">
        <x:v>反推假设：38lb、Zone5（账单Zone7）。
标准运费43.44×61%≈26.50
＋假设折后附加费0.00
＋燃油(26.50＋0.00)×25.25%≈6.69
＝预估承运成本33.19
按既有收费规则折算→预付36.51；与原预付差+0.00。</x:v>
      </x:c>
      <x:c r="F67" s="43" t="n">
        <x:v>36.51</x:v>
      </x:c>
      <x:c r="G67" s="43" t="n">
        <x:f>F67-D67</x:f>
        <x:v>0</x:v>
      </x:c>
      <x:c r="H67" s="26" t="str">
        <x:v>运输费66.15
−折扣25.80
＋燃油10.19
＝承运净额50.54
账单实收55.594（按既有收费规则）</x:v>
      </x:c>
      <x:c r="I67" s="43" t="n">
        <x:v>50.54</x:v>
      </x:c>
      <x:c r="J67" s="43" t="n">
        <x:v>55.594</x:v>
      </x:c>
      <x:c r="K67" s="43" t="n">
        <x:f>J67-D67</x:f>
        <x:v>19.084000000000003</x:v>
      </x:c>
      <x:c r="L67" s="26" t="str">
        <x:v>预付反推Zone5，最终Zone7；不代表分区错误，需查原邮编与合同。</x:v>
      </x:c>
      <x:c r="M67" s="26" t="str">
        <x:v>账单已对账；预付试算接近（差≤0.15）</x:v>
      </x:c>
      <x:c r="N67" s="26" t="str">
        <x:v>20260702</x:v>
      </x:c>
      <x:c r="O67" s="26" t="n">
        <x:v>7</x:v>
      </x:c>
      <x:c r="P67" s="31" t="n">
        <x:v>37.98564777445441</x:v>
      </x:c>
      <x:c r="Q67" s="31" t="n">
        <x:v>39.2</x:v>
      </x:c>
      <x:c r="R67" s="26" t="n">
        <x:v>40</x:v>
      </x:c>
      <x:c r="S67" s="26" t="n">
        <x:v>166</x:v>
      </x:c>
      <x:c r="T67" s="43" t="n">
        <x:v>66.15</x:v>
      </x:c>
      <x:c r="U67" s="43" t="n">
        <x:v>-25.8</x:v>
      </x:c>
      <x:c r="V67" s="43" t="n">
        <x:v>0</x:v>
      </x:c>
      <x:c r="W67" s="43" t="n">
        <x:v>10.19</x:v>
      </x:c>
      <x:c r="X67" s="44" t="n">
        <x:v>0.2525</x:v>
      </x:c>
      <x:c r="Y67" s="30" t="b">
        <x:v>0</x:v>
      </x:c>
      <x:c r="Z67" s="26" t="n">
        <x:v>5</x:v>
      </x:c>
      <x:c r="AA67" s="26" t="n">
        <x:v>38</x:v>
      </x:c>
      <x:c r="AB67" s="26" t="n">
        <x:v>250</x:v>
      </x:c>
      <x:c r="AC67" s="43" t="n">
        <x:v>53.47</x:v>
      </x:c>
    </x:row>
    <x:row r="68" ht="135" customHeight="1">
      <x:c r="A68" s="26" t="n">
        <x:v>67</x:v>
      </x:c>
      <x:c r="B68" s="26" t="str">
        <x:v>874145228294</x:v>
      </x:c>
      <x:c r="C68" s="26" t="str">
        <x:v>EL30V2</x:v>
      </x:c>
      <x:c r="D68" s="43" t="n">
        <x:v>22.55</x:v>
      </x:c>
      <x:c r="E68" s="26" t="str">
        <x:v>反推假设：18lb、Zone5（账单Zone5）。
标准运费25.23×61%≈15.39
＋假设折后附加费0.00
＋燃油(15.39＋0.00)×25.00%≈3.85
＝预估承运成本19.24
按既有收费规则折算→预付21.16；与原预付差-1.39。</x:v>
      </x:c>
      <x:c r="F68" s="43" t="n">
        <x:v>21.16</x:v>
      </x:c>
      <x:c r="G68" s="43" t="n">
        <x:f>F68-D68</x:f>
        <x:v>-1.3900000000000006</x:v>
      </x:c>
      <x:c r="H68" s="26" t="str">
        <x:v>运输费29.56
＋燃油7.39
＝承运净额36.95
账单实收40.645（按既有收费规则）</x:v>
      </x:c>
      <x:c r="I68" s="43" t="n">
        <x:v>36.95</x:v>
      </x:c>
      <x:c r="J68" s="43" t="n">
        <x:v>40.645</x:v>
      </x:c>
      <x:c r="K68" s="43" t="n">
        <x:f>J68-D68</x:f>
        <x:v>18.095000000000002</x:v>
      </x:c>
      <x:c r="L68" s="26" t="str">
        <x:v>7月13日批次：无折扣行、体积重除数139，需查账户/渠道及折扣。
运输费吻合公开零售价；该价表注明已含燃油，另列燃油是否重复计入需原发票核验。
实际重量不高于预估，不能用增重解释差额。
试算偏差较大：缺原始报价/折扣/尺寸，不能强行归因。</x:v>
      </x:c>
      <x:c r="M68" s="26" t="str">
        <x:v>账单已对账；现有假设未还原预付</x:v>
      </x:c>
      <x:c r="N68" s="26" t="str">
        <x:v>20260713</x:v>
      </x:c>
      <x:c r="O68" s="26" t="n">
        <x:v>5</x:v>
      </x:c>
      <x:c r="P68" s="31" t="n">
        <x:v>17.636980974790205</x:v>
      </x:c>
      <x:c r="Q68" s="31" t="n">
        <x:v>13.1</x:v>
      </x:c>
      <x:c r="R68" s="26" t="n">
        <x:v>13</x:v>
      </x:c>
      <x:c r="S68" s="26" t="n">
        <x:v>139</x:v>
      </x:c>
      <x:c r="T68" s="43" t="n">
        <x:v>29.56</x:v>
      </x:c>
      <x:c r="U68" s="43" t="n">
        <x:v>0</x:v>
      </x:c>
      <x:c r="V68" s="43" t="n">
        <x:v>0</x:v>
      </x:c>
      <x:c r="W68" s="43" t="n">
        <x:v>7.39</x:v>
      </x:c>
      <x:c r="X68" s="44" t="n">
        <x:v>0.25</x:v>
      </x:c>
      <x:c r="Y68" s="30" t="b">
        <x:v>1</x:v>
      </x:c>
      <x:c r="Z68" s="26" t="n">
        <x:v>5</x:v>
      </x:c>
      <x:c r="AA68" s="26" t="n">
        <x:v>18</x:v>
      </x:c>
      <x:c r="AB68" s="26" t="n">
        <x:v>386</x:v>
      </x:c>
      <x:c r="AC68" s="43" t="n">
        <x:v>21.16</x:v>
      </x:c>
    </x:row>
    <x:row r="69" ht="135" customHeight="1">
      <x:c r="A69" s="26" t="n">
        <x:v>68</x:v>
      </x:c>
      <x:c r="B69" s="26" t="str">
        <x:v>873223702212</x:v>
      </x:c>
      <x:c r="C69" s="26" t="str">
        <x:v>AC180</x:v>
      </x:c>
      <x:c r="D69" s="43" t="n">
        <x:v>46.71</x:v>
      </x:c>
      <x:c r="E69" s="26" t="str">
        <x:v>反推假设：17lb、Zone8（账单Zone8）。
标准运费37.17×61%≈22.67
＋假设折后附加费0.00
＋燃油(22.67＋0.00)×25.50%≈5.78
＝预估承运成本28.45
按既有收费规则折算→预付31.30；与原预付差-15.41。</x:v>
      </x:c>
      <x:c r="F69" s="43" t="n">
        <x:v>31.3</x:v>
      </x:c>
      <x:c r="G69" s="43" t="n">
        <x:f>F69-D69</x:f>
        <x:v>-15.41</x:v>
      </x:c>
      <x:c r="H69" s="26" t="str">
        <x:v>运输费76.22
−折扣29.73
＋燃油11.85
＝承运净额58.34
账单实收64.174（按既有收费规则）</x:v>
      </x:c>
      <x:c r="I69" s="43" t="n">
        <x:v>58.34</x:v>
      </x:c>
      <x:c r="J69" s="43" t="n">
        <x:v>64.174</x:v>
      </x:c>
      <x:c r="K69" s="43" t="n">
        <x:f>J69-D69</x:f>
        <x:v>17.464000000000006</x:v>
      </x:c>
      <x:c r="L69" s="26" t="str">
        <x:v>实际比预估重22.27lb，需核对称重与申报。
试算偏差较大：缺原始报价/折扣/尺寸，不能强行归因。</x:v>
      </x:c>
      <x:c r="M69" s="26" t="str">
        <x:v>账单已对账；现有假设未还原预付</x:v>
      </x:c>
      <x:c r="N69" s="26" t="str">
        <x:v>20260625</x:v>
      </x:c>
      <x:c r="O69" s="26" t="n">
        <x:v>8</x:v>
      </x:c>
      <x:c r="P69" s="31" t="n">
        <x:v>16.534669663865817</x:v>
      </x:c>
      <x:c r="Q69" s="31" t="n">
        <x:v>38.8</x:v>
      </x:c>
      <x:c r="R69" s="26" t="n">
        <x:v>39</x:v>
      </x:c>
      <x:c r="S69" s="26" t="n">
        <x:v>166</x:v>
      </x:c>
      <x:c r="T69" s="43" t="n">
        <x:v>76.22</x:v>
      </x:c>
      <x:c r="U69" s="43" t="n">
        <x:v>-29.73</x:v>
      </x:c>
      <x:c r="V69" s="43" t="n">
        <x:v>0</x:v>
      </x:c>
      <x:c r="W69" s="43" t="n">
        <x:v>11.85</x:v>
      </x:c>
      <x:c r="X69" s="44" t="n">
        <x:v>0.255</x:v>
      </x:c>
      <x:c r="Y69" s="30" t="b">
        <x:v>0</x:v>
      </x:c>
      <x:c r="Z69" s="26" t="n">
        <x:v>8</x:v>
      </x:c>
      <x:c r="AA69" s="26" t="n">
        <x:v>17</x:v>
      </x:c>
      <x:c r="AB69" s="26" t="n">
        <x:v>193</x:v>
      </x:c>
      <x:c r="AC69" s="43" t="n">
        <x:v>31.3</x:v>
      </x:c>
    </x:row>
    <x:row r="70" ht="135" customHeight="1">
      <x:c r="A70" s="26" t="n">
        <x:v>69</x:v>
      </x:c>
      <x:c r="B70" s="26" t="str">
        <x:v>874461107975</x:v>
      </x:c>
      <x:c r="C70" s="26" t="str">
        <x:v>EL100V2</x:v>
      </x:c>
      <x:c r="D70" s="43" t="n">
        <x:v>27.46</x:v>
      </x:c>
      <x:c r="E70" s="26" t="str">
        <x:v>缺核对明细，无法重建预付；原预付仅按基础表保留。</x:v>
      </x:c>
      <x:c r="F70" s="43"/>
      <x:c r="G70" s="43"/>
      <x:c r="H70" s="26" t="str">
        <x:v>缺原始核对明细，无法拆分。</x:v>
      </x:c>
      <x:c r="I70" s="43"/>
      <x:c r="J70" s="43" t="n">
        <x:v>44.693</x:v>
      </x:c>
      <x:c r="K70" s="43" t="n">
        <x:f>J70-D70</x:f>
        <x:v>17.232999999999997</x:v>
      </x:c>
      <x:c r="L70" s="26" t="str">
        <x:v>核对表无唯一匹配费用明细，无法确认差距原因；需补原始FedEx账单。</x:v>
      </x:c>
      <x:c r="M70" s="26" t="str">
        <x:v>缺核对明细，原因未确认</x:v>
      </x:c>
      <x:c r="N70" s="26"/>
      <x:c r="O70" s="26"/>
      <x:c r="P70" s="31"/>
      <x:c r="Q70" s="31"/>
      <x:c r="R70" s="26"/>
      <x:c r="S70" s="26"/>
      <x:c r="T70" s="43"/>
      <x:c r="U70" s="43"/>
      <x:c r="V70" s="43"/>
      <x:c r="W70" s="43"/>
      <x:c r="X70" s="44"/>
      <x:c r="Y70" s="26"/>
      <x:c r="Z70" s="26"/>
      <x:c r="AA70" s="26"/>
      <x:c r="AB70" s="26"/>
      <x:c r="AC70" s="43"/>
    </x:row>
    <x:row r="71" ht="135" customHeight="1">
      <x:c r="A71" s="26" t="n">
        <x:v>70</x:v>
      </x:c>
      <x:c r="B71" s="26" t="str">
        <x:v>873487241521</x:v>
      </x:c>
      <x:c r="C71" s="26" t="str">
        <x:v>AC180</x:v>
      </x:c>
      <x:c r="D71" s="43" t="n">
        <x:v>24.48</x:v>
      </x:c>
      <x:c r="E71" s="26" t="str">
        <x:v>反推假设：23lb、Zone5（账单Zone5）。
标准运费29.09×61%≈17.74
＋假设折后附加费0.00
＋燃油(17.74＋0.00)×25.00%≈4.44
＝预估承运成本22.18
按既有收费规则折算→预付24.40；与原预付差-0.08。</x:v>
      </x:c>
      <x:c r="F71" s="43" t="n">
        <x:v>24.4</x:v>
      </x:c>
      <x:c r="G71" s="43" t="n">
        <x:f>F71-D71</x:f>
        <x:v>-0.08000000000000185</x:v>
      </x:c>
      <x:c r="H71" s="26" t="str">
        <x:v>运输费48.91
−折扣19.07
＋燃油7.46
＝承运净额37.30
账单实收41.030（按既有收费规则）</x:v>
      </x:c>
      <x:c r="I71" s="43" t="n">
        <x:v>37.3</x:v>
      </x:c>
      <x:c r="J71" s="43" t="n">
        <x:v>41.03</x:v>
      </x:c>
      <x:c r="K71" s="43" t="n">
        <x:f>J71-D71</x:f>
        <x:v>16.55</x:v>
      </x:c>
      <x:c r="L71" s="26" t="str">
        <x:v>实际比预估重19.11lb，需核对称重与申报。</x:v>
      </x:c>
      <x:c r="M71" s="26" t="str">
        <x:v>账单已对账；预付试算接近（差≤0.15）</x:v>
      </x:c>
      <x:c r="N71" s="26" t="str">
        <x:v>20260709</x:v>
      </x:c>
      <x:c r="O71" s="26" t="n">
        <x:v>5</x:v>
      </x:c>
      <x:c r="P71" s="31" t="n">
        <x:v>22.99421394588273</x:v>
      </x:c>
      <x:c r="Q71" s="31" t="n">
        <x:v>42.1</x:v>
      </x:c>
      <x:c r="R71" s="26" t="n">
        <x:v>43</x:v>
      </x:c>
      <x:c r="S71" s="26" t="n">
        <x:v>166</x:v>
      </x:c>
      <x:c r="T71" s="43" t="n">
        <x:v>48.91</x:v>
      </x:c>
      <x:c r="U71" s="43" t="n">
        <x:v>-19.07</x:v>
      </x:c>
      <x:c r="V71" s="43" t="n">
        <x:v>0</x:v>
      </x:c>
      <x:c r="W71" s="43" t="n">
        <x:v>7.46</x:v>
      </x:c>
      <x:c r="X71" s="44" t="n">
        <x:v>0.25</x:v>
      </x:c>
      <x:c r="Y71" s="30" t="b">
        <x:v>0</x:v>
      </x:c>
      <x:c r="Z71" s="26" t="n">
        <x:v>5</x:v>
      </x:c>
      <x:c r="AA71" s="26" t="n">
        <x:v>23</x:v>
      </x:c>
      <x:c r="AB71" s="26" t="n">
        <x:v>314</x:v>
      </x:c>
      <x:c r="AC71" s="43" t="n">
        <x:v>24.4</x:v>
      </x:c>
    </x:row>
    <x:row r="72" ht="135" customHeight="1">
      <x:c r="A72" s="26" t="n">
        <x:v>71</x:v>
      </x:c>
      <x:c r="B72" s="26" t="str">
        <x:v>874284543204</x:v>
      </x:c>
      <x:c r="C72" s="26" t="str">
        <x:v>EL30V</x:v>
      </x:c>
      <x:c r="D72" s="43" t="n">
        <x:v>46.44</x:v>
      </x:c>
      <x:c r="E72" s="26" t="str">
        <x:v>反推假设：12lb、Zone8（账单Zone8）。
标准运费29.92×61%≈18.25
＋假设折后附加费0.00
＋燃油(18.25＋0.00)×25.00%≈4.56
＝预估承运成本22.81
按既有收费规则折算→预付25.09；与原预付差-21.35。</x:v>
      </x:c>
      <x:c r="F72" s="43" t="n">
        <x:v>25.09</x:v>
      </x:c>
      <x:c r="G72" s="43" t="n">
        <x:f>F72-D72</x:f>
        <x:v>-21.349999999999998</x:v>
      </x:c>
      <x:c r="H72" s="26" t="str">
        <x:v>运输费45.71
＋燃油11.43
＝承运净额57.14
账单实收62.854（按既有收费规则）</x:v>
      </x:c>
      <x:c r="I72" s="43" t="n">
        <x:v>57.14</x:v>
      </x:c>
      <x:c r="J72" s="43" t="n">
        <x:v>62.854</x:v>
      </x:c>
      <x:c r="K72" s="43" t="n">
        <x:f>J72-D72</x:f>
        <x:v>16.414</x:v>
      </x:c>
      <x:c r="L72" s="26" t="str">
        <x:v>7月13日批次：无折扣行、体积重除数139，需查账户/渠道及折扣。
运输费吻合公开零售价；该价表注明已含燃油，另列燃油是否重复计入需原发票核验。
试算偏差较大：缺原始报价/折扣/尺寸，不能强行归因。</x:v>
      </x:c>
      <x:c r="M72" s="26" t="str">
        <x:v>账单已对账；现有假设未还原预付</x:v>
      </x:c>
      <x:c r="N72" s="26" t="str">
        <x:v>20260713</x:v>
      </x:c>
      <x:c r="O72" s="26" t="n">
        <x:v>8</x:v>
      </x:c>
      <x:c r="P72" s="31" t="n">
        <x:v>11.023113109243878</x:v>
      </x:c>
      <x:c r="Q72" s="31" t="n">
        <x:v>12</x:v>
      </x:c>
      <x:c r="R72" s="26" t="n">
        <x:v>12</x:v>
      </x:c>
      <x:c r="S72" s="26" t="n">
        <x:v>139</x:v>
      </x:c>
      <x:c r="T72" s="43" t="n">
        <x:v>45.71</x:v>
      </x:c>
      <x:c r="U72" s="43" t="n">
        <x:v>0</x:v>
      </x:c>
      <x:c r="V72" s="43" t="n">
        <x:v>0</x:v>
      </x:c>
      <x:c r="W72" s="43" t="n">
        <x:v>11.43</x:v>
      </x:c>
      <x:c r="X72" s="44" t="n">
        <x:v>0.25</x:v>
      </x:c>
      <x:c r="Y72" s="30" t="b">
        <x:v>1</x:v>
      </x:c>
      <x:c r="Z72" s="26" t="n">
        <x:v>8</x:v>
      </x:c>
      <x:c r="AA72" s="26" t="n">
        <x:v>12</x:v>
      </x:c>
      <x:c r="AB72" s="26" t="n">
        <x:v>438</x:v>
      </x:c>
      <x:c r="AC72" s="43" t="n">
        <x:v>25.09</x:v>
      </x:c>
    </x:row>
    <x:row r="73" ht="135" customHeight="1">
      <x:c r="A73" s="26" t="n">
        <x:v>72</x:v>
      </x:c>
      <x:c r="B73" s="26" t="str">
        <x:v>873341808833</x:v>
      </x:c>
      <x:c r="C73" s="26" t="str">
        <x:v>SOLARX 4K</x:v>
      </x:c>
      <x:c r="D73" s="43" t="n">
        <x:v>20.86</x:v>
      </x:c>
      <x:c r="E73" s="26" t="str">
        <x:v>反推假设：23lb、Zone4（账单Zone4）。
标准运费24.68×61%≈15.05
＋假设折后附加费0.00
＋燃油(15.05＋0.00)×25.50%≈3.84
＝预估承运成本18.89
按既有收费规则折算→预付20.78；与原预付差-0.08。</x:v>
      </x:c>
      <x:c r="F73" s="43" t="n">
        <x:v>20.78</x:v>
      </x:c>
      <x:c r="G73" s="43" t="n">
        <x:f>F73-D73</x:f>
        <x:v>-0.0799999999999983</x:v>
      </x:c>
      <x:c r="H73" s="26" t="str">
        <x:v>运输费44.14
−折扣17.21
＋燃油6.87
＝承运净额33.80
账单实收37.180（按既有收费规则）</x:v>
      </x:c>
      <x:c r="I73" s="43" t="n">
        <x:v>33.8</x:v>
      </x:c>
      <x:c r="J73" s="43" t="n">
        <x:v>37.18</x:v>
      </x:c>
      <x:c r="K73" s="43" t="n">
        <x:f>J73-D73</x:f>
        <x:v>16.32</x:v>
      </x:c>
      <x:c r="L73" s="26" t="str">
        <x:v>未发现单一共同原因，需核验报价费率、原尺寸及原发票。</x:v>
      </x:c>
      <x:c r="M73" s="26" t="str">
        <x:v>账单已对账；预付试算接近（差≤0.15）</x:v>
      </x:c>
      <x:c r="N73" s="26" t="str">
        <x:v>20260626</x:v>
      </x:c>
      <x:c r="O73" s="26" t="n">
        <x:v>4</x:v>
      </x:c>
      <x:c r="P73" s="31" t="n">
        <x:v>22.99421394588273</x:v>
      </x:c>
      <x:c r="Q73" s="31"/>
      <x:c r="R73" s="26" t="n">
        <x:v>52</x:v>
      </x:c>
      <x:c r="S73" s="26" t="n">
        <x:v>166</x:v>
      </x:c>
      <x:c r="T73" s="43" t="n">
        <x:v>44.14</x:v>
      </x:c>
      <x:c r="U73" s="43" t="n">
        <x:v>-17.21</x:v>
      </x:c>
      <x:c r="V73" s="43" t="n">
        <x:v>0</x:v>
      </x:c>
      <x:c r="W73" s="43" t="n">
        <x:v>6.87</x:v>
      </x:c>
      <x:c r="X73" s="44" t="n">
        <x:v>0.255</x:v>
      </x:c>
      <x:c r="Y73" s="30" t="b">
        <x:v>0</x:v>
      </x:c>
      <x:c r="Z73" s="26" t="n">
        <x:v>4</x:v>
      </x:c>
      <x:c r="AA73" s="26" t="n">
        <x:v>23</x:v>
      </x:c>
      <x:c r="AB73" s="26" t="n">
        <x:v>143</x:v>
      </x:c>
      <x:c r="AC73" s="43" t="n">
        <x:v>20.78</x:v>
      </x:c>
    </x:row>
    <x:row r="74" ht="135" customHeight="1">
      <x:c r="A74" s="26" t="n">
        <x:v>73</x:v>
      </x:c>
      <x:c r="B74" s="26" t="str">
        <x:v>874354963354</x:v>
      </x:c>
      <x:c r="C74" s="26" t="str">
        <x:v>EL400</x:v>
      </x:c>
      <x:c r="D74" s="43" t="n">
        <x:v>110.61</x:v>
      </x:c>
      <x:c r="E74" s="26" t="str">
        <x:v>反推假设：80lb、Zone6（账单Zone6）。
标准运费85.78×61%≈52.33
＋假设折后附加费28.13
＋燃油(52.33＋28.13)×25.00%≈20.12
＝预估承运成本100.58
按既有收费规则折算→预付110.64；与原预付差+0.03。</x:v>
      </x:c>
      <x:c r="F74" s="43" t="n">
        <x:v>110.64</x:v>
      </x:c>
      <x:c r="G74" s="43" t="n">
        <x:f>F74-D74</x:f>
        <x:v>0.030000000000001137</x:v>
      </x:c>
      <x:c r="H74" s="26" t="str">
        <x:v>运输费105.22
−折扣41.04
＋Add'l Handling-Weight 28.12
＋燃油23.08
＝承运净额115.38
账单实收126.918（按既有收费规则）</x:v>
      </x:c>
      <x:c r="I74" s="43" t="n">
        <x:v>115.38</x:v>
      </x:c>
      <x:c r="J74" s="43" t="n">
        <x:v>126.918</x:v>
      </x:c>
      <x:c r="K74" s="43" t="n">
        <x:f>J74-D74</x:f>
        <x:v>16.308000000000007</x:v>
      </x:c>
      <x:c r="L74" s="26" t="str">
        <x:v>实际比预估重19.82lb，需核对称重与申报。</x:v>
      </x:c>
      <x:c r="M74" s="26" t="str">
        <x:v>账单已对账；预付试算接近（差≤0.15）</x:v>
      </x:c>
      <x:c r="N74" s="26" t="str">
        <x:v>20260717</x:v>
      </x:c>
      <x:c r="O74" s="26" t="n">
        <x:v>6</x:v>
      </x:c>
      <x:c r="P74" s="31" t="n">
        <x:v>79.98370872067359</x:v>
      </x:c>
      <x:c r="Q74" s="31" t="n">
        <x:v>99.8</x:v>
      </x:c>
      <x:c r="R74" s="26" t="n">
        <x:v>100</x:v>
      </x:c>
      <x:c r="S74" s="26" t="n">
        <x:v>166</x:v>
      </x:c>
      <x:c r="T74" s="43" t="n">
        <x:v>105.22</x:v>
      </x:c>
      <x:c r="U74" s="43" t="n">
        <x:v>-41.04</x:v>
      </x:c>
      <x:c r="V74" s="43" t="n">
        <x:v>28.12</x:v>
      </x:c>
      <x:c r="W74" s="43" t="n">
        <x:v>23.08</x:v>
      </x:c>
      <x:c r="X74" s="44" t="n">
        <x:v>0.25</x:v>
      </x:c>
      <x:c r="Y74" s="30" t="b">
        <x:v>0</x:v>
      </x:c>
      <x:c r="Z74" s="26" t="n">
        <x:v>6</x:v>
      </x:c>
      <x:c r="AA74" s="26" t="n">
        <x:v>80</x:v>
      </x:c>
      <x:c r="AB74" s="26" t="n">
        <x:v>442</x:v>
      </x:c>
      <x:c r="AC74" s="43" t="n">
        <x:v>110.64</x:v>
      </x:c>
    </x:row>
    <x:row r="75" ht="135" customHeight="1">
      <x:c r="A75" s="26" t="n">
        <x:v>74</x:v>
      </x:c>
      <x:c r="B75" s="26" t="str">
        <x:v>874009375269</x:v>
      </x:c>
      <x:c r="C75" s="26" t="str">
        <x:v>BC200</x:v>
      </x:c>
      <x:c r="D75" s="43" t="n">
        <x:v>27.26</x:v>
      </x:c>
      <x:c r="E75" s="26" t="str">
        <x:v>反推假设：6lb、Zone8（账单Zone5）。
标准运费21.70×61%≈13.24
＋假设折后附加费0.00
＋燃油(13.24＋0.00)×25.00%≈3.31
＝预估承运成本16.55
按既有收费规则折算→预付18.21；与原预付差-9.05。</x:v>
      </x:c>
      <x:c r="F75" s="43" t="n">
        <x:v>18.21</x:v>
      </x:c>
      <x:c r="G75" s="43" t="n">
        <x:f>F75-D75</x:f>
        <x:v>-9.05</x:v>
      </x:c>
      <x:c r="H75" s="26" t="str">
        <x:v>运输费51.10
−折扣19.93
＋燃油7.79
＝承运净额38.96
账单实收42.856（按既有收费规则）</x:v>
      </x:c>
      <x:c r="I75" s="43" t="n">
        <x:v>38.96</x:v>
      </x:c>
      <x:c r="J75" s="43" t="n">
        <x:v>42.856</x:v>
      </x:c>
      <x:c r="K75" s="43" t="n">
        <x:f>J75-D75</x:f>
        <x:v>15.596</x:v>
      </x:c>
      <x:c r="L75" s="26" t="str">
        <x:v>实际比预估重40.30lb，需核对称重与申报。
预付反推Zone8，最终Zone5；不代表分区错误，需查原邮编与合同。
试算偏差较大：缺原始报价/折扣/尺寸，不能强行归因。</x:v>
      </x:c>
      <x:c r="M75" s="26" t="str">
        <x:v>账单已对账；现有假设未还原预付</x:v>
      </x:c>
      <x:c r="N75" s="26" t="str">
        <x:v>20260708</x:v>
      </x:c>
      <x:c r="O75" s="26" t="n">
        <x:v>5</x:v>
      </x:c>
      <x:c r="P75" s="31" t="n">
        <x:v>5.996573531428671</x:v>
      </x:c>
      <x:c r="Q75" s="31" t="n">
        <x:v>46.3</x:v>
      </x:c>
      <x:c r="R75" s="26" t="n">
        <x:v>47</x:v>
      </x:c>
      <x:c r="S75" s="26" t="n">
        <x:v>166</x:v>
      </x:c>
      <x:c r="T75" s="43" t="n">
        <x:v>51.1</x:v>
      </x:c>
      <x:c r="U75" s="43" t="n">
        <x:v>-19.93</x:v>
      </x:c>
      <x:c r="V75" s="43" t="n">
        <x:v>0</x:v>
      </x:c>
      <x:c r="W75" s="43" t="n">
        <x:v>7.79</x:v>
      </x:c>
      <x:c r="X75" s="44" t="n">
        <x:v>0.25</x:v>
      </x:c>
      <x:c r="Y75" s="30" t="b">
        <x:v>0</x:v>
      </x:c>
      <x:c r="Z75" s="26" t="n">
        <x:v>8</x:v>
      </x:c>
      <x:c r="AA75" s="26" t="n">
        <x:v>6</x:v>
      </x:c>
      <x:c r="AB75" s="26" t="n">
        <x:v>339</x:v>
      </x:c>
      <x:c r="AC75" s="43" t="n">
        <x:v>15.61</x:v>
      </x:c>
    </x:row>
    <x:row r="76" ht="135" customHeight="1">
      <x:c r="A76" s="26" t="n">
        <x:v>75</x:v>
      </x:c>
      <x:c r="B76" s="26" t="str">
        <x:v>873965250992</x:v>
      </x:c>
      <x:c r="C76" s="26" t="str">
        <x:v>AP300</x:v>
      </x:c>
      <x:c r="D76" s="43" t="n">
        <x:v>74.12</x:v>
      </x:c>
      <x:c r="E76" s="26" t="str">
        <x:v>反推假设：84lb、Zone2（账单Zone2）。
标准运费50.65×61%≈30.90
＋假设折后附加费23.00
＋燃油(30.90＋23.00)×25.00%≈13.48
＝预估承运成本67.38
按既有收费规则折算→预付74.12；与原预付差+0.00。</x:v>
      </x:c>
      <x:c r="F76" s="43" t="n">
        <x:v>74.12</x:v>
      </x:c>
      <x:c r="G76" s="43" t="n">
        <x:f>F76-D76</x:f>
        <x:v>0</x:v>
      </x:c>
      <x:c r="H76" s="26" t="str">
        <x:v>运输费69.17
−折扣26.98
＋Add'l Handling-Weight 23.00
＋燃油16.30
＝承运净额81.49
账单实收89.639（按既有收费规则）</x:v>
      </x:c>
      <x:c r="I76" s="43" t="n">
        <x:v>81.49</x:v>
      </x:c>
      <x:c r="J76" s="43" t="n">
        <x:v>89.639</x:v>
      </x:c>
      <x:c r="K76" s="43" t="n">
        <x:f>J76-D76</x:f>
        <x:v>15.518999999999991</x:v>
      </x:c>
      <x:c r="L76" s="26" t="str">
        <x:v>实际比预估重11.50lb，需核对称重与申报。</x:v>
      </x:c>
      <x:c r="M76" s="26" t="str">
        <x:v>账单已对账；预付试算接近（差≤0.15）</x:v>
      </x:c>
      <x:c r="N76" s="26" t="str">
        <x:v>20260707</x:v>
      </x:c>
      <x:c r="O76" s="26" t="n">
        <x:v>2</x:v>
      </x:c>
      <x:c r="P76" s="31" t="n">
        <x:v>83.99612189243835</x:v>
      </x:c>
      <x:c r="Q76" s="31" t="n">
        <x:v>95.5</x:v>
      </x:c>
      <x:c r="R76" s="26" t="n">
        <x:v>96</x:v>
      </x:c>
      <x:c r="S76" s="26" t="n">
        <x:v>166</x:v>
      </x:c>
      <x:c r="T76" s="43" t="n">
        <x:v>69.17</x:v>
      </x:c>
      <x:c r="U76" s="43" t="n">
        <x:v>-26.98</x:v>
      </x:c>
      <x:c r="V76" s="43" t="n">
        <x:v>23</x:v>
      </x:c>
      <x:c r="W76" s="43" t="n">
        <x:v>16.3</x:v>
      </x:c>
      <x:c r="X76" s="44" t="n">
        <x:v>0.25</x:v>
      </x:c>
      <x:c r="Y76" s="30" t="b">
        <x:v>0</x:v>
      </x:c>
      <x:c r="Z76" s="26" t="n">
        <x:v>2</x:v>
      </x:c>
      <x:c r="AA76" s="26" t="n">
        <x:v>84</x:v>
      </x:c>
      <x:c r="AB76" s="26" t="n">
        <x:v>274</x:v>
      </x:c>
      <x:c r="AC76" s="43" t="n">
        <x:v>74.12</x:v>
      </x:c>
    </x:row>
    <x:row r="77" ht="135" customHeight="1">
      <x:c r="A77" s="26" t="n">
        <x:v>76</x:v>
      </x:c>
      <x:c r="B77" s="26" t="str">
        <x:v>874895163253</x:v>
      </x:c>
      <x:c r="C77" s="26" t="str">
        <x:v>EL400</x:v>
      </x:c>
      <x:c r="D77" s="43" t="n">
        <x:v>103.39</x:v>
      </x:c>
      <x:c r="E77" s="26" t="str">
        <x:v>缺核对明细，无法重建预付；原预付仅按基础表保留。</x:v>
      </x:c>
      <x:c r="F77" s="43"/>
      <x:c r="G77" s="43"/>
      <x:c r="H77" s="26" t="str">
        <x:v>缺原始核对明细，无法拆分。</x:v>
      </x:c>
      <x:c r="I77" s="43"/>
      <x:c r="J77" s="43" t="n">
        <x:v>117.909</x:v>
      </x:c>
      <x:c r="K77" s="43" t="n">
        <x:f>J77-D77</x:f>
        <x:v>14.519000000000005</x:v>
      </x:c>
      <x:c r="L77" s="26" t="str">
        <x:v>核对表无唯一匹配费用明细，无法确认差距原因；需补原始FedEx账单。</x:v>
      </x:c>
      <x:c r="M77" s="26" t="str">
        <x:v>缺核对明细，原因未确认</x:v>
      </x:c>
      <x:c r="N77" s="26"/>
      <x:c r="O77" s="26"/>
      <x:c r="P77" s="31"/>
      <x:c r="Q77" s="31"/>
      <x:c r="R77" s="26"/>
      <x:c r="S77" s="26"/>
      <x:c r="T77" s="43"/>
      <x:c r="U77" s="43"/>
      <x:c r="V77" s="43"/>
      <x:c r="W77" s="43"/>
      <x:c r="X77" s="44"/>
      <x:c r="Y77" s="26"/>
      <x:c r="Z77" s="26"/>
      <x:c r="AA77" s="26"/>
      <x:c r="AB77" s="26"/>
      <x:c r="AC77" s="43"/>
    </x:row>
    <x:row r="78" ht="135" customHeight="1">
      <x:c r="A78" s="26" t="n">
        <x:v>77</x:v>
      </x:c>
      <x:c r="B78" s="26" t="str">
        <x:v>874143420642</x:v>
      </x:c>
      <x:c r="C78" s="26" t="str">
        <x:v>EL100V2</x:v>
      </x:c>
      <x:c r="D78" s="43" t="n">
        <x:v>32.22</x:v>
      </x:c>
      <x:c r="E78" s="26" t="str">
        <x:v>反推假设：25lb、Zone6（账单Zone8）。
标准运费38.41×61%≈23.43
＋假设折后附加费0.00
＋燃油(23.43＋0.00)×25.00%≈5.86
＝预估承运成本29.29
按既有收费规则折算→预付32.22；与原预付差+0.00。</x:v>
      </x:c>
      <x:c r="F78" s="43" t="n">
        <x:v>32.22</x:v>
      </x:c>
      <x:c r="G78" s="43" t="n">
        <x:f>F78-D78</x:f>
        <x:v>0</x:v>
      </x:c>
      <x:c r="H78" s="26" t="str">
        <x:v>运输费55.65
−折扣21.70
＋燃油8.49
＝承运净额42.44
账单实收46.684（按既有收费规则）</x:v>
      </x:c>
      <x:c r="I78" s="43" t="n">
        <x:v>42.44</x:v>
      </x:c>
      <x:c r="J78" s="43" t="n">
        <x:v>46.684</x:v>
      </x:c>
      <x:c r="K78" s="43" t="n">
        <x:f>J78-D78</x:f>
        <x:v>14.463999999999999</x:v>
      </x:c>
      <x:c r="L78" s="26" t="str">
        <x:v>预付反推Zone6，最终Zone8；不代表分区错误，需查原邮编与合同。</x:v>
      </x:c>
      <x:c r="M78" s="26" t="str">
        <x:v>账单已对账；预付试算接近（差≤0.15）</x:v>
      </x:c>
      <x:c r="N78" s="26" t="str">
        <x:v>20260710</x:v>
      </x:c>
      <x:c r="O78" s="26" t="n">
        <x:v>8</x:v>
      </x:c>
      <x:c r="P78" s="31" t="n">
        <x:v>25.000420531765116</x:v>
      </x:c>
      <x:c r="Q78" s="31" t="n">
        <x:v>27</x:v>
      </x:c>
      <x:c r="R78" s="26" t="n">
        <x:v>27</x:v>
      </x:c>
      <x:c r="S78" s="26" t="n">
        <x:v>166</x:v>
      </x:c>
      <x:c r="T78" s="43" t="n">
        <x:v>55.65</x:v>
      </x:c>
      <x:c r="U78" s="43" t="n">
        <x:v>-21.7</x:v>
      </x:c>
      <x:c r="V78" s="43" t="n">
        <x:v>0</x:v>
      </x:c>
      <x:c r="W78" s="43" t="n">
        <x:v>8.49</x:v>
      </x:c>
      <x:c r="X78" s="44" t="n">
        <x:v>0.25</x:v>
      </x:c>
      <x:c r="Y78" s="30" t="b">
        <x:v>0</x:v>
      </x:c>
      <x:c r="Z78" s="26" t="n">
        <x:v>6</x:v>
      </x:c>
      <x:c r="AA78" s="26" t="n">
        <x:v>25</x:v>
      </x:c>
      <x:c r="AB78" s="26" t="n">
        <x:v>384</x:v>
      </x:c>
      <x:c r="AC78" s="43" t="n">
        <x:v>44.5</x:v>
      </x:c>
    </x:row>
    <x:row r="79" ht="135" customHeight="1">
      <x:c r="A79" s="26" t="n">
        <x:v>78</x:v>
      </x:c>
      <x:c r="B79" s="26" t="str">
        <x:v>873602771330</x:v>
      </x:c>
      <x:c r="C79" s="26" t="str">
        <x:v>AB3A</x:v>
      </x:c>
      <x:c r="D79" s="43" t="n">
        <x:v>18.83</x:v>
      </x:c>
      <x:c r="E79" s="26" t="str">
        <x:v>反推假设：11lb、Zone6（账单Zone5）。
标准运费22.27×61%≈13.58
＋假设折后附加费0.00
＋燃油(13.58＋0.00)×25.00%≈3.40
＝预估承运成本16.98
按既有收费规则折算→预付18.68；与原预付差-0.15。</x:v>
      </x:c>
      <x:c r="F79" s="43" t="n">
        <x:v>18.68</x:v>
      </x:c>
      <x:c r="G79" s="43" t="n">
        <x:f>F79-D79</x:f>
        <x:v>-0.14999999999999858</x:v>
      </x:c>
      <x:c r="H79" s="26" t="str">
        <x:v>运输费39.55
−折扣15.42
＋燃油6.03
＝承运净额30.16
账单实收33.176（按既有收费规则）</x:v>
      </x:c>
      <x:c r="I79" s="43" t="n">
        <x:v>30.16</x:v>
      </x:c>
      <x:c r="J79" s="43" t="n">
        <x:v>33.176</x:v>
      </x:c>
      <x:c r="K79" s="43" t="n">
        <x:f>J79-D79</x:f>
        <x:v>14.346000000000004</x:v>
      </x:c>
      <x:c r="L79" s="26" t="str">
        <x:v>实际比预估重7.96lb，需核对称重与申报。
预付反推Zone6，最终Zone5；不代表分区错误，需查原邮编与合同。</x:v>
      </x:c>
      <x:c r="M79" s="26" t="str">
        <x:v>账单已对账；预付试算接近（差≤0.15）</x:v>
      </x:c>
      <x:c r="N79" s="26" t="str">
        <x:v>20260707</x:v>
      </x:c>
      <x:c r="O79" s="26" t="n">
        <x:v>5</x:v>
      </x:c>
      <x:c r="P79" s="31" t="n">
        <x:v>10.141264060504367</x:v>
      </x:c>
      <x:c r="Q79" s="31" t="n">
        <x:v>18.1</x:v>
      </x:c>
      <x:c r="R79" s="26" t="n">
        <x:v>34</x:v>
      </x:c>
      <x:c r="S79" s="26" t="n">
        <x:v>166</x:v>
      </x:c>
      <x:c r="T79" s="43" t="n">
        <x:v>39.55</x:v>
      </x:c>
      <x:c r="U79" s="43" t="n">
        <x:v>-15.42</x:v>
      </x:c>
      <x:c r="V79" s="43" t="n">
        <x:v>0</x:v>
      </x:c>
      <x:c r="W79" s="43" t="n">
        <x:v>6.03</x:v>
      </x:c>
      <x:c r="X79" s="44" t="n">
        <x:v>0.25</x:v>
      </x:c>
      <x:c r="Y79" s="30" t="b">
        <x:v>0</x:v>
      </x:c>
      <x:c r="Z79" s="26" t="n">
        <x:v>6</x:v>
      </x:c>
      <x:c r="AA79" s="26" t="n">
        <x:v>11</x:v>
      </x:c>
      <x:c r="AB79" s="26" t="n">
        <x:v>282</x:v>
      </x:c>
      <x:c r="AC79" s="43" t="n">
        <x:v>17.6</x:v>
      </x:c>
    </x:row>
    <x:row r="80" ht="135" customHeight="1">
      <x:c r="A80" s="26" t="n">
        <x:v>79</x:v>
      </x:c>
      <x:c r="B80" s="26" t="str">
        <x:v>873469399623</x:v>
      </x:c>
      <x:c r="C80" s="26" t="str">
        <x:v>AC300</x:v>
      </x:c>
      <x:c r="D80" s="43" t="n">
        <x:v>69.45</x:v>
      </x:c>
      <x:c r="E80" s="26" t="str">
        <x:v>反推假设：61lb、Zone3（账单Zone3）。
标准运费38.53×61%≈23.50
＋假设折后附加费25.13
＋燃油(23.50＋25.13)×25.50%≈12.40
＝预估承运成本61.03
按既有收费规则折算→预付67.13；与原预付差-2.32。</x:v>
      </x:c>
      <x:c r="F80" s="43" t="n">
        <x:v>67.13</x:v>
      </x:c>
      <x:c r="G80" s="43" t="n">
        <x:f>F80-D80</x:f>
        <x:v>-2.3200000000000074</x:v>
      </x:c>
      <x:c r="H80" s="26" t="str">
        <x:v>运输费57.22
−折扣22.32
＋Add'l Handling-Weight 25.12
＋燃油15.31
＝承运净额75.33
账单实收82.863（按既有收费规则）</x:v>
      </x:c>
      <x:c r="I80" s="43" t="n">
        <x:v>75.33</x:v>
      </x:c>
      <x:c r="J80" s="43" t="n">
        <x:v>82.863</x:v>
      </x:c>
      <x:c r="K80" s="43" t="n">
        <x:f>J80-D80</x:f>
        <x:v>13.412999999999997</x:v>
      </x:c>
      <x:c r="L80" s="26" t="str">
        <x:v>试算偏差较大：缺原始报价/折扣/尺寸，不能强行归因。</x:v>
      </x:c>
      <x:c r="M80" s="26" t="str">
        <x:v>账单已对账；现有假设未还原预付</x:v>
      </x:c>
      <x:c r="N80" s="26" t="str">
        <x:v>20260626</x:v>
      </x:c>
      <x:c r="O80" s="26" t="n">
        <x:v>3</x:v>
      </x:c>
      <x:c r="P80" s="31" t="n">
        <x:v>60.979861720337134</x:v>
      </x:c>
      <x:c r="Q80" s="31" t="n">
        <x:v>61.3</x:v>
      </x:c>
      <x:c r="R80" s="26" t="n">
        <x:v>85</x:v>
      </x:c>
      <x:c r="S80" s="26" t="n">
        <x:v>166</x:v>
      </x:c>
      <x:c r="T80" s="43" t="n">
        <x:v>57.22</x:v>
      </x:c>
      <x:c r="U80" s="43" t="n">
        <x:v>-22.32</x:v>
      </x:c>
      <x:c r="V80" s="43" t="n">
        <x:v>25.12</x:v>
      </x:c>
      <x:c r="W80" s="43" t="n">
        <x:v>15.31</x:v>
      </x:c>
      <x:c r="X80" s="44" t="n">
        <x:v>0.255</x:v>
      </x:c>
      <x:c r="Y80" s="30" t="b">
        <x:v>0</x:v>
      </x:c>
      <x:c r="Z80" s="26" t="n">
        <x:v>3</x:v>
      </x:c>
      <x:c r="AA80" s="26" t="n">
        <x:v>61</x:v>
      </x:c>
      <x:c r="AB80" s="26" t="n">
        <x:v>170</x:v>
      </x:c>
      <x:c r="AC80" s="43" t="n">
        <x:v>67.13</x:v>
      </x:c>
    </x:row>
    <x:row r="81" ht="135" customHeight="1">
      <x:c r="A81" s="26" t="n">
        <x:v>80</x:v>
      </x:c>
      <x:c r="B81" s="26" t="str">
        <x:v>873169813564</x:v>
      </x:c>
      <x:c r="C81" s="26"/>
      <x:c r="D81" s="43" t="n">
        <x:v>63.63</x:v>
      </x:c>
      <x:c r="E81" s="26" t="str">
        <x:v>反推假设：38lb、Zone8（账单Zone3）。
标准运费74.69×61%≈45.56
＋假设折后附加费0.00
＋燃油(45.56＋0.00)×26.00%≈11.85
＝预估承运成本57.41
按既有收费规则折算→预付63.15；与原预付差-0.48。</x:v>
      </x:c>
      <x:c r="F81" s="43" t="n">
        <x:v>63.15</x:v>
      </x:c>
      <x:c r="G81" s="43" t="n">
        <x:f>F81-D81</x:f>
        <x:v>-0.480000000000004</x:v>
      </x:c>
      <x:c r="H81" s="26" t="str">
        <x:v>运输费38.53
−折扣15.03
＋Add'l Handling-Weight 25.12
＋DAS Commercial 2.22
＋燃油13.22
＝承运净额64.06
账单实收76.872（按既有收费规则）</x:v>
      </x:c>
      <x:c r="I81" s="43" t="n">
        <x:v>64.06</x:v>
      </x:c>
      <x:c r="J81" s="43" t="n">
        <x:v>76.872</x:v>
      </x:c>
      <x:c r="K81" s="43" t="n">
        <x:f>J81-D81</x:f>
        <x:v>13.241999999999997</x:v>
      </x:c>
      <x:c r="L81" s="26" t="str">
        <x:v>核对明细列有派送区域/偏远费2.22美元；是否在预付中漏估尚未确认。
预估未超过50lb、实际超过50lb，触发重量附加费。
实际比预估重18.21lb，需核对称重与申报。
预付反推Zone8，最终Zone3；不代表分区错误，需查原邮编与合同。
试算偏差较大：缺原始报价/折扣/尺寸，不能强行归因。</x:v>
      </x:c>
      <x:c r="M81" s="26" t="str">
        <x:v>账单已对账；现有假设未还原预付</x:v>
      </x:c>
      <x:c r="N81" s="26" t="str">
        <x:v>20260616</x:v>
      </x:c>
      <x:c r="O81" s="26" t="n">
        <x:v>3</x:v>
      </x:c>
      <x:c r="P81" s="31" t="n">
        <x:v>37.98564777445441</x:v>
      </x:c>
      <x:c r="Q81" s="31" t="n">
        <x:v>56.2</x:v>
      </x:c>
      <x:c r="R81" s="26" t="n">
        <x:v>61</x:v>
      </x:c>
      <x:c r="S81" s="26" t="n">
        <x:v>166</x:v>
      </x:c>
      <x:c r="T81" s="43" t="n">
        <x:v>38.53</x:v>
      </x:c>
      <x:c r="U81" s="43" t="n">
        <x:v>-15.03</x:v>
      </x:c>
      <x:c r="V81" s="43" t="n">
        <x:v>27.34</x:v>
      </x:c>
      <x:c r="W81" s="43" t="n">
        <x:v>13.22</x:v>
      </x:c>
      <x:c r="X81" s="44" t="n">
        <x:v>0.26</x:v>
      </x:c>
      <x:c r="Y81" s="30" t="b">
        <x:v>0</x:v>
      </x:c>
      <x:c r="Z81" s="26" t="n">
        <x:v>8</x:v>
      </x:c>
      <x:c r="AA81" s="26" t="n">
        <x:v>38</x:v>
      </x:c>
      <x:c r="AB81" s="26" t="n">
        <x:v>63</x:v>
      </x:c>
      <x:c r="AC81" s="43" t="n">
        <x:v>26.5</x:v>
      </x:c>
    </x:row>
    <x:row r="82" ht="135" customHeight="1">
      <x:c r="A82" s="26" t="n">
        <x:v>81</x:v>
      </x:c>
      <x:c r="B82" s="26" t="str">
        <x:v>873478624488</x:v>
      </x:c>
      <x:c r="C82" s="26" t="str">
        <x:v>EL400</x:v>
      </x:c>
      <x:c r="D82" s="43" t="n">
        <x:v>85.53</x:v>
      </x:c>
      <x:c r="E82" s="26" t="str">
        <x:v>反推假设：86lb、Zone3（账单Zone3）。
标准运费60.39×61%≈36.84
＋假设折后附加费25.13
＋燃油(36.84＋25.13)×25.50%≈15.80
＝预估承运成本77.77
按既有收费规则折算→预付85.55；与原预付差+0.02。</x:v>
      </x:c>
      <x:c r="F82" s="43" t="n">
        <x:v>85.55</x:v>
      </x:c>
      <x:c r="G82" s="43" t="n">
        <x:f>F82-D82</x:f>
        <x:v>0.01999999999999602</x:v>
      </x:c>
      <x:c r="H82" s="26" t="str">
        <x:v>运输费76.02
−折扣29.65
＋Add'l Handling-Weight 25.12
＋燃油18.23
＝承运净额89.72
账单实收98.692（按既有收费规则）</x:v>
      </x:c>
      <x:c r="I82" s="43" t="n">
        <x:v>89.72</x:v>
      </x:c>
      <x:c r="J82" s="43" t="n">
        <x:v>98.692</x:v>
      </x:c>
      <x:c r="K82" s="43" t="n">
        <x:f>J82-D82</x:f>
        <x:v>13.161999999999992</x:v>
      </x:c>
      <x:c r="L82" s="26" t="str">
        <x:v>实际比预估重14.52lb，需核对称重与申报。</x:v>
      </x:c>
      <x:c r="M82" s="26" t="str">
        <x:v>账单已对账；预付试算接近（差≤0.15）</x:v>
      </x:c>
      <x:c r="N82" s="26" t="str">
        <x:v>20260625</x:v>
      </x:c>
      <x:c r="O82" s="26" t="n">
        <x:v>3</x:v>
      </x:c>
      <x:c r="P82" s="31" t="n">
        <x:v>85.98028225210226</x:v>
      </x:c>
      <x:c r="Q82" s="31" t="n">
        <x:v>100.5</x:v>
      </x:c>
      <x:c r="R82" s="26" t="n">
        <x:v>101</x:v>
      </x:c>
      <x:c r="S82" s="26" t="n">
        <x:v>166</x:v>
      </x:c>
      <x:c r="T82" s="43" t="n">
        <x:v>76.02</x:v>
      </x:c>
      <x:c r="U82" s="43" t="n">
        <x:v>-29.65</x:v>
      </x:c>
      <x:c r="V82" s="43" t="n">
        <x:v>25.12</x:v>
      </x:c>
      <x:c r="W82" s="43" t="n">
        <x:v>18.23</x:v>
      </x:c>
      <x:c r="X82" s="44" t="n">
        <x:v>0.255</x:v>
      </x:c>
      <x:c r="Y82" s="30" t="b">
        <x:v>0</x:v>
      </x:c>
      <x:c r="Z82" s="26" t="n">
        <x:v>3</x:v>
      </x:c>
      <x:c r="AA82" s="26" t="n">
        <x:v>86</x:v>
      </x:c>
      <x:c r="AB82" s="26" t="n">
        <x:v>156</x:v>
      </x:c>
      <x:c r="AC82" s="43" t="n">
        <x:v>85.55</x:v>
      </x:c>
    </x:row>
    <x:row r="83" ht="135" customHeight="1">
      <x:c r="A83" s="26" t="n">
        <x:v>82</x:v>
      </x:c>
      <x:c r="B83" s="26" t="str">
        <x:v>873109425642</x:v>
      </x:c>
      <x:c r="C83" s="26"/>
      <x:c r="D83" s="43" t="n">
        <x:v>51.15</x:v>
      </x:c>
      <x:c r="E83" s="26" t="str">
        <x:v>反推假设：21lb、Zone8（账单Zone7）。
标准运费44.86×61%≈27.36
＋假设折后附加费0.00
＋燃油(27.36＋0.00)×26.00%≈7.11
＝预估承运成本34.47
按既有收费规则折算→预付37.92；与原预付差-13.23。</x:v>
      </x:c>
      <x:c r="F83" s="43" t="n">
        <x:v>37.92</x:v>
      </x:c>
      <x:c r="G83" s="43" t="n">
        <x:f>F83-D83</x:f>
        <x:v>-13.229999999999997</x:v>
      </x:c>
      <x:c r="H83" s="26" t="str">
        <x:v>运输费52.96
−折扣16.95
＋Residential Delivery 3.22
＋DAS Residential 3.30
＋燃油11.06
＝承运净额53.59
账单实收64.308（按既有收费规则）</x:v>
      </x:c>
      <x:c r="I83" s="43" t="n">
        <x:v>53.59</x:v>
      </x:c>
      <x:c r="J83" s="43" t="n">
        <x:v>64.308</x:v>
      </x:c>
      <x:c r="K83" s="43" t="n">
        <x:f>J83-D83</x:f>
        <x:v>13.158000000000008</x:v>
      </x:c>
      <x:c r="L83" s="26" t="str">
        <x:v>核对明细列有住宅派送费3.22美元；是否在预付中漏估须原始报价确认。
核对明细列有派送区域/偏远费3.30美元；是否在预付中漏估尚未确认。
实际比预估重8.81lb，需核对称重与申报。
预付反推Zone8，最终Zone7；不代表分区错误，需查原邮编与合同。
试算偏差较大：缺原始报价/折扣/尺寸，不能强行归因。</x:v>
      </x:c>
      <x:c r="M83" s="26" t="str">
        <x:v>账单已对账；现有假设未还原预付</x:v>
      </x:c>
      <x:c r="N83" s="26" t="str">
        <x:v>20260616</x:v>
      </x:c>
      <x:c r="O83" s="26" t="n">
        <x:v>7</x:v>
      </x:c>
      <x:c r="P83" s="31" t="n">
        <x:v>20.988007360000342</x:v>
      </x:c>
      <x:c r="Q83" s="31" t="n">
        <x:v>29.8</x:v>
      </x:c>
      <x:c r="R83" s="26" t="n">
        <x:v>30</x:v>
      </x:c>
      <x:c r="S83" s="26" t="n">
        <x:v>166</x:v>
      </x:c>
      <x:c r="T83" s="43" t="n">
        <x:v>52.96</x:v>
      </x:c>
      <x:c r="U83" s="43" t="n">
        <x:v>-16.95</x:v>
      </x:c>
      <x:c r="V83" s="43" t="n">
        <x:v>6.52</x:v>
      </x:c>
      <x:c r="W83" s="43" t="n">
        <x:v>11.06</x:v>
      </x:c>
      <x:c r="X83" s="44" t="n">
        <x:v>0.26</x:v>
      </x:c>
      <x:c r="Y83" s="30" t="b">
        <x:v>0</x:v>
      </x:c>
      <x:c r="Z83" s="26" t="n">
        <x:v>8</x:v>
      </x:c>
      <x:c r="AA83" s="26" t="n">
        <x:v>21</x:v>
      </x:c>
      <x:c r="AB83" s="26" t="n">
        <x:v>137</x:v>
      </x:c>
      <x:c r="AC83" s="43" t="n">
        <x:v>33.96</x:v>
      </x:c>
    </x:row>
    <x:row r="84" ht="135" customHeight="1">
      <x:c r="A84" s="26" t="n">
        <x:v>83</x:v>
      </x:c>
      <x:c r="B84" s="26" t="str">
        <x:v>873941111469</x:v>
      </x:c>
      <x:c r="C84" s="26" t="str">
        <x:v>AC70</x:v>
      </x:c>
      <x:c r="D84" s="43" t="n">
        <x:v>33.29</x:v>
      </x:c>
      <x:c r="E84" s="26" t="str">
        <x:v>反推假设：17lb、Zone8（账单Zone8）。
标准运费37.17×61%≈22.67
＋假设折后附加费0.00
＋燃油(22.67＋0.00)×25.00%≈5.67
＝预估承运成本28.34
按既有收费规则折算→预付31.17；与原预付差-2.12。</x:v>
      </x:c>
      <x:c r="F84" s="43" t="n">
        <x:v>31.17</x:v>
      </x:c>
      <x:c r="G84" s="43" t="n">
        <x:f>F84-D84</x:f>
        <x:v>-2.1199999999999974</x:v>
      </x:c>
      <x:c r="H84" s="26" t="str">
        <x:v>运输费55.25
−折扣21.55
＋燃油8.43
＝承运净额42.13
账单实收46.343（按既有收费规则）</x:v>
      </x:c>
      <x:c r="I84" s="43" t="n">
        <x:v>42.13</x:v>
      </x:c>
      <x:c r="J84" s="43" t="n">
        <x:v>46.343</x:v>
      </x:c>
      <x:c r="K84" s="43" t="n">
        <x:f>J84-D84</x:f>
        <x:v>13.053000000000004</x:v>
      </x:c>
      <x:c r="L84" s="26" t="str">
        <x:v>实际比预估重8.60lb，需核对称重与申报。
试算偏差较大：缺原始报价/折扣/尺寸，不能强行归因。</x:v>
      </x:c>
      <x:c r="M84" s="26" t="str">
        <x:v>账单已对账；现有假设未还原预付</x:v>
      </x:c>
      <x:c r="N84" s="26" t="str">
        <x:v>20260715</x:v>
      </x:c>
      <x:c r="O84" s="26" t="n">
        <x:v>8</x:v>
      </x:c>
      <x:c r="P84" s="31" t="n">
        <x:v>16.99764041445406</x:v>
      </x:c>
      <x:c r="Q84" s="31" t="n">
        <x:v>25.6</x:v>
      </x:c>
      <x:c r="R84" s="26" t="n">
        <x:v>26</x:v>
      </x:c>
      <x:c r="S84" s="26" t="n">
        <x:v>166</x:v>
      </x:c>
      <x:c r="T84" s="43" t="n">
        <x:v>55.25</x:v>
      </x:c>
      <x:c r="U84" s="43" t="n">
        <x:v>-21.55</x:v>
      </x:c>
      <x:c r="V84" s="43" t="n">
        <x:v>0</x:v>
      </x:c>
      <x:c r="W84" s="43" t="n">
        <x:v>8.43</x:v>
      </x:c>
      <x:c r="X84" s="44" t="n">
        <x:v>0.25</x:v>
      </x:c>
      <x:c r="Y84" s="30" t="b">
        <x:v>0</x:v>
      </x:c>
      <x:c r="Z84" s="26" t="n">
        <x:v>8</x:v>
      </x:c>
      <x:c r="AA84" s="26" t="n">
        <x:v>17</x:v>
      </x:c>
      <x:c r="AB84" s="26" t="n">
        <x:v>433</x:v>
      </x:c>
      <x:c r="AC84" s="43" t="n">
        <x:v>31.17</x:v>
      </x:c>
    </x:row>
    <x:row r="85" ht="135" customHeight="1">
      <x:c r="A85" s="26" t="n">
        <x:v>84</x:v>
      </x:c>
      <x:c r="B85" s="26" t="str">
        <x:v>873856999804</x:v>
      </x:c>
      <x:c r="C85" s="26" t="str">
        <x:v>AP300</x:v>
      </x:c>
      <x:c r="D85" s="43" t="n">
        <x:v>88.81</x:v>
      </x:c>
      <x:c r="E85" s="26" t="str">
        <x:v>反推假设：84lb、Zone4（账单Zone4）。
标准运费64.49×61%≈39.34
＋假设折后附加费25.13
＋燃油(39.34＋25.13)×25.00%≈16.12
＝预估承运成本80.59
按既有收费规则折算→预付88.65；与原预付差-0.16。</x:v>
      </x:c>
      <x:c r="F85" s="43" t="n">
        <x:v>88.65</x:v>
      </x:c>
      <x:c r="G85" s="43" t="n">
        <x:f>F85-D85</x:f>
        <x:v>-0.1599999999999966</x:v>
      </x:c>
      <x:c r="H85" s="26" t="str">
        <x:v>运输费80.21
−折扣31.28
＋Add'l Handling-Weight 25.12
＋燃油18.51
＝承运净额92.56
账单实收101.816（按既有收费规则）</x:v>
      </x:c>
      <x:c r="I85" s="43" t="n">
        <x:v>92.56</x:v>
      </x:c>
      <x:c r="J85" s="43" t="n">
        <x:v>101.816</x:v>
      </x:c>
      <x:c r="K85" s="43" t="n">
        <x:f>J85-D85</x:f>
        <x:v>13.006</x:v>
      </x:c>
      <x:c r="L85" s="26" t="str">
        <x:v>实际比预估重13.92lb，需核对称重与申报。
试算偏差较大：缺原始报价/折扣/尺寸，不能强行归因。</x:v>
      </x:c>
      <x:c r="M85" s="26" t="str">
        <x:v>账单已对账；现有假设未还原预付</x:v>
      </x:c>
      <x:c r="N85" s="26" t="str">
        <x:v>20260709</x:v>
      </x:c>
      <x:c r="O85" s="26" t="n">
        <x:v>4</x:v>
      </x:c>
      <x:c r="P85" s="31" t="n">
        <x:v>83.77565963025347</x:v>
      </x:c>
      <x:c r="Q85" s="31" t="n">
        <x:v>97.7</x:v>
      </x:c>
      <x:c r="R85" s="26" t="n">
        <x:v>98</x:v>
      </x:c>
      <x:c r="S85" s="26" t="n">
        <x:v>166</x:v>
      </x:c>
      <x:c r="T85" s="43" t="n">
        <x:v>80.21</x:v>
      </x:c>
      <x:c r="U85" s="43" t="n">
        <x:v>-31.28</x:v>
      </x:c>
      <x:c r="V85" s="43" t="n">
        <x:v>25.12</x:v>
      </x:c>
      <x:c r="W85" s="43" t="n">
        <x:v>18.51</x:v>
      </x:c>
      <x:c r="X85" s="44" t="n">
        <x:v>0.25</x:v>
      </x:c>
      <x:c r="Y85" s="30" t="b">
        <x:v>0</x:v>
      </x:c>
      <x:c r="Z85" s="26" t="n">
        <x:v>4</x:v>
      </x:c>
      <x:c r="AA85" s="26" t="n">
        <x:v>84</x:v>
      </x:c>
      <x:c r="AB85" s="26" t="n">
        <x:v>324</x:v>
      </x:c>
      <x:c r="AC85" s="43" t="n">
        <x:v>88.65</x:v>
      </x:c>
    </x:row>
    <x:row r="86" ht="135" customHeight="1">
      <x:c r="A86" s="26" t="n">
        <x:v>85</x:v>
      </x:c>
      <x:c r="B86" s="26" t="str">
        <x:v>874039858376</x:v>
      </x:c>
      <x:c r="C86" s="26" t="str">
        <x:v>AC180</x:v>
      </x:c>
      <x:c r="D86" s="43" t="n">
        <x:v>18.64</x:v>
      </x:c>
      <x:c r="E86" s="26" t="str">
        <x:v>反推假设：17lb、Zone4（账单Zone4）。
标准运费20.84×61%≈12.71
＋假设折后附加费0.00
＋燃油(12.71＋0.00)×25.00%≈3.18
＝预估承运成本15.89
按既有收费规则折算→预付17.48；与原预付差-1.16。</x:v>
      </x:c>
      <x:c r="F86" s="43" t="n">
        <x:v>17.48</x:v>
      </x:c>
      <x:c r="G86" s="43" t="n">
        <x:f>F86-D86</x:f>
        <x:v>-1.1600000000000001</x:v>
      </x:c>
      <x:c r="H86" s="26" t="str">
        <x:v>运输费37.48
−折扣14.62
＋燃油5.72
＝承运净额28.58
账单实收31.438（按既有收费规则）</x:v>
      </x:c>
      <x:c r="I86" s="43" t="n">
        <x:v>28.58</x:v>
      </x:c>
      <x:c r="J86" s="43" t="n">
        <x:v>31.438</x:v>
      </x:c>
      <x:c r="K86" s="43" t="n">
        <x:f>J86-D86</x:f>
        <x:v>12.797999999999998</x:v>
      </x:c>
      <x:c r="L86" s="26" t="str">
        <x:v>实际比预估重22.50lb，需核对称重与申报。
试算偏差较大：缺原始报价/折扣/尺寸，不能强行归因。</x:v>
      </x:c>
      <x:c r="M86" s="26" t="str">
        <x:v>账单已对账；现有假设未还原预付</x:v>
      </x:c>
      <x:c r="N86" s="26" t="str">
        <x:v>20260709</x:v>
      </x:c>
      <x:c r="O86" s="26" t="n">
        <x:v>4</x:v>
      </x:c>
      <x:c r="P86" s="31" t="n">
        <x:v>16.99764041445406</x:v>
      </x:c>
      <x:c r="Q86" s="31" t="n">
        <x:v>39.5</x:v>
      </x:c>
      <x:c r="R86" s="26" t="n">
        <x:v>40</x:v>
      </x:c>
      <x:c r="S86" s="26" t="n">
        <x:v>166</x:v>
      </x:c>
      <x:c r="T86" s="43" t="n">
        <x:v>37.48</x:v>
      </x:c>
      <x:c r="U86" s="43" t="n">
        <x:v>-14.62</x:v>
      </x:c>
      <x:c r="V86" s="43" t="n">
        <x:v>0</x:v>
      </x:c>
      <x:c r="W86" s="43" t="n">
        <x:v>5.72</x:v>
      </x:c>
      <x:c r="X86" s="44" t="n">
        <x:v>0.25</x:v>
      </x:c>
      <x:c r="Y86" s="30" t="b">
        <x:v>0</x:v>
      </x:c>
      <x:c r="Z86" s="26" t="n">
        <x:v>4</x:v>
      </x:c>
      <x:c r="AA86" s="26" t="n">
        <x:v>17</x:v>
      </x:c>
      <x:c r="AB86" s="26" t="n">
        <x:v>344</x:v>
      </x:c>
      <x:c r="AC86" s="43" t="n">
        <x:v>17.48</x:v>
      </x:c>
    </x:row>
    <x:row r="87" ht="135" customHeight="1">
      <x:c r="A87" s="26" t="n">
        <x:v>86</x:v>
      </x:c>
      <x:c r="B87" s="26" t="str">
        <x:v>873112849706</x:v>
      </x:c>
      <x:c r="C87" s="26"/>
      <x:c r="D87" s="43" t="n">
        <x:v>49.04</x:v>
      </x:c>
      <x:c r="E87" s="26" t="str">
        <x:v>反推假设：32lb、Zone7（账单Zone5）。
标准运费54.41×61%≈33.19
＋假设折后附加费0.00
＋燃油(33.19＋0.00)×26.00%≈8.63
＝预估承运成本41.82
按既有收费规则折算→预付46.00；与原预付差-3.04。</x:v>
      </x:c>
      <x:c r="F87" s="43" t="n">
        <x:v>46</x:v>
      </x:c>
      <x:c r="G87" s="43" t="n">
        <x:f>F87-D87</x:f>
        <x:v>-3.039999999999999</x:v>
      </x:c>
      <x:c r="H87" s="26" t="str">
        <x:v>运输费48.91
−折扣15.65
＋Residential Delivery 3.22
＋DAS Extended Residential 4.40
＋燃油10.63
＝承运净额51.51
账单实收61.812（按既有收费规则）</x:v>
      </x:c>
      <x:c r="I87" s="43" t="n">
        <x:v>51.51</x:v>
      </x:c>
      <x:c r="J87" s="43" t="n">
        <x:v>61.812</x:v>
      </x:c>
      <x:c r="K87" s="43" t="n">
        <x:f>J87-D87</x:f>
        <x:v>12.771999999999998</x:v>
      </x:c>
      <x:c r="L87" s="26" t="str">
        <x:v>核对明细列有住宅派送费3.22美元；是否在预付中漏估须原始报价确认。
核对明细列有派送区域/偏远费4.40美元；是否在预付中漏估尚未确认。
实际比预估重10.11lb，需核对称重与申报。
预付反推Zone7，最终Zone5；不代表分区错误，需查原邮编与合同。
试算偏差较大：缺原始报价/折扣/尺寸，不能强行归因。</x:v>
      </x:c>
      <x:c r="M87" s="26" t="str">
        <x:v>账单已对账；现有假设未还原预付</x:v>
      </x:c>
      <x:c r="N87" s="26" t="str">
        <x:v>20260616</x:v>
      </x:c>
      <x:c r="O87" s="26" t="n">
        <x:v>5</x:v>
      </x:c>
      <x:c r="P87" s="31" t="n">
        <x:v>31.989074243025733</x:v>
      </x:c>
      <x:c r="Q87" s="31" t="n">
        <x:v>42.1</x:v>
      </x:c>
      <x:c r="R87" s="26" t="n">
        <x:v>43</x:v>
      </x:c>
      <x:c r="S87" s="26" t="n">
        <x:v>166</x:v>
      </x:c>
      <x:c r="T87" s="43" t="n">
        <x:v>48.91</x:v>
      </x:c>
      <x:c r="U87" s="43" t="n">
        <x:v>-15.65</x:v>
      </x:c>
      <x:c r="V87" s="43" t="n">
        <x:v>7.620000000000001</x:v>
      </x:c>
      <x:c r="W87" s="43" t="n">
        <x:v>10.63</x:v>
      </x:c>
      <x:c r="X87" s="44" t="n">
        <x:v>0.26</x:v>
      </x:c>
      <x:c r="Y87" s="30" t="b">
        <x:v>0</x:v>
      </x:c>
      <x:c r="Z87" s="26" t="n">
        <x:v>7</x:v>
      </x:c>
      <x:c r="AA87" s="26" t="n">
        <x:v>32</x:v>
      </x:c>
      <x:c r="AB87" s="26" t="n">
        <x:v>54</x:v>
      </x:c>
      <x:c r="AC87" s="43" t="n">
        <x:v>30.87</x:v>
      </x:c>
    </x:row>
    <x:row r="88" ht="135" customHeight="1">
      <x:c r="A88" s="26" t="n">
        <x:v>87</x:v>
      </x:c>
      <x:c r="B88" s="26" t="str">
        <x:v>874095581056</x:v>
      </x:c>
      <x:c r="C88" s="26" t="str">
        <x:v>AP300</x:v>
      </x:c>
      <x:c r="D88" s="43" t="n">
        <x:v>100.59</x:v>
      </x:c>
      <x:c r="E88" s="26" t="str">
        <x:v>反推假设：84lb、Zone5（账单Zone5）。
标准运费73.83×61%≈45.04
＋假设折后附加费28.13
＋燃油(45.04＋28.13)×25.00%≈18.29
＝预估承运成本91.46
按既有收费规则折算→预付100.61；与原预付差+0.02。</x:v>
      </x:c>
      <x:c r="F88" s="43" t="n">
        <x:v>100.61</x:v>
      </x:c>
      <x:c r="G88" s="43" t="n">
        <x:f>F88-D88</x:f>
        <x:v>0.01999999999999602</x:v>
      </x:c>
      <x:c r="H88" s="26" t="str">
        <x:v>运输费88.91
−折扣34.67
＋Add'l Handling-Weight 28.12
＋燃油20.59
＝承运净额102.95
账单实收113.245（按既有收费规则）</x:v>
      </x:c>
      <x:c r="I88" s="43" t="n">
        <x:v>102.95</x:v>
      </x:c>
      <x:c r="J88" s="43" t="n">
        <x:v>113.245</x:v>
      </x:c>
      <x:c r="K88" s="43" t="n">
        <x:f>J88-D88</x:f>
        <x:v>12.655000000000001</x:v>
      </x:c>
      <x:c r="L88" s="26" t="str">
        <x:v>实际比预估重14.32lb，需核对称重与申报。</x:v>
      </x:c>
      <x:c r="M88" s="26" t="str">
        <x:v>账单已对账；预付试算接近（差≤0.15）</x:v>
      </x:c>
      <x:c r="N88" s="26" t="str">
        <x:v>20260710</x:v>
      </x:c>
      <x:c r="O88" s="26" t="n">
        <x:v>5</x:v>
      </x:c>
      <x:c r="P88" s="31" t="n">
        <x:v>83.77565963025347</x:v>
      </x:c>
      <x:c r="Q88" s="31" t="n">
        <x:v>98.1</x:v>
      </x:c>
      <x:c r="R88" s="26" t="n">
        <x:v>99</x:v>
      </x:c>
      <x:c r="S88" s="26" t="n">
        <x:v>166</x:v>
      </x:c>
      <x:c r="T88" s="43" t="n">
        <x:v>88.91</x:v>
      </x:c>
      <x:c r="U88" s="43" t="n">
        <x:v>-34.67</x:v>
      </x:c>
      <x:c r="V88" s="43" t="n">
        <x:v>28.12</x:v>
      </x:c>
      <x:c r="W88" s="43" t="n">
        <x:v>20.59</x:v>
      </x:c>
      <x:c r="X88" s="44" t="n">
        <x:v>0.25</x:v>
      </x:c>
      <x:c r="Y88" s="30" t="b">
        <x:v>0</x:v>
      </x:c>
      <x:c r="Z88" s="26" t="n">
        <x:v>5</x:v>
      </x:c>
      <x:c r="AA88" s="26" t="n">
        <x:v>84</x:v>
      </x:c>
      <x:c r="AB88" s="26" t="n">
        <x:v>355</x:v>
      </x:c>
      <x:c r="AC88" s="43" t="n">
        <x:v>100.61</x:v>
      </x:c>
    </x:row>
    <x:row r="89" ht="135" customHeight="1">
      <x:c r="A89" s="26" t="n">
        <x:v>88</x:v>
      </x:c>
      <x:c r="B89" s="26" t="str">
        <x:v>875025330119</x:v>
      </x:c>
      <x:c r="C89" s="26" t="str">
        <x:v>EL400</x:v>
      </x:c>
      <x:c r="D89" s="43" t="n">
        <x:v>91.33</x:v>
      </x:c>
      <x:c r="E89" s="26" t="str">
        <x:v>缺核对明细，无法重建预付；原预付仅按基础表保留。</x:v>
      </x:c>
      <x:c r="F89" s="43"/>
      <x:c r="G89" s="43"/>
      <x:c r="H89" s="26" t="str">
        <x:v>缺原始核对明细，无法拆分。</x:v>
      </x:c>
      <x:c r="I89" s="43"/>
      <x:c r="J89" s="43" t="n">
        <x:v>103.675</x:v>
      </x:c>
      <x:c r="K89" s="43" t="n">
        <x:f>J89-D89</x:f>
        <x:v>12.344999999999999</x:v>
      </x:c>
      <x:c r="L89" s="26" t="str">
        <x:v>核对表无唯一匹配费用明细，无法确认差距原因；需补原始FedEx账单。</x:v>
      </x:c>
      <x:c r="M89" s="26" t="str">
        <x:v>缺核对明细，原因未确认</x:v>
      </x:c>
      <x:c r="N89" s="26"/>
      <x:c r="O89" s="26"/>
      <x:c r="P89" s="31"/>
      <x:c r="Q89" s="31"/>
      <x:c r="R89" s="26"/>
      <x:c r="S89" s="26"/>
      <x:c r="T89" s="43"/>
      <x:c r="U89" s="43"/>
      <x:c r="V89" s="43"/>
      <x:c r="W89" s="43"/>
      <x:c r="X89" s="44"/>
      <x:c r="Y89" s="26"/>
      <x:c r="Z89" s="26"/>
      <x:c r="AA89" s="26"/>
      <x:c r="AB89" s="26"/>
      <x:c r="AC89" s="43"/>
    </x:row>
    <x:row r="90" ht="135" customHeight="1">
      <x:c r="A90" s="26" t="n">
        <x:v>89</x:v>
      </x:c>
      <x:c r="B90" s="26" t="str">
        <x:v>873425107021</x:v>
      </x:c>
      <x:c r="C90" s="26" t="str">
        <x:v>AC180</x:v>
      </x:c>
      <x:c r="D90" s="43" t="n">
        <x:v>43.92</x:v>
      </x:c>
      <x:c r="E90" s="26" t="str">
        <x:v>反推假设：36lb、Zone6（账单Zone6）。
标准运费52.16×61%≈31.82
＋假设折后附加费0.00
＋燃油(31.82＋0.00)×25.50%≈8.11
＝预估承运成本39.93
按既有收费规则折算→预付43.92；与原预付差+0.00。</x:v>
      </x:c>
      <x:c r="F90" s="43" t="n">
        <x:v>43.92</x:v>
      </x:c>
      <x:c r="G90" s="43" t="n">
        <x:f>F90-D90</x:f>
        <x:v>0</x:v>
      </x:c>
      <x:c r="H90" s="26" t="str">
        <x:v>运输费66.78
−折扣26.04
＋燃油10.39
＝承运净额51.13
账单实收56.243（按既有收费规则）</x:v>
      </x:c>
      <x:c r="I90" s="43" t="n">
        <x:v>51.13</x:v>
      </x:c>
      <x:c r="J90" s="43" t="n">
        <x:v>56.243</x:v>
      </x:c>
      <x:c r="K90" s="43" t="n">
        <x:f>J90-D90</x:f>
        <x:v>12.323</x:v>
      </x:c>
      <x:c r="L90" s="26" t="str">
        <x:v>实际比预估重13.93lb，需核对称重与申报。</x:v>
      </x:c>
      <x:c r="M90" s="26" t="str">
        <x:v>账单已对账；预付试算接近（差≤0.15）</x:v>
      </x:c>
      <x:c r="N90" s="26" t="str">
        <x:v>20260624</x:v>
      </x:c>
      <x:c r="O90" s="26" t="n">
        <x:v>6</x:v>
      </x:c>
      <x:c r="P90" s="31" t="n">
        <x:v>35.27396194958041</x:v>
      </x:c>
      <x:c r="Q90" s="31" t="n">
        <x:v>49.2</x:v>
      </x:c>
      <x:c r="R90" s="26" t="n">
        <x:v>50</x:v>
      </x:c>
      <x:c r="S90" s="26" t="n">
        <x:v>166</x:v>
      </x:c>
      <x:c r="T90" s="43" t="n">
        <x:v>66.78</x:v>
      </x:c>
      <x:c r="U90" s="43" t="n">
        <x:v>-26.04</x:v>
      </x:c>
      <x:c r="V90" s="43" t="n">
        <x:v>0</x:v>
      </x:c>
      <x:c r="W90" s="43" t="n">
        <x:v>10.39</x:v>
      </x:c>
      <x:c r="X90" s="44" t="n">
        <x:v>0.255</x:v>
      </x:c>
      <x:c r="Y90" s="30" t="b">
        <x:v>0</x:v>
      </x:c>
      <x:c r="Z90" s="26" t="n">
        <x:v>6</x:v>
      </x:c>
      <x:c r="AA90" s="26" t="n">
        <x:v>36</x:v>
      </x:c>
      <x:c r="AB90" s="26" t="n">
        <x:v>150</x:v>
      </x:c>
      <x:c r="AC90" s="43" t="n">
        <x:v>43.92</x:v>
      </x:c>
    </x:row>
    <x:row r="91" ht="135" customHeight="1">
      <x:c r="A91" s="26" t="n">
        <x:v>90</x:v>
      </x:c>
      <x:c r="B91" s="26" t="str">
        <x:v>873857232775</x:v>
      </x:c>
      <x:c r="C91" s="26" t="str">
        <x:v>CHANGER2</x:v>
      </x:c>
      <x:c r="D91" s="43" t="n">
        <x:v>16.17</x:v>
      </x:c>
      <x:c r="E91" s="26" t="str">
        <x:v>反推假设：4lb、Zone7（账单Zone4）。
标准运费19.56×61%≈11.93
＋假设折后附加费0.00
＋燃油(11.93＋0.00)×25.00%≈2.98
＝预估承运成本14.91
按既有收费规则折算→预付16.40；与原预付差+0.23。</x:v>
      </x:c>
      <x:c r="F91" s="43" t="n">
        <x:v>16.4</x:v>
      </x:c>
      <x:c r="G91" s="43" t="n">
        <x:f>F91-D91</x:f>
        <x:v>0.22999999999999687</x:v>
      </x:c>
      <x:c r="H91" s="26" t="str">
        <x:v>运输费20.51
＋燃油5.13
＝承运净额25.64
账单实收28.204（按既有收费规则）</x:v>
      </x:c>
      <x:c r="I91" s="43" t="n">
        <x:v>25.64</x:v>
      </x:c>
      <x:c r="J91" s="43" t="n">
        <x:v>28.204</x:v>
      </x:c>
      <x:c r="K91" s="43" t="n">
        <x:f>J91-D91</x:f>
        <x:v>12.033999999999999</x:v>
      </x:c>
      <x:c r="L91" s="26" t="str">
        <x:v>7月13日批次：无折扣行、体积重除数139，需查账户/渠道及折扣。
运输费吻合公开零售价；该价表注明已含燃油，另列燃油是否重复计入需原发票核验。
实际比预估重5.69lb，需核对称重与申报。
预付反推Zone7，最终Zone4；不代表分区错误，需查原邮编与合同。
试算偏差较大：缺原始报价/折扣/尺寸，不能强行归因。</x:v>
      </x:c>
      <x:c r="M91" s="26" t="str">
        <x:v>账单已对账；现有假设未还原预付</x:v>
      </x:c>
      <x:c r="N91" s="26" t="str">
        <x:v>20260713</x:v>
      </x:c>
      <x:c r="O91" s="26" t="n">
        <x:v>4</x:v>
      </x:c>
      <x:c r="P91" s="31" t="n">
        <x:v>3.5053499687395537</x:v>
      </x:c>
      <x:c r="Q91" s="31" t="n">
        <x:v>9.2</x:v>
      </x:c>
      <x:c r="R91" s="26" t="n">
        <x:v>10</x:v>
      </x:c>
      <x:c r="S91" s="26" t="n">
        <x:v>139</x:v>
      </x:c>
      <x:c r="T91" s="43" t="n">
        <x:v>20.51</x:v>
      </x:c>
      <x:c r="U91" s="43" t="n">
        <x:v>0</x:v>
      </x:c>
      <x:c r="V91" s="43" t="n">
        <x:v>0</x:v>
      </x:c>
      <x:c r="W91" s="43" t="n">
        <x:v>5.13</x:v>
      </x:c>
      <x:c r="X91" s="44" t="n">
        <x:v>0.25</x:v>
      </x:c>
      <x:c r="Y91" s="30" t="b">
        <x:v>1</x:v>
      </x:c>
      <x:c r="Z91" s="26" t="n">
        <x:v>7</x:v>
      </x:c>
      <x:c r="AA91" s="26" t="n">
        <x:v>4</x:v>
      </x:c>
      <x:c r="AB91" s="26" t="n">
        <x:v>377</x:v>
      </x:c>
      <x:c r="AC91" s="43" t="n">
        <x:v>13.97</x:v>
      </x:c>
    </x:row>
    <x:row r="92" ht="135" customHeight="1">
      <x:c r="A92" s="26" t="n">
        <x:v>91</x:v>
      </x:c>
      <x:c r="B92" s="26" t="str">
        <x:v>873956334836</x:v>
      </x:c>
      <x:c r="C92" s="26" t="str">
        <x:v>AC500</x:v>
      </x:c>
      <x:c r="D92" s="43" t="n">
        <x:v>110.77</x:v>
      </x:c>
      <x:c r="E92" s="26" t="str">
        <x:v>反推假设：62lb、Zone7（账单Zone7）。
标准运费83.91×61%≈51.19
＋假设折后附加费29.38
＋燃油(51.19＋29.38)×25.00%≈20.14
＝预估承运成本100.71
按既有收费规则折算→预付110.78；与原预付差+0.01。</x:v>
      </x:c>
      <x:c r="F92" s="43" t="n">
        <x:v>110.78</x:v>
      </x:c>
      <x:c r="G92" s="43" t="n">
        <x:f>F92-D92</x:f>
        <x:v>0.010000000000005116</x:v>
      </x:c>
      <x:c r="H92" s="26" t="str">
        <x:v>运输费98.01
−折扣38.22
＋Add'l Handling-Weight 29.37
＋燃油22.29
＝承运净额111.45
账单实收122.595（按既有收费规则）</x:v>
      </x:c>
      <x:c r="I92" s="43" t="n">
        <x:v>111.45</x:v>
      </x:c>
      <x:c r="J92" s="43" t="n">
        <x:v>122.595</x:v>
      </x:c>
      <x:c r="K92" s="43" t="n">
        <x:f>J92-D92</x:f>
        <x:v>11.825000000000003</x:v>
      </x:c>
      <x:c r="L92" s="26" t="str">
        <x:v>实际比预估重15.61lb，需核对称重与申报。</x:v>
      </x:c>
      <x:c r="M92" s="26" t="str">
        <x:v>账单已对账；预付试算接近（差≤0.15）</x:v>
      </x:c>
      <x:c r="N92" s="26" t="str">
        <x:v>20260708</x:v>
      </x:c>
      <x:c r="O92" s="26" t="n">
        <x:v>7</x:v>
      </x:c>
      <x:c r="P92" s="31" t="n">
        <x:v>61.99398812638758</x:v>
      </x:c>
      <x:c r="Q92" s="31" t="n">
        <x:v>77.6</x:v>
      </x:c>
      <x:c r="R92" s="26" t="n">
        <x:v>78</x:v>
      </x:c>
      <x:c r="S92" s="26" t="n">
        <x:v>166</x:v>
      </x:c>
      <x:c r="T92" s="43" t="n">
        <x:v>98.01</x:v>
      </x:c>
      <x:c r="U92" s="43" t="n">
        <x:v>-38.22</x:v>
      </x:c>
      <x:c r="V92" s="43" t="n">
        <x:v>29.37</x:v>
      </x:c>
      <x:c r="W92" s="43" t="n">
        <x:v>22.29</x:v>
      </x:c>
      <x:c r="X92" s="44" t="n">
        <x:v>0.25</x:v>
      </x:c>
      <x:c r="Y92" s="30" t="b">
        <x:v>0</x:v>
      </x:c>
      <x:c r="Z92" s="26" t="n">
        <x:v>7</x:v>
      </x:c>
      <x:c r="AA92" s="26" t="n">
        <x:v>62</x:v>
      </x:c>
      <x:c r="AB92" s="26" t="n">
        <x:v>334</x:v>
      </x:c>
      <x:c r="AC92" s="43" t="n">
        <x:v>110.78</x:v>
      </x:c>
    </x:row>
    <x:row r="93" ht="135" customHeight="1">
      <x:c r="A93" s="26" t="n">
        <x:v>92</x:v>
      </x:c>
      <x:c r="B93" s="26" t="str">
        <x:v>874588862256</x:v>
      </x:c>
      <x:c r="C93" s="26" t="str">
        <x:v>EL400</x:v>
      </x:c>
      <x:c r="D93" s="43" t="n">
        <x:v>76.99</x:v>
      </x:c>
      <x:c r="E93" s="26" t="str">
        <x:v>反推假设：86lb、Zone2（账单Zone2）。
标准运费53.90×61%≈32.88
＋假设折后附加费23.00
＋燃油(32.88＋23.00)×25.75%≈14.39
＝预估承运成本70.27
按既有收费规则折算→预付77.30；与原预付差+0.31。</x:v>
      </x:c>
      <x:c r="F93" s="43" t="n">
        <x:v>77.3</x:v>
      </x:c>
      <x:c r="G93" s="43" t="n">
        <x:f>F93-D93</x:f>
        <x:v>0.3100000000000023</x:v>
      </x:c>
      <x:c r="H93" s="26" t="str">
        <x:v>运输费67.02
−折扣26.14
＋Add'l Handling-Weight 23.00
＋燃油16.45
＝承运净额80.33
账单实收88.363（按既有收费规则）</x:v>
      </x:c>
      <x:c r="I93" s="43" t="n">
        <x:v>80.33</x:v>
      </x:c>
      <x:c r="J93" s="43" t="n">
        <x:v>88.363</x:v>
      </x:c>
      <x:c r="K93" s="43" t="n">
        <x:f>J93-D93</x:f>
        <x:v>11.373000000000005</x:v>
      </x:c>
      <x:c r="L93" s="26" t="str">
        <x:v>实际比预估重8.72lb，需核对称重与申报。
试算偏差较大：缺原始报价/折扣/尺寸，不能强行归因。</x:v>
      </x:c>
      <x:c r="M93" s="26" t="str">
        <x:v>账单已对账；现有假设未还原预付</x:v>
      </x:c>
      <x:c r="N93" s="26" t="str">
        <x:v>20260727</x:v>
      </x:c>
      <x:c r="O93" s="26" t="n">
        <x:v>2</x:v>
      </x:c>
      <x:c r="P93" s="31" t="n">
        <x:v>85.98028225210226</x:v>
      </x:c>
      <x:c r="Q93" s="31" t="n">
        <x:v>94.7</x:v>
      </x:c>
      <x:c r="R93" s="26" t="n">
        <x:v>95</x:v>
      </x:c>
      <x:c r="S93" s="26" t="n">
        <x:v>166</x:v>
      </x:c>
      <x:c r="T93" s="43" t="n">
        <x:v>67.02</x:v>
      </x:c>
      <x:c r="U93" s="43" t="n">
        <x:v>-26.14</x:v>
      </x:c>
      <x:c r="V93" s="43" t="n">
        <x:v>23</x:v>
      </x:c>
      <x:c r="W93" s="43" t="n">
        <x:v>16.45</x:v>
      </x:c>
      <x:c r="X93" s="44" t="n">
        <x:v>0.2575</x:v>
      </x:c>
      <x:c r="Y93" s="30" t="b">
        <x:v>0</x:v>
      </x:c>
      <x:c r="Z93" s="26" t="n">
        <x:v>2</x:v>
      </x:c>
      <x:c r="AA93" s="26" t="n">
        <x:v>86</x:v>
      </x:c>
      <x:c r="AB93" s="26" t="n">
        <x:v>549</x:v>
      </x:c>
      <x:c r="AC93" s="43" t="n">
        <x:v>77.3</x:v>
      </x:c>
    </x:row>
    <x:row r="94" ht="135" customHeight="1">
      <x:c r="A94" s="26" t="n">
        <x:v>93</x:v>
      </x:c>
      <x:c r="B94" s="26" t="str">
        <x:v>873162864479</x:v>
      </x:c>
      <x:c r="C94" s="26"/>
      <x:c r="D94" s="43" t="n">
        <x:v>102.43</x:v>
      </x:c>
      <x:c r="E94" s="26" t="str">
        <x:v>反推假设：51lb、Zone6（账单Zone5）。
标准运费67.94×61%≈41.44
＋假设折后附加费28.13
＋燃油(41.44＋28.13)×26.00%≈18.09
＝预估承运成本87.66
按既有收费规则折算→预付96.43；与原预付差-6.00。</x:v>
      </x:c>
      <x:c r="F94" s="43" t="n">
        <x:v>96.43</x:v>
      </x:c>
      <x:c r="G94" s="43" t="n">
        <x:f>F94-D94</x:f>
        <x:v>-6</x:v>
      </x:c>
      <x:c r="H94" s="26" t="str">
        <x:v>运输费64.54
−折扣20.65
＋Add'l Handling-Weight 28.12
＋Residential Delivery 3.22
＋燃油19.56
＝承运净额94.79
账单实收113.748（按既有收费规则）</x:v>
      </x:c>
      <x:c r="I94" s="43" t="n">
        <x:v>94.79</x:v>
      </x:c>
      <x:c r="J94" s="43" t="n">
        <x:v>113.748</x:v>
      </x:c>
      <x:c r="K94" s="43" t="n">
        <x:f>J94-D94</x:f>
        <x:v>11.317999999999998</x:v>
      </x:c>
      <x:c r="L94" s="26" t="str">
        <x:v>核对明细列有住宅派送费3.22美元；是否在预付中漏估须原始报价确认。
实际比预估重18.61lb，需核对称重与申报。
预付反推Zone6，最终Zone5；不代表分区错误，需查原邮编与合同。
试算偏差较大：缺原始报价/折扣/尺寸，不能强行归因。</x:v>
      </x:c>
      <x:c r="M94" s="26" t="str">
        <x:v>账单已对账；现有假设未还原预付</x:v>
      </x:c>
      <x:c r="N94" s="26" t="str">
        <x:v>20260616</x:v>
      </x:c>
      <x:c r="O94" s="26" t="n">
        <x:v>5</x:v>
      </x:c>
      <x:c r="P94" s="31" t="n">
        <x:v>50.99292124336218</x:v>
      </x:c>
      <x:c r="Q94" s="31" t="n">
        <x:v>69.6</x:v>
      </x:c>
      <x:c r="R94" s="26" t="n">
        <x:v>70</x:v>
      </x:c>
      <x:c r="S94" s="26" t="n">
        <x:v>166</x:v>
      </x:c>
      <x:c r="T94" s="43" t="n">
        <x:v>64.54</x:v>
      </x:c>
      <x:c r="U94" s="43" t="n">
        <x:v>-20.65</x:v>
      </x:c>
      <x:c r="V94" s="43" t="n">
        <x:v>31.34</x:v>
      </x:c>
      <x:c r="W94" s="43" t="n">
        <x:v>19.56</x:v>
      </x:c>
      <x:c r="X94" s="44" t="n">
        <x:v>0.26</x:v>
      </x:c>
      <x:c r="Y94" s="30" t="b">
        <x:v>0</x:v>
      </x:c>
      <x:c r="Z94" s="26" t="n">
        <x:v>6</x:v>
      </x:c>
      <x:c r="AA94" s="26" t="n">
        <x:v>51</x:v>
      </x:c>
      <x:c r="AB94" s="26" t="n">
        <x:v>62</x:v>
      </x:c>
      <x:c r="AC94" s="43" t="n">
        <x:v>84.23</x:v>
      </x:c>
    </x:row>
    <x:row r="95" ht="135" customHeight="1">
      <x:c r="A95" s="26" t="n">
        <x:v>94</x:v>
      </x:c>
      <x:c r="B95" s="26" t="str">
        <x:v>873490306183</x:v>
      </x:c>
      <x:c r="C95" s="26" t="str">
        <x:v>AC70</x:v>
      </x:c>
      <x:c r="D95" s="43" t="n">
        <x:v>25.62</x:v>
      </x:c>
      <x:c r="E95" s="26" t="str">
        <x:v>反推假设：17lb、Zone6（账单Zone6）。
标准运费28.56×61%≈17.42
＋假设折后附加费0.00
＋燃油(17.42＋0.00)×25.50%≈4.44
＝预估承运成本21.86
按既有收费规则折算→预付24.05；与原预付差-1.57。</x:v>
      </x:c>
      <x:c r="F95" s="43" t="n">
        <x:v>24.05</x:v>
      </x:c>
      <x:c r="G95" s="43" t="n">
        <x:f>F95-D95</x:f>
        <x:v>-1.5700000000000003</x:v>
      </x:c>
      <x:c r="H95" s="26" t="str">
        <x:v>运输费43.44
−折扣16.94
＋燃油6.76
＝承运净额33.26
账单实收36.586（按既有收费规则）</x:v>
      </x:c>
      <x:c r="I95" s="43" t="n">
        <x:v>33.26</x:v>
      </x:c>
      <x:c r="J95" s="43" t="n">
        <x:v>36.586</x:v>
      </x:c>
      <x:c r="K95" s="43" t="n">
        <x:f>J95-D95</x:f>
        <x:v>10.965999999999998</x:v>
      </x:c>
      <x:c r="L95" s="26" t="str">
        <x:v>实际比预估重10.30lb，需核对称重与申报。
试算偏差较大：缺原始报价/折扣/尺寸，不能强行归因。</x:v>
      </x:c>
      <x:c r="M95" s="26" t="str">
        <x:v>账单已对账；现有假设未还原预付</x:v>
      </x:c>
      <x:c r="N95" s="26" t="str">
        <x:v>20260625</x:v>
      </x:c>
      <x:c r="O95" s="26" t="n">
        <x:v>6</x:v>
      </x:c>
      <x:c r="P95" s="31" t="n">
        <x:v>16.99764041445406</x:v>
      </x:c>
      <x:c r="Q95" s="31" t="n">
        <x:v>27.3</x:v>
      </x:c>
      <x:c r="R95" s="26" t="n">
        <x:v>28</x:v>
      </x:c>
      <x:c r="S95" s="26" t="n">
        <x:v>166</x:v>
      </x:c>
      <x:c r="T95" s="43" t="n">
        <x:v>43.44</x:v>
      </x:c>
      <x:c r="U95" s="43" t="n">
        <x:v>-16.94</x:v>
      </x:c>
      <x:c r="V95" s="43" t="n">
        <x:v>0</x:v>
      </x:c>
      <x:c r="W95" s="43" t="n">
        <x:v>6.76</x:v>
      </x:c>
      <x:c r="X95" s="44" t="n">
        <x:v>0.255</x:v>
      </x:c>
      <x:c r="Y95" s="30" t="b">
        <x:v>0</x:v>
      </x:c>
      <x:c r="Z95" s="26" t="n">
        <x:v>6</x:v>
      </x:c>
      <x:c r="AA95" s="26" t="n">
        <x:v>17</x:v>
      </x:c>
      <x:c r="AB95" s="26" t="n">
        <x:v>157</x:v>
      </x:c>
      <x:c r="AC95" s="43" t="n">
        <x:v>24.05</x:v>
      </x:c>
    </x:row>
    <x:row r="96" ht="135" customHeight="1">
      <x:c r="A96" s="26" t="n">
        <x:v>95</x:v>
      </x:c>
      <x:c r="B96" s="26" t="str">
        <x:v>873341053904</x:v>
      </x:c>
      <x:c r="C96" s="26" t="str">
        <x:v>EL400</x:v>
      </x:c>
      <x:c r="D96" s="43" t="n">
        <x:v>103.58</x:v>
      </x:c>
      <x:c r="E96" s="26" t="str">
        <x:v>反推假设：86lb、Zone5（账单Zone5）。
标准运费76.43×61%≈46.62
＋假设折后附加费28.13
＋燃油(46.62＋28.13)×25.50%≈19.06
＝预估承运成本93.81
按既有收费规则折算→预付103.19；与原预付差-0.39。</x:v>
      </x:c>
      <x:c r="F96" s="43" t="n">
        <x:v>103.19</x:v>
      </x:c>
      <x:c r="G96" s="43" t="n">
        <x:f>F96-D96</x:f>
        <x:v>-0.39000000000000057</x:v>
      </x:c>
      <x:c r="H96" s="26" t="str">
        <x:v>运输费88.91
−折扣34.67
＋Add'l Handling-Weight 28.12
＋燃油21.00
＝承运净额103.36
账单实收113.696（按既有收费规则）</x:v>
      </x:c>
      <x:c r="I96" s="43" t="n">
        <x:v>103.36</x:v>
      </x:c>
      <x:c r="J96" s="43" t="n">
        <x:v>113.696</x:v>
      </x:c>
      <x:c r="K96" s="43" t="n">
        <x:f>J96-D96</x:f>
        <x:v>10.116</x:v>
      </x:c>
      <x:c r="L96" s="26" t="str">
        <x:v>实际比预估重12.92lb，需核对称重与申报。
试算偏差较大：缺原始报价/折扣/尺寸，不能强行归因。</x:v>
      </x:c>
      <x:c r="M96" s="26" t="str">
        <x:v>账单已对账；现有假设未还原预付</x:v>
      </x:c>
      <x:c r="N96" s="26" t="str">
        <x:v>20260625</x:v>
      </x:c>
      <x:c r="O96" s="26" t="n">
        <x:v>5</x:v>
      </x:c>
      <x:c r="P96" s="31" t="n">
        <x:v>85.98028225210226</x:v>
      </x:c>
      <x:c r="Q96" s="31" t="n">
        <x:v>98.9</x:v>
      </x:c>
      <x:c r="R96" s="26" t="n">
        <x:v>99</x:v>
      </x:c>
      <x:c r="S96" s="26" t="n">
        <x:v>166</x:v>
      </x:c>
      <x:c r="T96" s="43" t="n">
        <x:v>88.91</x:v>
      </x:c>
      <x:c r="U96" s="43" t="n">
        <x:v>-34.67</x:v>
      </x:c>
      <x:c r="V96" s="43" t="n">
        <x:v>28.12</x:v>
      </x:c>
      <x:c r="W96" s="43" t="n">
        <x:v>21</x:v>
      </x:c>
      <x:c r="X96" s="44" t="n">
        <x:v>0.255</x:v>
      </x:c>
      <x:c r="Y96" s="30" t="b">
        <x:v>0</x:v>
      </x:c>
      <x:c r="Z96" s="26" t="n">
        <x:v>5</x:v>
      </x:c>
      <x:c r="AA96" s="26" t="n">
        <x:v>86</x:v>
      </x:c>
      <x:c r="AB96" s="26" t="n">
        <x:v>181</x:v>
      </x:c>
      <x:c r="AC96" s="43" t="n">
        <x:v>103.19</x:v>
      </x:c>
    </x:row>
    <x:row r="97" ht="135" customHeight="1">
      <x:c r="A97" s="26" t="n">
        <x:v>96</x:v>
      </x:c>
      <x:c r="B97" s="26" t="str">
        <x:v>873185409203</x:v>
      </x:c>
      <x:c r="C97" s="26" t="str">
        <x:v>AC180</x:v>
      </x:c>
      <x:c r="D97" s="43" t="n">
        <x:v>53.79</x:v>
      </x:c>
      <x:c r="E97" s="26" t="str">
        <x:v>反推假设：38lb、Zone7（账单Zone7）。
标准运费63.63×61%≈38.81
＋假设折后附加费0.00
＋燃油(38.81＋0.00)×25.50%≈9.90
＝预估承运成本48.71
按既有收费规则折算→预付53.58；与原预付差-0.21。</x:v>
      </x:c>
      <x:c r="F97" s="43" t="n">
        <x:v>53.58</x:v>
      </x:c>
      <x:c r="G97" s="43" t="n">
        <x:f>F97-D97</x:f>
        <x:v>-0.21000000000000085</x:v>
      </x:c>
      <x:c r="H97" s="26" t="str">
        <x:v>运输费75.54
−折扣29.46
＋燃油11.75
＝承运净额57.83
账单实收63.613（按既有收费规则）</x:v>
      </x:c>
      <x:c r="I97" s="43" t="n">
        <x:v>57.83</x:v>
      </x:c>
      <x:c r="J97" s="43" t="n">
        <x:v>63.613</x:v>
      </x:c>
      <x:c r="K97" s="43" t="n">
        <x:f>J97-D97</x:f>
        <x:v>9.823</x:v>
      </x:c>
      <x:c r="L97" s="26" t="str">
        <x:v>实际比预估重6.91lb，需核对称重与申报。
试算偏差较大：缺原始报价/折扣/尺寸，不能强行归因。</x:v>
      </x:c>
      <x:c r="M97" s="26" t="str">
        <x:v>账单已对账；现有假设未还原预付</x:v>
      </x:c>
      <x:c r="N97" s="26" t="str">
        <x:v>20260622</x:v>
      </x:c>
      <x:c r="O97" s="26" t="n">
        <x:v>7</x:v>
      </x:c>
      <x:c r="P97" s="31" t="n">
        <x:v>37.98564777445441</x:v>
      </x:c>
      <x:c r="Q97" s="31" t="n">
        <x:v>44.9</x:v>
      </x:c>
      <x:c r="R97" s="26" t="n">
        <x:v>45</x:v>
      </x:c>
      <x:c r="S97" s="26" t="n">
        <x:v>166</x:v>
      </x:c>
      <x:c r="T97" s="43" t="n">
        <x:v>75.54</x:v>
      </x:c>
      <x:c r="U97" s="43" t="n">
        <x:v>-29.46</x:v>
      </x:c>
      <x:c r="V97" s="43" t="n">
        <x:v>0</x:v>
      </x:c>
      <x:c r="W97" s="43" t="n">
        <x:v>11.75</x:v>
      </x:c>
      <x:c r="X97" s="44" t="n">
        <x:v>0.255</x:v>
      </x:c>
      <x:c r="Y97" s="30" t="b">
        <x:v>0</x:v>
      </x:c>
      <x:c r="Z97" s="26" t="n">
        <x:v>7</x:v>
      </x:c>
      <x:c r="AA97" s="26" t="n">
        <x:v>38</x:v>
      </x:c>
      <x:c r="AB97" s="26" t="n">
        <x:v>115</x:v>
      </x:c>
      <x:c r="AC97" s="43" t="n">
        <x:v>53.58</x:v>
      </x:c>
    </x:row>
    <x:row r="98" ht="135" customHeight="1">
      <x:c r="A98" s="26" t="n">
        <x:v>97</x:v>
      </x:c>
      <x:c r="B98" s="26" t="str">
        <x:v>875030499683</x:v>
      </x:c>
      <x:c r="C98" s="26" t="str">
        <x:v>B300S</x:v>
      </x:c>
      <x:c r="D98" s="43" t="n">
        <x:v>70.53</x:v>
      </x:c>
      <x:c r="E98" s="26" t="str">
        <x:v>缺核对明细，无法重建预付；原预付仅按基础表保留。</x:v>
      </x:c>
      <x:c r="F98" s="43"/>
      <x:c r="G98" s="43"/>
      <x:c r="H98" s="26" t="str">
        <x:v>缺原始核对明细，无法拆分。</x:v>
      </x:c>
      <x:c r="I98" s="43"/>
      <x:c r="J98" s="43" t="n">
        <x:v>80.058</x:v>
      </x:c>
      <x:c r="K98" s="43" t="n">
        <x:f>J98-D98</x:f>
        <x:v>9.528000000000006</x:v>
      </x:c>
      <x:c r="L98" s="26" t="str">
        <x:v>核对表无唯一匹配费用明细，无法确认差距原因；需补原始FedEx账单。</x:v>
      </x:c>
      <x:c r="M98" s="26" t="str">
        <x:v>缺核对明细，原因未确认</x:v>
      </x:c>
      <x:c r="N98" s="26"/>
      <x:c r="O98" s="26"/>
      <x:c r="P98" s="31"/>
      <x:c r="Q98" s="31"/>
      <x:c r="R98" s="26"/>
      <x:c r="S98" s="26"/>
      <x:c r="T98" s="43"/>
      <x:c r="U98" s="43"/>
      <x:c r="V98" s="43"/>
      <x:c r="W98" s="43"/>
      <x:c r="X98" s="44"/>
      <x:c r="Y98" s="26"/>
      <x:c r="Z98" s="26"/>
      <x:c r="AA98" s="26"/>
      <x:c r="AB98" s="26"/>
      <x:c r="AC98" s="43"/>
    </x:row>
    <x:row r="99" ht="135" customHeight="1">
      <x:c r="A99" s="26" t="n">
        <x:v>98</x:v>
      </x:c>
      <x:c r="B99" s="26" t="str">
        <x:v>874973366473</x:v>
      </x:c>
      <x:c r="C99" s="26" t="str">
        <x:v>AC180</x:v>
      </x:c>
      <x:c r="D99" s="43" t="n">
        <x:v>19.46</x:v>
      </x:c>
      <x:c r="E99" s="26" t="str">
        <x:v>缺核对明细，无法重建预付；原预付仅按基础表保留。</x:v>
      </x:c>
      <x:c r="F99" s="43"/>
      <x:c r="G99" s="43"/>
      <x:c r="H99" s="26" t="str">
        <x:v>缺原始核对明细，无法拆分。</x:v>
      </x:c>
      <x:c r="I99" s="43"/>
      <x:c r="J99" s="43" t="n">
        <x:v>28.864</x:v>
      </x:c>
      <x:c r="K99" s="43" t="n">
        <x:f>J99-D99</x:f>
        <x:v>9.404</x:v>
      </x:c>
      <x:c r="L99" s="26" t="str">
        <x:v>核对表无唯一匹配费用明细，无法确认差距原因；需补原始FedEx账单。</x:v>
      </x:c>
      <x:c r="M99" s="26" t="str">
        <x:v>缺核对明细，原因未确认</x:v>
      </x:c>
      <x:c r="N99" s="26"/>
      <x:c r="O99" s="26"/>
      <x:c r="P99" s="31"/>
      <x:c r="Q99" s="31"/>
      <x:c r="R99" s="26"/>
      <x:c r="S99" s="26"/>
      <x:c r="T99" s="43"/>
      <x:c r="U99" s="43"/>
      <x:c r="V99" s="43"/>
      <x:c r="W99" s="43"/>
      <x:c r="X99" s="44"/>
      <x:c r="Y99" s="26"/>
      <x:c r="Z99" s="26"/>
      <x:c r="AA99" s="26"/>
      <x:c r="AB99" s="26"/>
      <x:c r="AC99" s="43"/>
    </x:row>
    <x:row r="100" ht="135" customHeight="1">
      <x:c r="A100" s="26" t="n">
        <x:v>99</x:v>
      </x:c>
      <x:c r="B100" s="26" t="str">
        <x:v>873601056047</x:v>
      </x:c>
      <x:c r="C100" s="26" t="str">
        <x:v>EL400</x:v>
      </x:c>
      <x:c r="D100" s="43" t="n">
        <x:v>103.18</x:v>
      </x:c>
      <x:c r="E100" s="26" t="str">
        <x:v>反推假设：86lb、Zone5（账单Zone5）。
标准运费76.43×61%≈46.62
＋假设折后附加费28.13
＋燃油(46.62＋28.13)×25.00%≈18.69
＝预估承运成本93.44
按既有收费规则折算→预付102.78；与原预付差-0.40。</x:v>
      </x:c>
      <x:c r="F100" s="43" t="n">
        <x:v>102.78</x:v>
      </x:c>
      <x:c r="G100" s="43" t="n">
        <x:f>F100-D100</x:f>
        <x:v>-0.4000000000000057</x:v>
      </x:c>
      <x:c r="H100" s="26" t="str">
        <x:v>运输费87.80
−折扣34.24
＋Add'l Handling-Weight 28.12
＋燃油20.42
＝承运净额102.10
账单实收112.310（按既有收费规则）</x:v>
      </x:c>
      <x:c r="I100" s="43" t="n">
        <x:v>102.1</x:v>
      </x:c>
      <x:c r="J100" s="43" t="n">
        <x:v>112.31</x:v>
      </x:c>
      <x:c r="K100" s="43" t="n">
        <x:f>J100-D100</x:f>
        <x:v>9.129999999999995</x:v>
      </x:c>
      <x:c r="L100" s="26" t="str">
        <x:v>实际比预估重11.92lb，需核对称重与申报。
试算偏差较大：缺原始报价/折扣/尺寸，不能强行归因。</x:v>
      </x:c>
      <x:c r="M100" s="26" t="str">
        <x:v>账单已对账；现有假设未还原预付</x:v>
      </x:c>
      <x:c r="N100" s="26" t="str">
        <x:v>20260709</x:v>
      </x:c>
      <x:c r="O100" s="26" t="n">
        <x:v>5</x:v>
      </x:c>
      <x:c r="P100" s="31" t="n">
        <x:v>85.98028225210226</x:v>
      </x:c>
      <x:c r="Q100" s="31" t="n">
        <x:v>97.9</x:v>
      </x:c>
      <x:c r="R100" s="26" t="n">
        <x:v>98</x:v>
      </x:c>
      <x:c r="S100" s="26" t="n">
        <x:v>166</x:v>
      </x:c>
      <x:c r="T100" s="43" t="n">
        <x:v>87.8</x:v>
      </x:c>
      <x:c r="U100" s="43" t="n">
        <x:v>-34.24</x:v>
      </x:c>
      <x:c r="V100" s="43" t="n">
        <x:v>28.12</x:v>
      </x:c>
      <x:c r="W100" s="43" t="n">
        <x:v>20.42</x:v>
      </x:c>
      <x:c r="X100" s="44" t="n">
        <x:v>0.25</x:v>
      </x:c>
      <x:c r="Y100" s="30" t="b">
        <x:v>0</x:v>
      </x:c>
      <x:c r="Z100" s="26" t="n">
        <x:v>5</x:v>
      </x:c>
      <x:c r="AA100" s="26" t="n">
        <x:v>86</x:v>
      </x:c>
      <x:c r="AB100" s="26" t="n">
        <x:v>316</x:v>
      </x:c>
      <x:c r="AC100" s="43" t="n">
        <x:v>102.78</x:v>
      </x:c>
    </x:row>
    <x:row r="101" ht="135" customHeight="1">
      <x:c r="A101" s="26" t="n">
        <x:v>100</x:v>
      </x:c>
      <x:c r="B101" s="26" t="str">
        <x:v>873814694782</x:v>
      </x:c>
      <x:c r="C101" s="26" t="str">
        <x:v>AC180</x:v>
      </x:c>
      <x:c r="D101" s="43" t="n">
        <x:v>30.19</x:v>
      </x:c>
      <x:c r="E101" s="26" t="str">
        <x:v>反推假设：38lb、Zone4（账单Zone5）。
标准运费35.93×61%≈21.92
＋假设折后附加费0.00
＋燃油(21.92＋0.00)×25.25%≈5.53
＝预估承运成本27.45
按既有收费规则折算→预付30.20；与原预付差+0.01。</x:v>
      </x:c>
      <x:c r="F101" s="43" t="n">
        <x:v>30.2</x:v>
      </x:c>
      <x:c r="G101" s="43" t="n">
        <x:f>F101-D101</x:f>
        <x:v>0.00999999999999801</x:v>
      </x:c>
      <x:c r="H101" s="26" t="str">
        <x:v>运输费46.54
−折扣18.15
＋燃油7.17
＝承运净额35.56
账单实收39.116（按既有收费规则）</x:v>
      </x:c>
      <x:c r="I101" s="43" t="n">
        <x:v>35.56</x:v>
      </x:c>
      <x:c r="J101" s="43" t="n">
        <x:v>39.116</x:v>
      </x:c>
      <x:c r="K101" s="43" t="n">
        <x:f>J101-D101</x:f>
        <x:v>8.925999999999998</x:v>
      </x:c>
      <x:c r="L101" s="26" t="str">
        <x:v>预付反推Zone4，最终Zone5；不代表分区错误，需查原邮编与合同。</x:v>
      </x:c>
      <x:c r="M101" s="26" t="str">
        <x:v>账单已对账；预付试算接近（差≤0.15）</x:v>
      </x:c>
      <x:c r="N101" s="26" t="str">
        <x:v>20260702</x:v>
      </x:c>
      <x:c r="O101" s="26" t="n">
        <x:v>5</x:v>
      </x:c>
      <x:c r="P101" s="31" t="n">
        <x:v>37.98564777445441</x:v>
      </x:c>
      <x:c r="Q101" s="31" t="n">
        <x:v>41.2</x:v>
      </x:c>
      <x:c r="R101" s="26" t="n">
        <x:v>42</x:v>
      </x:c>
      <x:c r="S101" s="26" t="n">
        <x:v>166</x:v>
      </x:c>
      <x:c r="T101" s="43" t="n">
        <x:v>46.54</x:v>
      </x:c>
      <x:c r="U101" s="43" t="n">
        <x:v>-18.15</x:v>
      </x:c>
      <x:c r="V101" s="43" t="n">
        <x:v>0</x:v>
      </x:c>
      <x:c r="W101" s="43" t="n">
        <x:v>7.17</x:v>
      </x:c>
      <x:c r="X101" s="44" t="n">
        <x:v>0.2525</x:v>
      </x:c>
      <x:c r="Y101" s="30" t="b">
        <x:v>0</x:v>
      </x:c>
      <x:c r="Z101" s="26" t="n">
        <x:v>4</x:v>
      </x:c>
      <x:c r="AA101" s="26" t="n">
        <x:v>38</x:v>
      </x:c>
      <x:c r="AB101" s="26" t="n">
        <x:v>240</x:v>
      </x:c>
      <x:c r="AC101" s="43" t="n">
        <x:v>36.51</x:v>
      </x:c>
    </x:row>
    <x:row r="102" ht="135" customHeight="1">
      <x:c r="A102" s="26" t="n">
        <x:v>101</x:v>
      </x:c>
      <x:c r="B102" s="26" t="str">
        <x:v>874563668509</x:v>
      </x:c>
      <x:c r="C102" s="26" t="str">
        <x:v>AC70</x:v>
      </x:c>
      <x:c r="D102" s="43" t="n">
        <x:v>27.65</x:v>
      </x:c>
      <x:c r="E102" s="26" t="str">
        <x:v>反推假设：18lb、Zone6（账单Zone6）。
标准运费30.05×61%≈18.33
＋假设折后附加费0.00
＋燃油(18.33＋0.00)×25.25%≈4.63
＝预估承运成本22.96
按既有收费规则折算→预付25.26；与原预付差-2.39。</x:v>
      </x:c>
      <x:c r="F102" s="43" t="n">
        <x:v>25.26</x:v>
      </x:c>
      <x:c r="G102" s="43" t="n">
        <x:f>F102-D102</x:f>
        <x:v>-2.389999999999997</x:v>
      </x:c>
      <x:c r="H102" s="26" t="str">
        <x:v>运输费43.44
−折扣16.94
＋燃油6.69
＝承运净额33.19
账单实收36.509（按既有收费规则）</x:v>
      </x:c>
      <x:c r="I102" s="43" t="n">
        <x:v>33.19</x:v>
      </x:c>
      <x:c r="J102" s="43" t="n">
        <x:v>36.509</x:v>
      </x:c>
      <x:c r="K102" s="43" t="n">
        <x:f>J102-D102</x:f>
        <x:v>8.859000000000002</x:v>
      </x:c>
      <x:c r="L102" s="26" t="str">
        <x:v>实际比预估重9.41lb，需核对称重与申报。
试算偏差较大：缺原始报价/折扣/尺寸，不能强行归因。</x:v>
      </x:c>
      <x:c r="M102" s="26" t="str">
        <x:v>账单已对账；现有假设未还原预付</x:v>
      </x:c>
      <x:c r="N102" s="26" t="str">
        <x:v>20260720</x:v>
      </x:c>
      <x:c r="O102" s="26" t="n">
        <x:v>6</x:v>
      </x:c>
      <x:c r="P102" s="31" t="n">
        <x:v>17.98972059428601</x:v>
      </x:c>
      <x:c r="Q102" s="31" t="n">
        <x:v>27.4</x:v>
      </x:c>
      <x:c r="R102" s="26" t="n">
        <x:v>28</x:v>
      </x:c>
      <x:c r="S102" s="26" t="n">
        <x:v>166</x:v>
      </x:c>
      <x:c r="T102" s="43" t="n">
        <x:v>43.44</x:v>
      </x:c>
      <x:c r="U102" s="43" t="n">
        <x:v>-16.94</x:v>
      </x:c>
      <x:c r="V102" s="43" t="n">
        <x:v>0</x:v>
      </x:c>
      <x:c r="W102" s="43" t="n">
        <x:v>6.69</x:v>
      </x:c>
      <x:c r="X102" s="44" t="n">
        <x:v>0.2525</x:v>
      </x:c>
      <x:c r="Y102" s="30" t="b">
        <x:v>0</x:v>
      </x:c>
      <x:c r="Z102" s="26" t="n">
        <x:v>6</x:v>
      </x:c>
      <x:c r="AA102" s="26" t="n">
        <x:v>18</x:v>
      </x:c>
      <x:c r="AB102" s="26" t="n">
        <x:v>500</x:v>
      </x:c>
      <x:c r="AC102" s="43" t="n">
        <x:v>25.26</x:v>
      </x:c>
    </x:row>
    <x:row r="103" ht="135" customHeight="1">
      <x:c r="A103" s="26" t="n">
        <x:v>102</x:v>
      </x:c>
      <x:c r="B103" s="26" t="str">
        <x:v>874762837228</x:v>
      </x:c>
      <x:c r="C103" s="26" t="str">
        <x:v>AC180</x:v>
      </x:c>
      <x:c r="D103" s="43" t="n">
        <x:v>61.02</x:v>
      </x:c>
      <x:c r="E103" s="26" t="str">
        <x:v>缺核对明细，无法重建预付；原预付仅按基础表保留。</x:v>
      </x:c>
      <x:c r="F103" s="43"/>
      <x:c r="G103" s="43"/>
      <x:c r="H103" s="26" t="str">
        <x:v>缺原始核对明细，无法拆分。</x:v>
      </x:c>
      <x:c r="I103" s="43"/>
      <x:c r="J103" s="43" t="n">
        <x:v>69.85</x:v>
      </x:c>
      <x:c r="K103" s="43" t="n">
        <x:f>J103-D103</x:f>
        <x:v>8.829999999999991</x:v>
      </x:c>
      <x:c r="L103" s="26" t="str">
        <x:v>核对表无唯一匹配费用明细，无法确认差距原因；需补原始FedEx账单。</x:v>
      </x:c>
      <x:c r="M103" s="26" t="str">
        <x:v>缺核对明细，原因未确认</x:v>
      </x:c>
      <x:c r="N103" s="26"/>
      <x:c r="O103" s="26"/>
      <x:c r="P103" s="31"/>
      <x:c r="Q103" s="31"/>
      <x:c r="R103" s="26"/>
      <x:c r="S103" s="26"/>
      <x:c r="T103" s="43"/>
      <x:c r="U103" s="43"/>
      <x:c r="V103" s="43"/>
      <x:c r="W103" s="43"/>
      <x:c r="X103" s="44"/>
      <x:c r="Y103" s="26"/>
      <x:c r="Z103" s="26"/>
      <x:c r="AA103" s="26"/>
      <x:c r="AB103" s="26"/>
      <x:c r="AC103" s="43"/>
    </x:row>
    <x:row r="104" ht="135" customHeight="1">
      <x:c r="A104" s="26" t="n">
        <x:v>103</x:v>
      </x:c>
      <x:c r="B104" s="26" t="str">
        <x:v>873109425620</x:v>
      </x:c>
      <x:c r="C104" s="26"/>
      <x:c r="D104" s="43" t="n">
        <x:v>33.15</x:v>
      </x:c>
      <x:c r="E104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F104" s="43" t="n">
        <x:v>33.96</x:v>
      </x:c>
      <x:c r="G104" s="43" t="n">
        <x:f>F104-D104</x:f>
        <x:v>0.8100000000000023</x:v>
      </x:c>
      <x:c r="H104" s="26" t="str">
        <x:v>运输费36.03
−折扣11.53
＋Residential Delivery 3.22
＋燃油7.21
＝承运净额34.93
账单实收41.916（按既有收费规则）</x:v>
      </x:c>
      <x:c r="I104" s="43" t="n">
        <x:v>34.93</x:v>
      </x:c>
      <x:c r="J104" s="43" t="n">
        <x:v>41.916</x:v>
      </x:c>
      <x:c r="K104" s="43" t="n">
        <x:f>J104-D104</x:f>
        <x:v>8.765999999999998</x:v>
      </x:c>
      <x:c r="L104" s="26" t="str">
        <x:v>核对明细列有住宅派送费3.22美元；是否在预付中漏估须原始报价确认。
实际比预估重8.81lb，需核对称重与申报。
预付反推Zone7，最终Zone5；不代表分区错误，需查原邮编与合同。
试算偏差较大：缺原始报价/折扣/尺寸，不能强行归因。</x:v>
      </x:c>
      <x:c r="M104" s="26" t="str">
        <x:v>账单已对账；现有假设未还原预付</x:v>
      </x:c>
      <x:c r="N104" s="26" t="str">
        <x:v>20260616</x:v>
      </x:c>
      <x:c r="O104" s="26" t="n">
        <x:v>5</x:v>
      </x:c>
      <x:c r="P104" s="31" t="n">
        <x:v>20.988007360000342</x:v>
      </x:c>
      <x:c r="Q104" s="31" t="n">
        <x:v>29.8</x:v>
      </x:c>
      <x:c r="R104" s="26" t="n">
        <x:v>30</x:v>
      </x:c>
      <x:c r="S104" s="26" t="n">
        <x:v>166</x:v>
      </x:c>
      <x:c r="T104" s="43" t="n">
        <x:v>36.03</x:v>
      </x:c>
      <x:c r="U104" s="43" t="n">
        <x:v>-11.53</x:v>
      </x:c>
      <x:c r="V104" s="43" t="n">
        <x:v>3.22</x:v>
      </x:c>
      <x:c r="W104" s="43" t="n">
        <x:v>7.21</x:v>
      </x:c>
      <x:c r="X104" s="44" t="n">
        <x:v>0.26</x:v>
      </x:c>
      <x:c r="Y104" s="30" t="b">
        <x:v>0</x:v>
      </x:c>
      <x:c r="Z104" s="26" t="n">
        <x:v>7</x:v>
      </x:c>
      <x:c r="AA104" s="26" t="n">
        <x:v>21</x:v>
      </x:c>
      <x:c r="AB104" s="26" t="n">
        <x:v>25</x:v>
      </x:c>
      <x:c r="AC104" s="43" t="n">
        <x:v>23.28</x:v>
      </x:c>
    </x:row>
    <x:row r="105" ht="135" customHeight="1">
      <x:c r="A105" s="26" t="n">
        <x:v>104</x:v>
      </x:c>
      <x:c r="B105" s="26" t="str">
        <x:v>873109426410</x:v>
      </x:c>
      <x:c r="C105" s="26"/>
      <x:c r="D105" s="43" t="n">
        <x:v>33.15</x:v>
      </x:c>
      <x:c r="E105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F105" s="43" t="n">
        <x:v>33.96</x:v>
      </x:c>
      <x:c r="G105" s="43" t="n">
        <x:f>F105-D105</x:f>
        <x:v>0.8100000000000023</x:v>
      </x:c>
      <x:c r="H105" s="26" t="str">
        <x:v>运输费36.03
−折扣11.53
＋Residential Delivery 3.22
＋燃油7.21
＝承运净额34.93
账单实收41.916（按既有收费规则）</x:v>
      </x:c>
      <x:c r="I105" s="43" t="n">
        <x:v>34.93</x:v>
      </x:c>
      <x:c r="J105" s="43" t="n">
        <x:v>41.916</x:v>
      </x:c>
      <x:c r="K105" s="43" t="n">
        <x:f>J105-D105</x:f>
        <x:v>8.765999999999998</x:v>
      </x:c>
      <x:c r="L105" s="26" t="str">
        <x:v>核对明细列有住宅派送费3.22美元；是否在预付中漏估须原始报价确认。
实际比预估重8.41lb，需核对称重与申报。
预付反推Zone7，最终Zone5；不代表分区错误，需查原邮编与合同。
试算偏差较大：缺原始报价/折扣/尺寸，不能强行归因。</x:v>
      </x:c>
      <x:c r="M105" s="26" t="str">
        <x:v>账单已对账；现有假设未还原预付</x:v>
      </x:c>
      <x:c r="N105" s="26" t="str">
        <x:v>20260616</x:v>
      </x:c>
      <x:c r="O105" s="26" t="n">
        <x:v>5</x:v>
      </x:c>
      <x:c r="P105" s="31" t="n">
        <x:v>20.988007360000342</x:v>
      </x:c>
      <x:c r="Q105" s="31" t="n">
        <x:v>29.4</x:v>
      </x:c>
      <x:c r="R105" s="26" t="n">
        <x:v>30</x:v>
      </x:c>
      <x:c r="S105" s="26" t="n">
        <x:v>166</x:v>
      </x:c>
      <x:c r="T105" s="43" t="n">
        <x:v>36.03</x:v>
      </x:c>
      <x:c r="U105" s="43" t="n">
        <x:v>-11.53</x:v>
      </x:c>
      <x:c r="V105" s="43" t="n">
        <x:v>3.22</x:v>
      </x:c>
      <x:c r="W105" s="43" t="n">
        <x:v>7.21</x:v>
      </x:c>
      <x:c r="X105" s="44" t="n">
        <x:v>0.26</x:v>
      </x:c>
      <x:c r="Y105" s="30" t="b">
        <x:v>0</x:v>
      </x:c>
      <x:c r="Z105" s="26" t="n">
        <x:v>7</x:v>
      </x:c>
      <x:c r="AA105" s="26" t="n">
        <x:v>21</x:v>
      </x:c>
      <x:c r="AB105" s="26" t="n">
        <x:v>37</x:v>
      </x:c>
      <x:c r="AC105" s="43" t="n">
        <x:v>23.28</x:v>
      </x:c>
    </x:row>
    <x:row r="106" ht="135" customHeight="1">
      <x:c r="A106" s="26" t="n">
        <x:v>105</x:v>
      </x:c>
      <x:c r="B106" s="26" t="str">
        <x:v>873109426796</x:v>
      </x:c>
      <x:c r="C106" s="26"/>
      <x:c r="D106" s="43" t="n">
        <x:v>33.15</x:v>
      </x:c>
      <x:c r="E106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F106" s="43" t="n">
        <x:v>33.96</x:v>
      </x:c>
      <x:c r="G106" s="43" t="n">
        <x:f>F106-D106</x:f>
        <x:v>0.8100000000000023</x:v>
      </x:c>
      <x:c r="H106" s="26" t="str">
        <x:v>运输费36.03
−折扣11.53
＋Residential Delivery 3.22
＋燃油7.21
＝承运净额34.93
账单实收41.916（按既有收费规则）</x:v>
      </x:c>
      <x:c r="I106" s="43" t="n">
        <x:v>34.93</x:v>
      </x:c>
      <x:c r="J106" s="43" t="n">
        <x:v>41.916</x:v>
      </x:c>
      <x:c r="K106" s="43" t="n">
        <x:f>J106-D106</x:f>
        <x:v>8.765999999999998</x:v>
      </x:c>
      <x:c r="L106" s="26" t="str">
        <x:v>核对明细列有住宅派送费3.22美元；是否在预付中漏估须原始报价确认。
实际比预估重8.91lb，需核对称重与申报。
预付反推Zone7，最终Zone5；不代表分区错误，需查原邮编与合同。
试算偏差较大：缺原始报价/折扣/尺寸，不能强行归因。</x:v>
      </x:c>
      <x:c r="M106" s="26" t="str">
        <x:v>账单已对账；现有假设未还原预付</x:v>
      </x:c>
      <x:c r="N106" s="26" t="str">
        <x:v>20260616</x:v>
      </x:c>
      <x:c r="O106" s="26" t="n">
        <x:v>5</x:v>
      </x:c>
      <x:c r="P106" s="31" t="n">
        <x:v>20.988007360000342</x:v>
      </x:c>
      <x:c r="Q106" s="31" t="n">
        <x:v>29.9</x:v>
      </x:c>
      <x:c r="R106" s="26" t="n">
        <x:v>30</x:v>
      </x:c>
      <x:c r="S106" s="26" t="n">
        <x:v>166</x:v>
      </x:c>
      <x:c r="T106" s="43" t="n">
        <x:v>36.03</x:v>
      </x:c>
      <x:c r="U106" s="43" t="n">
        <x:v>-11.53</x:v>
      </x:c>
      <x:c r="V106" s="43" t="n">
        <x:v>3.22</x:v>
      </x:c>
      <x:c r="W106" s="43" t="n">
        <x:v>7.21</x:v>
      </x:c>
      <x:c r="X106" s="44" t="n">
        <x:v>0.26</x:v>
      </x:c>
      <x:c r="Y106" s="30" t="b">
        <x:v>0</x:v>
      </x:c>
      <x:c r="Z106" s="26" t="n">
        <x:v>7</x:v>
      </x:c>
      <x:c r="AA106" s="26" t="n">
        <x:v>21</x:v>
      </x:c>
      <x:c r="AB106" s="26" t="n">
        <x:v>42</x:v>
      </x:c>
      <x:c r="AC106" s="43" t="n">
        <x:v>23.28</x:v>
      </x:c>
    </x:row>
    <x:row r="107" ht="135" customHeight="1">
      <x:c r="A107" s="26" t="n">
        <x:v>106</x:v>
      </x:c>
      <x:c r="B107" s="26" t="str">
        <x:v>874829655122</x:v>
      </x:c>
      <x:c r="C107" s="26" t="str">
        <x:v>EL100V2</x:v>
      </x:c>
      <x:c r="D107" s="43" t="n">
        <x:v>29.94</x:v>
      </x:c>
      <x:c r="E107" s="26" t="str">
        <x:v>缺核对明细，无法重建预付；原预付仅按基础表保留。</x:v>
      </x:c>
      <x:c r="F107" s="43"/>
      <x:c r="G107" s="43"/>
      <x:c r="H107" s="26" t="str">
        <x:v>缺原始核对明细，无法拆分。</x:v>
      </x:c>
      <x:c r="I107" s="43"/>
      <x:c r="J107" s="43" t="n">
        <x:v>38.302</x:v>
      </x:c>
      <x:c r="K107" s="43" t="n">
        <x:f>J107-D107</x:f>
        <x:v>8.361999999999998</x:v>
      </x:c>
      <x:c r="L107" s="26" t="str">
        <x:v>核对表无唯一匹配费用明细，无法确认差距原因；需补原始FedEx账单。</x:v>
      </x:c>
      <x:c r="M107" s="26" t="str">
        <x:v>缺核对明细，原因未确认</x:v>
      </x:c>
      <x:c r="N107" s="26"/>
      <x:c r="O107" s="26"/>
      <x:c r="P107" s="31"/>
      <x:c r="Q107" s="31"/>
      <x:c r="R107" s="26"/>
      <x:c r="S107" s="26"/>
      <x:c r="T107" s="43"/>
      <x:c r="U107" s="43"/>
      <x:c r="V107" s="43"/>
      <x:c r="W107" s="43"/>
      <x:c r="X107" s="44"/>
      <x:c r="Y107" s="26"/>
      <x:c r="Z107" s="26"/>
      <x:c r="AA107" s="26"/>
      <x:c r="AB107" s="26"/>
      <x:c r="AC107" s="43"/>
    </x:row>
    <x:row r="108" ht="135" customHeight="1">
      <x:c r="A108" s="26" t="n">
        <x:v>107</x:v>
      </x:c>
      <x:c r="B108" s="26" t="str">
        <x:v>874413246789</x:v>
      </x:c>
      <x:c r="C108" s="26" t="str">
        <x:v>EL100V2</x:v>
      </x:c>
      <x:c r="D108" s="43" t="n">
        <x:v>29.87</x:v>
      </x:c>
      <x:c r="E108" s="26" t="str">
        <x:v>反推假设：23lb、Zone6（账单Zone6）。
标准运费35.63×61%≈21.73
＋假设折后附加费0.00
＋燃油(21.73＋0.00)×25.25%≈5.49
＝预估承运成本27.22
按既有收费规则折算→预付29.94；与原预付差+0.07。</x:v>
      </x:c>
      <x:c r="F108" s="43" t="n">
        <x:v>29.94</x:v>
      </x:c>
      <x:c r="G108" s="43" t="n">
        <x:f>F108-D108</x:f>
        <x:v>0.07000000000000028</x:v>
      </x:c>
      <x:c r="H108" s="26" t="str">
        <x:v>运输费45.40
−折扣17.71
＋燃油6.99
＝承运净额34.68
账单实收38.148（按既有收费规则）</x:v>
      </x:c>
      <x:c r="I108" s="43" t="n">
        <x:v>34.68</x:v>
      </x:c>
      <x:c r="J108" s="43" t="n">
        <x:v>38.148</x:v>
      </x:c>
      <x:c r="K108" s="43" t="n">
        <x:f>J108-D108</x:f>
        <x:v>8.278000000000002</x:v>
      </x:c>
      <x:c r="L108" s="26" t="str">
        <x:v>实际比预估重6.81lb，需核对称重与申报。</x:v>
      </x:c>
      <x:c r="M108" s="26" t="str">
        <x:v>账单已对账；预付试算接近（差≤0.15）</x:v>
      </x:c>
      <x:c r="N108" s="26" t="str">
        <x:v>20260720</x:v>
      </x:c>
      <x:c r="O108" s="26" t="n">
        <x:v>6</x:v>
      </x:c>
      <x:c r="P108" s="31" t="n">
        <x:v>22.99421394588273</x:v>
      </x:c>
      <x:c r="Q108" s="31" t="n">
        <x:v>29.8</x:v>
      </x:c>
      <x:c r="R108" s="26" t="n">
        <x:v>30</x:v>
      </x:c>
      <x:c r="S108" s="26" t="n">
        <x:v>166</x:v>
      </x:c>
      <x:c r="T108" s="43" t="n">
        <x:v>45.4</x:v>
      </x:c>
      <x:c r="U108" s="43" t="n">
        <x:v>-17.71</x:v>
      </x:c>
      <x:c r="V108" s="43" t="n">
        <x:v>0</x:v>
      </x:c>
      <x:c r="W108" s="43" t="n">
        <x:v>6.99</x:v>
      </x:c>
      <x:c r="X108" s="44" t="n">
        <x:v>0.2525</x:v>
      </x:c>
      <x:c r="Y108" s="30" t="b">
        <x:v>0</x:v>
      </x:c>
      <x:c r="Z108" s="26" t="n">
        <x:v>6</x:v>
      </x:c>
      <x:c r="AA108" s="26" t="n">
        <x:v>23</x:v>
      </x:c>
      <x:c r="AB108" s="26" t="n">
        <x:v>488</x:v>
      </x:c>
      <x:c r="AC108" s="43" t="n">
        <x:v>29.94</x:v>
      </x:c>
    </x:row>
    <x:row r="109" ht="135" customHeight="1">
      <x:c r="A109" s="26" t="n">
        <x:v>108</x:v>
      </x:c>
      <x:c r="B109" s="26" t="str">
        <x:v>874252749187</x:v>
      </x:c>
      <x:c r="C109" s="26"/>
      <x:c r="D109" s="43" t="n">
        <x:v>29.87</x:v>
      </x:c>
      <x:c r="E109" s="26" t="str">
        <x:v>反推假设：23lb、Zone6（账单Zone6）。
标准运费35.63×61%≈21.73
＋假设折后附加费0.00
＋燃油(21.73＋0.00)×25.25%≈5.49
＝预估承运成本27.22
按既有收费规则折算→预付29.94；与原预付差+0.07。</x:v>
      </x:c>
      <x:c r="F109" s="43" t="n">
        <x:v>29.94</x:v>
      </x:c>
      <x:c r="G109" s="43" t="n">
        <x:f>F109-D109</x:f>
        <x:v>0.07000000000000028</x:v>
      </x:c>
      <x:c r="H109" s="26" t="str">
        <x:v>运输费45.40
−折扣17.71
＋燃油6.99
＝承运净额34.68
账单实收38.148（按既有收费规则）</x:v>
      </x:c>
      <x:c r="I109" s="43" t="n">
        <x:v>34.68</x:v>
      </x:c>
      <x:c r="J109" s="43" t="n">
        <x:v>38.148</x:v>
      </x:c>
      <x:c r="K109" s="43" t="n">
        <x:f>J109-D109</x:f>
        <x:v>8.278000000000002</x:v>
      </x:c>
      <x:c r="L109" s="26" t="str">
        <x:v>实际比预估重6.31lb，需核对称重与申报。</x:v>
      </x:c>
      <x:c r="M109" s="26" t="str">
        <x:v>账单已对账；预付试算接近（差≤0.15）</x:v>
      </x:c>
      <x:c r="N109" s="26" t="str">
        <x:v>20260724</x:v>
      </x:c>
      <x:c r="O109" s="26" t="n">
        <x:v>6</x:v>
      </x:c>
      <x:c r="P109" s="31" t="n">
        <x:v>22.99421394588273</x:v>
      </x:c>
      <x:c r="Q109" s="31" t="n">
        <x:v>29.3</x:v>
      </x:c>
      <x:c r="R109" s="26" t="n">
        <x:v>30</x:v>
      </x:c>
      <x:c r="S109" s="26" t="n">
        <x:v>166</x:v>
      </x:c>
      <x:c r="T109" s="43" t="n">
        <x:v>45.4</x:v>
      </x:c>
      <x:c r="U109" s="43" t="n">
        <x:v>-17.71</x:v>
      </x:c>
      <x:c r="V109" s="43" t="n">
        <x:v>0</x:v>
      </x:c>
      <x:c r="W109" s="43" t="n">
        <x:v>6.99</x:v>
      </x:c>
      <x:c r="X109" s="44" t="n">
        <x:v>0.2525</x:v>
      </x:c>
      <x:c r="Y109" s="30" t="b">
        <x:v>0</x:v>
      </x:c>
      <x:c r="Z109" s="26" t="n">
        <x:v>6</x:v>
      </x:c>
      <x:c r="AA109" s="26" t="n">
        <x:v>23</x:v>
      </x:c>
      <x:c r="AB109" s="26" t="n">
        <x:v>518</x:v>
      </x:c>
      <x:c r="AC109" s="43" t="n">
        <x:v>29.94</x:v>
      </x:c>
    </x:row>
    <x:row r="110" ht="135" customHeight="1">
      <x:c r="A110" s="26" t="n">
        <x:v>109</x:v>
      </x:c>
      <x:c r="B110" s="26" t="str">
        <x:v>874820585846</x:v>
      </x:c>
      <x:c r="C110" s="26" t="str">
        <x:v>EL100V2</x:v>
      </x:c>
      <x:c r="D110" s="43" t="n">
        <x:v>29.94</x:v>
      </x:c>
      <x:c r="E110" s="26" t="str">
        <x:v>反推假设：23lb、Zone6（账单Zone6）。
标准运费35.63×61%≈21.73
＋假设折后附加费0.00
＋燃油(21.73＋0.00)×25.25%≈5.49
＝预估承运成本27.22
按既有收费规则折算→预付29.94；与原预付差+0.00。</x:v>
      </x:c>
      <x:c r="F110" s="43" t="n">
        <x:v>29.94</x:v>
      </x:c>
      <x:c r="G110" s="43" t="n">
        <x:f>F110-D110</x:f>
        <x:v>0</x:v>
      </x:c>
      <x:c r="H110" s="26" t="str">
        <x:v>运输费45.40
−折扣17.71
＋燃油6.99
＝承运净额34.68
账单实收38.148（按既有收费规则）</x:v>
      </x:c>
      <x:c r="I110" s="43" t="n">
        <x:v>34.68</x:v>
      </x:c>
      <x:c r="J110" s="43" t="n">
        <x:v>38.148</x:v>
      </x:c>
      <x:c r="K110" s="43" t="n">
        <x:f>J110-D110</x:f>
        <x:v>8.208000000000002</x:v>
      </x:c>
      <x:c r="L110" s="26" t="str">
        <x:v>实际比预估重7.01lb，需核对称重与申报。</x:v>
      </x:c>
      <x:c r="M110" s="26" t="str">
        <x:v>账单已对账；预付试算接近（差≤0.15）</x:v>
      </x:c>
      <x:c r="N110" s="26" t="str">
        <x:v>20260724</x:v>
      </x:c>
      <x:c r="O110" s="26" t="n">
        <x:v>6</x:v>
      </x:c>
      <x:c r="P110" s="31" t="n">
        <x:v>22.99421394588273</x:v>
      </x:c>
      <x:c r="Q110" s="31" t="n">
        <x:v>30</x:v>
      </x:c>
      <x:c r="R110" s="26" t="n">
        <x:v>30</x:v>
      </x:c>
      <x:c r="S110" s="26" t="n">
        <x:v>166</x:v>
      </x:c>
      <x:c r="T110" s="43" t="n">
        <x:v>45.4</x:v>
      </x:c>
      <x:c r="U110" s="43" t="n">
        <x:v>-17.71</x:v>
      </x:c>
      <x:c r="V110" s="43" t="n">
        <x:v>0</x:v>
      </x:c>
      <x:c r="W110" s="43" t="n">
        <x:v>6.99</x:v>
      </x:c>
      <x:c r="X110" s="44" t="n">
        <x:v>0.2525</x:v>
      </x:c>
      <x:c r="Y110" s="30" t="b">
        <x:v>0</x:v>
      </x:c>
      <x:c r="Z110" s="26" t="n">
        <x:v>6</x:v>
      </x:c>
      <x:c r="AA110" s="26" t="n">
        <x:v>23</x:v>
      </x:c>
      <x:c r="AB110" s="26" t="n">
        <x:v>562</x:v>
      </x:c>
      <x:c r="AC110" s="43" t="n">
        <x:v>29.94</x:v>
      </x:c>
    </x:row>
    <x:row r="111" ht="135" customHeight="1">
      <x:c r="A111" s="26" t="n">
        <x:v>110</x:v>
      </x:c>
      <x:c r="B111" s="26" t="str">
        <x:v>873861658919</x:v>
      </x:c>
      <x:c r="C111" s="26" t="str">
        <x:v>背包</x:v>
      </x:c>
      <x:c r="D111" s="43" t="n">
        <x:v>16.17</x:v>
      </x:c>
      <x:c r="E111" s="26" t="str">
        <x:v>反推假设：3lb、Zone8（账单Zone4）。
标准运费19.11×61%≈11.66
＋假设折后附加费0.00
＋燃油(11.66＋0.00)×25.25%≈2.94
＝预估承运成本14.60
按既有收费规则折算→预付16.06；与原预付差-0.11。</x:v>
      </x:c>
      <x:c r="F111" s="43" t="n">
        <x:v>16.06</x:v>
      </x:c>
      <x:c r="G111" s="43" t="n">
        <x:f>F111-D111</x:f>
        <x:v>-0.11000000000000298</x:v>
      </x:c>
      <x:c r="H111" s="26" t="str">
        <x:v>运输费28.98
−折扣11.30
＋燃油4.46
＝承运净额22.14
账单实收24.354（按既有收费规则）</x:v>
      </x:c>
      <x:c r="I111" s="43" t="n">
        <x:v>22.14</x:v>
      </x:c>
      <x:c r="J111" s="43" t="n">
        <x:v>24.354</x:v>
      </x:c>
      <x:c r="K111" s="43" t="n">
        <x:f>J111-D111</x:f>
        <x:v>8.183999999999997</x:v>
      </x:c>
      <x:c r="L111" s="26" t="str">
        <x:v>实际比预估重5.30lb，需核对称重与申报。
预付反推Zone8，最终Zone4；不代表分区错误，需查原邮编与合同。</x:v>
      </x:c>
      <x:c r="M111" s="26" t="str">
        <x:v>账单已对账；预付试算接近（差≤0.15）</x:v>
      </x:c>
      <x:c r="N111" s="26" t="str">
        <x:v>20260720</x:v>
      </x:c>
      <x:c r="O111" s="26" t="n">
        <x:v>4</x:v>
      </x:c>
      <x:c r="P111" s="31" t="n">
        <x:v>2.9982867657143353</x:v>
      </x:c>
      <x:c r="Q111" s="31" t="n">
        <x:v>8.3</x:v>
      </x:c>
      <x:c r="R111" s="26" t="n">
        <x:v>29</x:v>
      </x:c>
      <x:c r="S111" s="26" t="n">
        <x:v>166</x:v>
      </x:c>
      <x:c r="T111" s="43" t="n">
        <x:v>28.98</x:v>
      </x:c>
      <x:c r="U111" s="43" t="n">
        <x:v>-11.3</x:v>
      </x:c>
      <x:c r="V111" s="43" t="n">
        <x:v>0</x:v>
      </x:c>
      <x:c r="W111" s="43" t="n">
        <x:v>4.46</x:v>
      </x:c>
      <x:c r="X111" s="44" t="n">
        <x:v>0.2525</x:v>
      </x:c>
      <x:c r="Y111" s="30" t="b">
        <x:v>0</x:v>
      </x:c>
      <x:c r="Z111" s="26" t="n">
        <x:v>8</x:v>
      </x:c>
      <x:c r="AA111" s="26" t="n">
        <x:v>3</x:v>
      </x:c>
      <x:c r="AB111" s="26" t="n">
        <x:v>463</x:v>
      </x:c>
      <x:c r="AC111" s="43" t="n">
        <x:v>13.43</x:v>
      </x:c>
    </x:row>
    <x:row r="112" ht="135" customHeight="1">
      <x:c r="A112" s="26" t="n">
        <x:v>111</x:v>
      </x:c>
      <x:c r="B112" s="26" t="str">
        <x:v>873942029979</x:v>
      </x:c>
      <x:c r="C112" s="26" t="str">
        <x:v>EL100V2</x:v>
      </x:c>
      <x:c r="D112" s="43" t="n">
        <x:v>29.94</x:v>
      </x:c>
      <x:c r="E112" s="26" t="str">
        <x:v>反推假设：23lb、Zone6（账单Zone6）。
标准运费35.63×61%≈21.73
＋假设折后附加费0.00
＋燃油(21.73＋0.00)×25.00%≈5.43
＝预估承运成本27.16
按既有收费规则折算→预付29.88；与原预付差-0.06。</x:v>
      </x:c>
      <x:c r="F112" s="43" t="n">
        <x:v>29.88</x:v>
      </x:c>
      <x:c r="G112" s="43" t="n">
        <x:f>F112-D112</x:f>
        <x:v>-0.060000000000002274</x:v>
      </x:c>
      <x:c r="H112" s="26" t="str">
        <x:v>运输费45.40
−折扣17.71
＋燃油6.92
＝承运净额34.61
账单实收38.071（按既有收费规则）</x:v>
      </x:c>
      <x:c r="I112" s="43" t="n">
        <x:v>34.61</x:v>
      </x:c>
      <x:c r="J112" s="43" t="n">
        <x:v>38.071</x:v>
      </x:c>
      <x:c r="K112" s="43" t="n">
        <x:f>J112-D112</x:f>
        <x:v>8.130999999999997</x:v>
      </x:c>
      <x:c r="L112" s="26" t="str">
        <x:v>实际比预估重6.61lb，需核对称重与申报。</x:v>
      </x:c>
      <x:c r="M112" s="26" t="str">
        <x:v>账单已对账；预付试算接近（差≤0.15）</x:v>
      </x:c>
      <x:c r="N112" s="26" t="str">
        <x:v>20260709</x:v>
      </x:c>
      <x:c r="O112" s="26" t="n">
        <x:v>6</x:v>
      </x:c>
      <x:c r="P112" s="31" t="n">
        <x:v>22.99421394588273</x:v>
      </x:c>
      <x:c r="Q112" s="31" t="n">
        <x:v>29.6</x:v>
      </x:c>
      <x:c r="R112" s="26" t="n">
        <x:v>30</x:v>
      </x:c>
      <x:c r="S112" s="26" t="n">
        <x:v>166</x:v>
      </x:c>
      <x:c r="T112" s="43" t="n">
        <x:v>45.4</x:v>
      </x:c>
      <x:c r="U112" s="43" t="n">
        <x:v>-17.71</x:v>
      </x:c>
      <x:c r="V112" s="43" t="n">
        <x:v>0</x:v>
      </x:c>
      <x:c r="W112" s="43" t="n">
        <x:v>6.92</x:v>
      </x:c>
      <x:c r="X112" s="44" t="n">
        <x:v>0.25</x:v>
      </x:c>
      <x:c r="Y112" s="30" t="b">
        <x:v>0</x:v>
      </x:c>
      <x:c r="Z112" s="26" t="n">
        <x:v>6</x:v>
      </x:c>
      <x:c r="AA112" s="26" t="n">
        <x:v>23</x:v>
      </x:c>
      <x:c r="AB112" s="26" t="n">
        <x:v>332</x:v>
      </x:c>
      <x:c r="AC112" s="43" t="n">
        <x:v>29.88</x:v>
      </x:c>
    </x:row>
    <x:row r="113" ht="135" customHeight="1">
      <x:c r="A113" s="26" t="n">
        <x:v>112</x:v>
      </x:c>
      <x:c r="B113" s="26" t="str">
        <x:v>875141356162</x:v>
      </x:c>
      <x:c r="C113" s="26" t="str">
        <x:v>AP300</x:v>
      </x:c>
      <x:c r="D113" s="43" t="n">
        <x:v>83.03</x:v>
      </x:c>
      <x:c r="E113" s="26" t="str">
        <x:v>缺核对明细，无法重建预付；原预付仅按基础表保留。</x:v>
      </x:c>
      <x:c r="F113" s="43"/>
      <x:c r="G113" s="43"/>
      <x:c r="H113" s="26" t="str">
        <x:v>缺原始核对明细，无法拆分。</x:v>
      </x:c>
      <x:c r="I113" s="43"/>
      <x:c r="J113" s="43" t="n">
        <x:v>91.003</x:v>
      </x:c>
      <x:c r="K113" s="43" t="n">
        <x:f>J113-D113</x:f>
        <x:v>7.972999999999999</x:v>
      </x:c>
      <x:c r="L113" s="26" t="str">
        <x:v>核对表无唯一匹配费用明细，无法确认差距原因；需补原始FedEx账单。</x:v>
      </x:c>
      <x:c r="M113" s="26" t="str">
        <x:v>缺核对明细，原因未确认</x:v>
      </x:c>
      <x:c r="N113" s="26"/>
      <x:c r="O113" s="26"/>
      <x:c r="P113" s="31"/>
      <x:c r="Q113" s="31"/>
      <x:c r="R113" s="26"/>
      <x:c r="S113" s="26"/>
      <x:c r="T113" s="43"/>
      <x:c r="U113" s="43"/>
      <x:c r="V113" s="43"/>
      <x:c r="W113" s="43"/>
      <x:c r="X113" s="44"/>
      <x:c r="Y113" s="26"/>
      <x:c r="Z113" s="26"/>
      <x:c r="AA113" s="26"/>
      <x:c r="AB113" s="26"/>
      <x:c r="AC113" s="43"/>
    </x:row>
    <x:row r="114" ht="135" customHeight="1">
      <x:c r="A114" s="26" t="n">
        <x:v>113</x:v>
      </x:c>
      <x:c r="B114" s="26" t="str">
        <x:v>873109426682</x:v>
      </x:c>
      <x:c r="C114" s="26"/>
      <x:c r="D114" s="43" t="n">
        <x:v>25.39</x:v>
      </x:c>
      <x:c r="E114" s="26" t="str">
        <x:v>反推假设：21lb、Zone5（账单Zone5）。
标准运费27.52×61%≈16.79
＋假设折后附加费0.00
＋燃油(16.79＋0.00)×26.00%≈4.37
＝预估承运成本21.16
按既有收费规则折算→预付23.28；与原预付差-2.11。</x:v>
      </x:c>
      <x:c r="F114" s="43" t="n">
        <x:v>23.28</x:v>
      </x:c>
      <x:c r="G114" s="43" t="n">
        <x:f>F114-D114</x:f>
        <x:v>-2.1099999999999994</x:v>
      </x:c>
      <x:c r="H114" s="26" t="str">
        <x:v>运输费36.03
−折扣14.05
＋燃油5.71
＝承运净额27.69
账单实收33.228（按既有收费规则）</x:v>
      </x:c>
      <x:c r="I114" s="43" t="n">
        <x:v>27.69</x:v>
      </x:c>
      <x:c r="J114" s="43" t="n">
        <x:v>33.228</x:v>
      </x:c>
      <x:c r="K114" s="43" t="n">
        <x:f>J114-D114</x:f>
        <x:v>7.838000000000001</x:v>
      </x:c>
      <x:c r="L114" s="26" t="str">
        <x:v>实际比预估重8.41lb，需核对称重与申报。
试算偏差较大：缺原始报价/折扣/尺寸，不能强行归因。</x:v>
      </x:c>
      <x:c r="M114" s="26" t="str">
        <x:v>账单已对账；现有假设未还原预付</x:v>
      </x:c>
      <x:c r="N114" s="26" t="str">
        <x:v>20260616</x:v>
      </x:c>
      <x:c r="O114" s="26" t="n">
        <x:v>5</x:v>
      </x:c>
      <x:c r="P114" s="31" t="n">
        <x:v>20.988007360000342</x:v>
      </x:c>
      <x:c r="Q114" s="31" t="n">
        <x:v>29.4</x:v>
      </x:c>
      <x:c r="R114" s="26" t="n">
        <x:v>30</x:v>
      </x:c>
      <x:c r="S114" s="26" t="n">
        <x:v>166</x:v>
      </x:c>
      <x:c r="T114" s="43" t="n">
        <x:v>36.03</x:v>
      </x:c>
      <x:c r="U114" s="43" t="n">
        <x:v>-14.05</x:v>
      </x:c>
      <x:c r="V114" s="43" t="n">
        <x:v>0</x:v>
      </x:c>
      <x:c r="W114" s="43" t="n">
        <x:v>5.71</x:v>
      </x:c>
      <x:c r="X114" s="44" t="n">
        <x:v>0.26</x:v>
      </x:c>
      <x:c r="Y114" s="30" t="b">
        <x:v>0</x:v>
      </x:c>
      <x:c r="Z114" s="26" t="n">
        <x:v>5</x:v>
      </x:c>
      <x:c r="AA114" s="26" t="n">
        <x:v>21</x:v>
      </x:c>
      <x:c r="AB114" s="26" t="n">
        <x:v>40</x:v>
      </x:c>
      <x:c r="AC114" s="43" t="n">
        <x:v>23.28</x:v>
      </x:c>
    </x:row>
    <x:row r="115" ht="135" customHeight="1">
      <x:c r="A115" s="26" t="n">
        <x:v>114</x:v>
      </x:c>
      <x:c r="B115" s="26" t="str">
        <x:v>874818799127</x:v>
      </x:c>
      <x:c r="C115" s="26" t="str">
        <x:v>AP300</x:v>
      </x:c>
      <x:c r="D115" s="43" t="n">
        <x:v>88.81</x:v>
      </x:c>
      <x:c r="E115" s="26" t="str">
        <x:v>反推假设：84lb、Zone4（账单Zone4）。
标准运费64.49×61%≈39.34
＋假设折后附加费25.13
＋燃油(39.34＋25.13)×25.25%≈16.28
＝预估承运成本80.75
按既有收费规则折算→预付88.83；与原预付差+0.02。</x:v>
      </x:c>
      <x:c r="F115" s="43" t="n">
        <x:v>88.83</x:v>
      </x:c>
      <x:c r="G115" s="43" t="n">
        <x:f>F115-D115</x:f>
        <x:v>0.01999999999999602</x:v>
      </x:c>
      <x:c r="H115" s="26" t="str">
        <x:v>运输费73.60
−折扣28.70
＋Add'l Handling-Weight 25.12
＋燃油17.68
＝承运净额87.70
账单实收96.470（按既有收费规则）</x:v>
      </x:c>
      <x:c r="I115" s="43" t="n">
        <x:v>87.7</x:v>
      </x:c>
      <x:c r="J115" s="43" t="n">
        <x:v>96.47</x:v>
      </x:c>
      <x:c r="K115" s="43" t="n">
        <x:f>J115-D115</x:f>
        <x:v>7.659999999999997</x:v>
      </x:c>
      <x:c r="L115" s="26" t="str">
        <x:v>实际比预估重6.30lb，需核对称重与申报。</x:v>
      </x:c>
      <x:c r="M115" s="26" t="str">
        <x:v>账单已对账；预付试算接近（差≤0.15）</x:v>
      </x:c>
      <x:c r="N115" s="26" t="str">
        <x:v>20260724</x:v>
      </x:c>
      <x:c r="O115" s="26" t="n">
        <x:v>4</x:v>
      </x:c>
      <x:c r="P115" s="31" t="n">
        <x:v>83.99612189243835</x:v>
      </x:c>
      <x:c r="Q115" s="31" t="n">
        <x:v>90.3</x:v>
      </x:c>
      <x:c r="R115" s="26" t="n">
        <x:v>91</x:v>
      </x:c>
      <x:c r="S115" s="26" t="n">
        <x:v>166</x:v>
      </x:c>
      <x:c r="T115" s="43" t="n">
        <x:v>73.6</x:v>
      </x:c>
      <x:c r="U115" s="43" t="n">
        <x:v>-28.7</x:v>
      </x:c>
      <x:c r="V115" s="43" t="n">
        <x:v>25.12</x:v>
      </x:c>
      <x:c r="W115" s="43" t="n">
        <x:v>17.68</x:v>
      </x:c>
      <x:c r="X115" s="44" t="n">
        <x:v>0.2525</x:v>
      </x:c>
      <x:c r="Y115" s="30" t="b">
        <x:v>0</x:v>
      </x:c>
      <x:c r="Z115" s="26" t="n">
        <x:v>4</x:v>
      </x:c>
      <x:c r="AA115" s="26" t="n">
        <x:v>84</x:v>
      </x:c>
      <x:c r="AB115" s="26" t="n">
        <x:v>544</x:v>
      </x:c>
      <x:c r="AC115" s="43" t="n">
        <x:v>88.83</x:v>
      </x:c>
    </x:row>
    <x:row r="116" ht="135" customHeight="1">
      <x:c r="A116" s="26" t="n">
        <x:v>115</x:v>
      </x:c>
      <x:c r="B116" s="26" t="str">
        <x:v>874283142645</x:v>
      </x:c>
      <x:c r="C116" s="26" t="str">
        <x:v>EL100V2</x:v>
      </x:c>
      <x:c r="D116" s="43" t="n">
        <x:v>44.5</x:v>
      </x:c>
      <x:c r="E116" s="26" t="str">
        <x:v>缺核对明细，无法重建预付；原预付仅按基础表保留。</x:v>
      </x:c>
      <x:c r="F116" s="43"/>
      <x:c r="G116" s="43"/>
      <x:c r="H116" s="26" t="str">
        <x:v>缺原始核对明细，无法拆分。</x:v>
      </x:c>
      <x:c r="I116" s="43"/>
      <x:c r="J116" s="43" t="n">
        <x:v>52.14</x:v>
      </x:c>
      <x:c r="K116" s="43" t="n">
        <x:f>J116-D116</x:f>
        <x:v>7.640000000000001</x:v>
      </x:c>
      <x:c r="L116" s="26" t="str">
        <x:v>核对表无唯一匹配费用明细，无法确认差距原因；需补原始FedEx账单。</x:v>
      </x:c>
      <x:c r="M116" s="26" t="str">
        <x:v>缺核对明细，原因未确认</x:v>
      </x:c>
      <x:c r="N116" s="26"/>
      <x:c r="O116" s="26"/>
      <x:c r="P116" s="31"/>
      <x:c r="Q116" s="31"/>
      <x:c r="R116" s="26"/>
      <x:c r="S116" s="26"/>
      <x:c r="T116" s="43"/>
      <x:c r="U116" s="43"/>
      <x:c r="V116" s="43"/>
      <x:c r="W116" s="43"/>
      <x:c r="X116" s="44"/>
      <x:c r="Y116" s="26"/>
      <x:c r="Z116" s="26"/>
      <x:c r="AA116" s="26"/>
      <x:c r="AB116" s="26"/>
      <x:c r="AC116" s="43"/>
    </x:row>
    <x:row r="117" ht="135" customHeight="1">
      <x:c r="A117" s="26" t="n">
        <x:v>116</x:v>
      </x:c>
      <x:c r="B117" s="26" t="str">
        <x:v>874403929269</x:v>
      </x:c>
      <x:c r="C117" s="26" t="str">
        <x:v>AC200L</x:v>
      </x:c>
      <x:c r="D117" s="43" t="n">
        <x:v>71.62</x:v>
      </x:c>
      <x:c r="E117" s="26" t="str">
        <x:v>反推假设：54lb、Zone4（账单Zone4）。
标准运费44.22×61%≈26.97
＋假设折后附加费25.13
＋燃油(26.97＋25.13)×25.25%≈13.16
＝预估承运成本65.26
按既有收费规则折算→预付71.79；与原预付差+0.17。</x:v>
      </x:c>
      <x:c r="F117" s="43" t="n">
        <x:v>71.79</x:v>
      </x:c>
      <x:c r="G117" s="43" t="n">
        <x:f>F117-D117</x:f>
        <x:v>0.1700000000000017</x:v>
      </x:c>
      <x:c r="H117" s="26" t="str">
        <x:v>运输费53.10
−折扣20.71
＋Add'l Handling-Weight 25.12
＋燃油14.52
＝承运净额72.03
账单实收79.233（按既有收费规则）</x:v>
      </x:c>
      <x:c r="I117" s="43" t="n">
        <x:v>72.03</x:v>
      </x:c>
      <x:c r="J117" s="43" t="n">
        <x:v>79.233</x:v>
      </x:c>
      <x:c r="K117" s="43" t="n">
        <x:f>J117-D117</x:f>
        <x:v>7.6129999999999995</x:v>
      </x:c>
      <x:c r="L117" s="26" t="str">
        <x:v>实际比预估重16.31lb，需核对称重与申报。
试算偏差较大：缺原始报价/折扣/尺寸，不能强行归因。</x:v>
      </x:c>
      <x:c r="M117" s="26" t="str">
        <x:v>账单已对账；现有假设未还原预付</x:v>
      </x:c>
      <x:c r="N117" s="26" t="str">
        <x:v>20260723</x:v>
      </x:c>
      <x:c r="O117" s="26" t="n">
        <x:v>4</x:v>
      </x:c>
      <x:c r="P117" s="31" t="n">
        <x:v>53.991208009076516</x:v>
      </x:c>
      <x:c r="Q117" s="31" t="n">
        <x:v>70.3</x:v>
      </x:c>
      <x:c r="R117" s="26" t="n">
        <x:v>71</x:v>
      </x:c>
      <x:c r="S117" s="26" t="n">
        <x:v>166</x:v>
      </x:c>
      <x:c r="T117" s="43" t="n">
        <x:v>53.1</x:v>
      </x:c>
      <x:c r="U117" s="43" t="n">
        <x:v>-20.71</x:v>
      </x:c>
      <x:c r="V117" s="43" t="n">
        <x:v>25.12</x:v>
      </x:c>
      <x:c r="W117" s="43" t="n">
        <x:v>14.52</x:v>
      </x:c>
      <x:c r="X117" s="44" t="n">
        <x:v>0.2525</x:v>
      </x:c>
      <x:c r="Y117" s="30" t="b">
        <x:v>0</x:v>
      </x:c>
      <x:c r="Z117" s="26" t="n">
        <x:v>4</x:v>
      </x:c>
      <x:c r="AA117" s="26" t="n">
        <x:v>54</x:v>
      </x:c>
      <x:c r="AB117" s="26" t="n">
        <x:v>521</x:v>
      </x:c>
      <x:c r="AC117" s="43" t="n">
        <x:v>71.79</x:v>
      </x:c>
    </x:row>
    <x:row r="118" ht="135" customHeight="1">
      <x:c r="A118" s="26" t="n">
        <x:v>117</x:v>
      </x:c>
      <x:c r="B118" s="26" t="str">
        <x:v>874972476665</x:v>
      </x:c>
      <x:c r="C118" s="26" t="str">
        <x:v>B300S</x:v>
      </x:c>
      <x:c r="D118" s="43" t="n">
        <x:v>83.03</x:v>
      </x:c>
      <x:c r="E118" s="26" t="str">
        <x:v>缺核对明细，无法重建预付；原预付仅按基础表保留。</x:v>
      </x:c>
      <x:c r="F118" s="43"/>
      <x:c r="G118" s="43"/>
      <x:c r="H118" s="26" t="str">
        <x:v>缺原始核对明细，无法拆分。</x:v>
      </x:c>
      <x:c r="I118" s="43"/>
      <x:c r="J118" s="43" t="n">
        <x:v>90.64</x:v>
      </x:c>
      <x:c r="K118" s="43" t="n">
        <x:f>J118-D118</x:f>
        <x:v>7.609999999999999</x:v>
      </x:c>
      <x:c r="L118" s="26" t="str">
        <x:v>核对表无唯一匹配费用明细，无法确认差距原因；需补原始FedEx账单。</x:v>
      </x:c>
      <x:c r="M118" s="26" t="str">
        <x:v>缺核对明细，原因未确认</x:v>
      </x:c>
      <x:c r="N118" s="26"/>
      <x:c r="O118" s="26"/>
      <x:c r="P118" s="31"/>
      <x:c r="Q118" s="31"/>
      <x:c r="R118" s="26"/>
      <x:c r="S118" s="26"/>
      <x:c r="T118" s="43"/>
      <x:c r="U118" s="43"/>
      <x:c r="V118" s="43"/>
      <x:c r="W118" s="43"/>
      <x:c r="X118" s="44"/>
      <x:c r="Y118" s="26"/>
      <x:c r="Z118" s="26"/>
      <x:c r="AA118" s="26"/>
      <x:c r="AB118" s="26"/>
      <x:c r="AC118" s="43"/>
    </x:row>
    <x:row r="119" ht="135" customHeight="1">
      <x:c r="A119" s="26" t="n">
        <x:v>118</x:v>
      </x:c>
      <x:c r="B119" s="26" t="str">
        <x:v>873550060825</x:v>
      </x:c>
      <x:c r="C119" s="26" t="str">
        <x:v>AC70</x:v>
      </x:c>
      <x:c r="D119" s="43" t="n">
        <x:v>21.61</x:v>
      </x:c>
      <x:c r="E119" s="26" t="str">
        <x:v>反推假设：17lb、Zone5（账单Zone5）。
标准运费24.07×61%≈14.68
＋假设折后附加费0.00
＋燃油(14.68＋0.00)×25.25%≈3.71
＝预估承运成本18.39
按既有收费规则折算→预付20.23；与原预付差-1.38。</x:v>
      </x:c>
      <x:c r="F119" s="43" t="n">
        <x:v>20.23</x:v>
      </x:c>
      <x:c r="G119" s="43" t="n">
        <x:f>F119-D119</x:f>
        <x:v>-1.379999999999999</x:v>
      </x:c>
      <x:c r="H119" s="26" t="str">
        <x:v>运输费34.65
−折扣13.51
＋燃油5.34
＝承运净额26.48
账单实收29.128（按既有收费规则）</x:v>
      </x:c>
      <x:c r="I119" s="43" t="n">
        <x:v>26.48</x:v>
      </x:c>
      <x:c r="J119" s="43" t="n">
        <x:v>29.128</x:v>
      </x:c>
      <x:c r="K119" s="43" t="n">
        <x:f>J119-D119</x:f>
        <x:v>7.518000000000001</x:v>
      </x:c>
      <x:c r="L119" s="26" t="str">
        <x:v>实际比预估重10.50lb，需核对称重与申报。
试算偏差较大：缺原始报价/折扣/尺寸，不能强行归因。</x:v>
      </x:c>
      <x:c r="M119" s="26" t="str">
        <x:v>账单已对账；现有假设未还原预付</x:v>
      </x:c>
      <x:c r="N119" s="26" t="str">
        <x:v>20260630</x:v>
      </x:c>
      <x:c r="O119" s="26" t="n">
        <x:v>5</x:v>
      </x:c>
      <x:c r="P119" s="31" t="n">
        <x:v>16.99764041445406</x:v>
      </x:c>
      <x:c r="Q119" s="31" t="n">
        <x:v>27.5</x:v>
      </x:c>
      <x:c r="R119" s="26" t="n">
        <x:v>28</x:v>
      </x:c>
      <x:c r="S119" s="26" t="n">
        <x:v>166</x:v>
      </x:c>
      <x:c r="T119" s="43" t="n">
        <x:v>34.65</x:v>
      </x:c>
      <x:c r="U119" s="43" t="n">
        <x:v>-13.51</x:v>
      </x:c>
      <x:c r="V119" s="43" t="n">
        <x:v>0</x:v>
      </x:c>
      <x:c r="W119" s="43" t="n">
        <x:v>5.34</x:v>
      </x:c>
      <x:c r="X119" s="44" t="n">
        <x:v>0.2525</x:v>
      </x:c>
      <x:c r="Y119" s="30" t="b">
        <x:v>0</x:v>
      </x:c>
      <x:c r="Z119" s="26" t="n">
        <x:v>5</x:v>
      </x:c>
      <x:c r="AA119" s="26" t="n">
        <x:v>17</x:v>
      </x:c>
      <x:c r="AB119" s="26" t="n">
        <x:v>219</x:v>
      </x:c>
      <x:c r="AC119" s="43" t="n">
        <x:v>20.23</x:v>
      </x:c>
    </x:row>
    <x:row r="120" ht="135" customHeight="1">
      <x:c r="A120" s="26" t="n">
        <x:v>119</x:v>
      </x:c>
      <x:c r="B120" s="26" t="str">
        <x:v>873416411900</x:v>
      </x:c>
      <x:c r="C120" s="26" t="str">
        <x:v>CHANGER2</x:v>
      </x:c>
      <x:c r="D120" s="43" t="n">
        <x:v>19.95</x:v>
      </x:c>
      <x:c r="E120" s="26" t="str">
        <x:v>反推假设：14lb、Zone5（账单Zone5）。
标准运费22.23×61%≈13.56
＋假设折后附加费0.00
＋燃油(13.56＋0.00)×25.00%≈3.39
＝预估承运成本16.95
按既有收费规则折算→预付18.65；与原预付差-1.30。</x:v>
      </x:c>
      <x:c r="F120" s="43" t="n">
        <x:v>18.65</x:v>
      </x:c>
      <x:c r="G120" s="43" t="n">
        <x:f>F120-D120</x:f>
        <x:v>-1.3000000000000007</x:v>
      </x:c>
      <x:c r="H120" s="26" t="str">
        <x:v>运输费32.73
−折扣12.76
＋燃油4.99
＝承运净额24.96
账单实收27.456（按既有收费规则）</x:v>
      </x:c>
      <x:c r="I120" s="43" t="n">
        <x:v>24.96</x:v>
      </x:c>
      <x:c r="J120" s="43" t="n">
        <x:v>27.456</x:v>
      </x:c>
      <x:c r="K120" s="43" t="n">
        <x:f>J120-D120</x:f>
        <x:v>7.506</x:v>
      </x:c>
      <x:c r="L120" s="26" t="str">
        <x:v>实际比预估重7.47lb，需核对称重与申报。
试算偏差较大：缺原始报价/折扣/尺寸，不能强行归因。</x:v>
      </x:c>
      <x:c r="M120" s="26" t="str">
        <x:v>账单已对账；现有假设未还原预付</x:v>
      </x:c>
      <x:c r="N120" s="26" t="str">
        <x:v>20260710</x:v>
      </x:c>
      <x:c r="O120" s="26" t="n">
        <x:v>5</x:v>
      </x:c>
      <x:c r="P120" s="31" t="n">
        <x:v>13.227735731092654</x:v>
      </x:c>
      <x:c r="Q120" s="31" t="n">
        <x:v>20.7</x:v>
      </x:c>
      <x:c r="R120" s="26" t="n">
        <x:v>27</x:v>
      </x:c>
      <x:c r="S120" s="26" t="n">
        <x:v>166</x:v>
      </x:c>
      <x:c r="T120" s="43" t="n">
        <x:v>32.73</x:v>
      </x:c>
      <x:c r="U120" s="43" t="n">
        <x:v>-12.76</x:v>
      </x:c>
      <x:c r="V120" s="43" t="n">
        <x:v>0</x:v>
      </x:c>
      <x:c r="W120" s="43" t="n">
        <x:v>4.99</x:v>
      </x:c>
      <x:c r="X120" s="44" t="n">
        <x:v>0.25</x:v>
      </x:c>
      <x:c r="Y120" s="30" t="b">
        <x:v>0</x:v>
      </x:c>
      <x:c r="Z120" s="26" t="n">
        <x:v>5</x:v>
      </x:c>
      <x:c r="AA120" s="26" t="n">
        <x:v>14</x:v>
      </x:c>
      <x:c r="AB120" s="26" t="n">
        <x:v>364</x:v>
      </x:c>
      <x:c r="AC120" s="43" t="n">
        <x:v>18.65</x:v>
      </x:c>
    </x:row>
    <x:row r="121" ht="135" customHeight="1">
      <x:c r="A121" s="26" t="n">
        <x:v>120</x:v>
      </x:c>
      <x:c r="B121" s="26" t="str">
        <x:v>873109427196</x:v>
      </x:c>
      <x:c r="C121" s="26"/>
      <x:c r="D121" s="43" t="n">
        <x:v>44.41</x:v>
      </x:c>
      <x:c r="E121" s="26" t="str">
        <x:v>反推假设：7lb、Zone8（账单Zone7）。
标准运费22.51×61%≈13.73
＋假设折后附加费0.00
＋燃油(13.73＋0.00)×26.00%≈3.57
＝预估承运成本17.30
按既有收费规则折算→预付19.03；与原预付差-25.38。</x:v>
      </x:c>
      <x:c r="F121" s="43" t="n">
        <x:v>19.03</x:v>
      </x:c>
      <x:c r="G121" s="43" t="n">
        <x:f>F121-D121</x:f>
        <x:v>-25.379999999999995</x:v>
      </x:c>
      <x:c r="H121" s="26" t="str">
        <x:v>运输费31.11
−折扣8.40
＋Residential Delivery 3.22
＋DAS Remote Residential 8.37
＋燃油8.92
＝承运净额43.22
账单实收51.864（按既有收费规则）</x:v>
      </x:c>
      <x:c r="I121" s="43" t="n">
        <x:v>43.22</x:v>
      </x:c>
      <x:c r="J121" s="43" t="n">
        <x:v>51.864</x:v>
      </x:c>
      <x:c r="K121" s="43" t="n">
        <x:f>J121-D121</x:f>
        <x:v>7.454000000000001</x:v>
      </x:c>
      <x:c r="L121" s="26" t="str">
        <x:v>核对明细列有住宅派送费3.22美元；是否在预付中漏估须原始报价确认。
核对明细列有派送区域/偏远费8.37美元；是否在预付中漏估尚未确认。
实际比预估重6.21lb，需核对称重与申报。
预付反推Zone8，最终Zone7；不代表分区错误，需查原邮编与合同。
试算偏差较大：缺原始报价/折扣/尺寸，不能强行归因。</x:v>
      </x:c>
      <x:c r="M121" s="26" t="str">
        <x:v>账单已对账；现有假设未还原预付</x:v>
      </x:c>
      <x:c r="N121" s="26" t="str">
        <x:v>20260616</x:v>
      </x:c>
      <x:c r="O121" s="26" t="n">
        <x:v>7</x:v>
      </x:c>
      <x:c r="P121" s="31" t="n">
        <x:v>6.988653711260619</x:v>
      </x:c>
      <x:c r="Q121" s="31" t="n">
        <x:v>13.2</x:v>
      </x:c>
      <x:c r="R121" s="26" t="n">
        <x:v>14</x:v>
      </x:c>
      <x:c r="S121" s="26" t="n">
        <x:v>166</x:v>
      </x:c>
      <x:c r="T121" s="43" t="n">
        <x:v>31.11</x:v>
      </x:c>
      <x:c r="U121" s="43" t="n">
        <x:v>-8.4</x:v>
      </x:c>
      <x:c r="V121" s="43" t="n">
        <x:v>11.59</x:v>
      </x:c>
      <x:c r="W121" s="43" t="n">
        <x:v>8.92</x:v>
      </x:c>
      <x:c r="X121" s="44" t="n">
        <x:v>0.26</x:v>
      </x:c>
      <x:c r="Y121" s="30" t="b">
        <x:v>0</x:v>
      </x:c>
      <x:c r="Z121" s="26" t="n">
        <x:v>8</x:v>
      </x:c>
      <x:c r="AA121" s="26" t="n">
        <x:v>7</x:v>
      </x:c>
      <x:c r="AB121" s="26" t="n">
        <x:v>75</x:v>
      </x:c>
      <x:c r="AC121" s="43" t="n">
        <x:v>17.79</x:v>
      </x:c>
    </x:row>
    <x:row r="122" ht="135" customHeight="1">
      <x:c r="A122" s="26" t="n">
        <x:v>121</x:v>
      </x:c>
      <x:c r="B122" s="26" t="str">
        <x:v>873363411682</x:v>
      </x:c>
      <x:c r="C122" s="26"/>
      <x:c r="D122" s="43" t="n">
        <x:v>43.04</x:v>
      </x:c>
      <x:c r="E122" s="26" t="str">
        <x:v>反推假设：47lb、Zone5（账单Zone8）。
标准运费51.10×61%≈31.17
＋假设折后附加费0.00
＋燃油(31.17＋0.00)×25.50%≈7.95
＝预估承运成本39.12
按既有收费规则折算→预付43.03；与原预付差-0.01。</x:v>
      </x:c>
      <x:c r="F122" s="43" t="n">
        <x:v>43.03</x:v>
      </x:c>
      <x:c r="G122" s="43" t="n">
        <x:f>F122-D122</x:f>
        <x:v>-0.00999999999999801</x:v>
      </x:c>
      <x:c r="H122" s="26" t="str">
        <x:v>运输费59.88
−折扣23.35
＋燃油9.32
＝承运净额45.85
账单实收50.435（按既有收费规则）</x:v>
      </x:c>
      <x:c r="I122" s="43" t="n">
        <x:v>45.85</x:v>
      </x:c>
      <x:c r="J122" s="43" t="n">
        <x:v>50.435</x:v>
      </x:c>
      <x:c r="K122" s="43" t="n">
        <x:f>J122-D122</x:f>
        <x:v>7.395000000000003</x:v>
      </x:c>
      <x:c r="L122" s="26" t="str">
        <x:v>实际重量不高于预估，不能用增重解释差额。
预付反推Zone5，最终Zone8；不代表分区错误，需查原邮编与合同。</x:v>
      </x:c>
      <x:c r="M122" s="26" t="str">
        <x:v>账单已对账；预付试算接近（差≤0.15）</x:v>
      </x:c>
      <x:c r="N122" s="26" t="str">
        <x:v>20260624</x:v>
      </x:c>
      <x:c r="O122" s="26" t="n">
        <x:v>8</x:v>
      </x:c>
      <x:c r="P122" s="31" t="n">
        <x:v>46.29707505882429</x:v>
      </x:c>
      <x:c r="Q122" s="31" t="n">
        <x:v>8.3</x:v>
      </x:c>
      <x:c r="R122" s="26" t="n">
        <x:v>29</x:v>
      </x:c>
      <x:c r="S122" s="26" t="n">
        <x:v>166</x:v>
      </x:c>
      <x:c r="T122" s="43" t="n">
        <x:v>59.88</x:v>
      </x:c>
      <x:c r="U122" s="43" t="n">
        <x:v>-23.35</x:v>
      </x:c>
      <x:c r="V122" s="43" t="n">
        <x:v>0</x:v>
      </x:c>
      <x:c r="W122" s="43" t="n">
        <x:v>9.32</x:v>
      </x:c>
      <x:c r="X122" s="44" t="n">
        <x:v>0.255</x:v>
      </x:c>
      <x:c r="Y122" s="30" t="b">
        <x:v>0</x:v>
      </x:c>
      <x:c r="Z122" s="26" t="n">
        <x:v>5</x:v>
      </x:c>
      <x:c r="AA122" s="26" t="n">
        <x:v>47</x:v>
      </x:c>
      <x:c r="AB122" s="26" t="n">
        <x:v>148</x:v>
      </x:c>
      <x:c r="AC122" s="43" t="n">
        <x:v>73.02</x:v>
      </x:c>
    </x:row>
    <x:row r="123" ht="135" customHeight="1">
      <x:c r="A123" s="26" t="n">
        <x:v>122</x:v>
      </x:c>
      <x:c r="B123" s="26" t="str">
        <x:v>875083140676</x:v>
      </x:c>
      <x:c r="C123" s="26" t="str">
        <x:v>AC200L</x:v>
      </x:c>
      <x:c r="D123" s="43" t="n">
        <x:v>72.08</x:v>
      </x:c>
      <x:c r="E123" s="26" t="str">
        <x:v>缺核对明细，无法重建预付；原预付仅按基础表保留。</x:v>
      </x:c>
      <x:c r="F123" s="43"/>
      <x:c r="G123" s="43"/>
      <x:c r="H123" s="26" t="str">
        <x:v>缺原始核对明细，无法拆分。</x:v>
      </x:c>
      <x:c r="I123" s="43"/>
      <x:c r="J123" s="43" t="n">
        <x:v>79.189</x:v>
      </x:c>
      <x:c r="K123" s="43" t="n">
        <x:f>J123-D123</x:f>
        <x:v>7.108999999999995</x:v>
      </x:c>
      <x:c r="L123" s="26" t="str">
        <x:v>核对表无唯一匹配费用明细，无法确认差距原因；需补原始FedEx账单。</x:v>
      </x:c>
      <x:c r="M123" s="26" t="str">
        <x:v>缺核对明细，原因未确认</x:v>
      </x:c>
      <x:c r="N123" s="26"/>
      <x:c r="O123" s="26"/>
      <x:c r="P123" s="31"/>
      <x:c r="Q123" s="31"/>
      <x:c r="R123" s="26"/>
      <x:c r="S123" s="26"/>
      <x:c r="T123" s="43"/>
      <x:c r="U123" s="43"/>
      <x:c r="V123" s="43"/>
      <x:c r="W123" s="43"/>
      <x:c r="X123" s="44"/>
      <x:c r="Y123" s="26"/>
      <x:c r="Z123" s="26"/>
      <x:c r="AA123" s="26"/>
      <x:c r="AB123" s="26"/>
      <x:c r="AC123" s="43"/>
    </x:row>
    <x:row r="124" ht="135" customHeight="1">
      <x:c r="A124" s="26" t="n">
        <x:v>123</x:v>
      </x:c>
      <x:c r="B124" s="26" t="str">
        <x:v>874085323892</x:v>
      </x:c>
      <x:c r="C124" s="26" t="str">
        <x:v>AC180</x:v>
      </x:c>
      <x:c r="D124" s="43" t="n">
        <x:v>34.8</x:v>
      </x:c>
      <x:c r="E124" s="26" t="str">
        <x:v>反推假设：36lb、Zone5（账单Zone5）。
标准运费41.50×61%≈25.31
＋假设折后附加费0.00
＋燃油(25.31＋0.00)×25.25%≈6.39
＝预估承运成本31.70
按既有收费规则折算→预付34.87；与原预付差+0.07。</x:v>
      </x:c>
      <x:c r="F124" s="43" t="n">
        <x:v>34.87</x:v>
      </x:c>
      <x:c r="G124" s="43" t="n">
        <x:f>F124-D124</x:f>
        <x:v>0.07000000000000028</x:v>
      </x:c>
      <x:c r="H124" s="26" t="str">
        <x:v>运输费49.79
−折扣19.42
＋燃油7.67
＝承运净额38.04
账单实收41.844（按既有收费规则）</x:v>
      </x:c>
      <x:c r="I124" s="43" t="n">
        <x:v>38.04</x:v>
      </x:c>
      <x:c r="J124" s="43" t="n">
        <x:v>41.844</x:v>
      </x:c>
      <x:c r="K124" s="43" t="n">
        <x:f>J124-D124</x:f>
        <x:v>7.044000000000004</x:v>
      </x:c>
      <x:c r="L124" s="26" t="str">
        <x:v>实际比预估重7.83lb，需核对称重与申报。</x:v>
      </x:c>
      <x:c r="M124" s="26" t="str">
        <x:v>账单已对账；预付试算接近（差≤0.15）</x:v>
      </x:c>
      <x:c r="N124" s="26" t="str">
        <x:v>20260721</x:v>
      </x:c>
      <x:c r="O124" s="26" t="n">
        <x:v>5</x:v>
      </x:c>
      <x:c r="P124" s="31" t="n">
        <x:v>35.27396194958041</x:v>
      </x:c>
      <x:c r="Q124" s="31" t="n">
        <x:v>43.1</x:v>
      </x:c>
      <x:c r="R124" s="26" t="n">
        <x:v>44</x:v>
      </x:c>
      <x:c r="S124" s="26" t="n">
        <x:v>166</x:v>
      </x:c>
      <x:c r="T124" s="43" t="n">
        <x:v>49.79</x:v>
      </x:c>
      <x:c r="U124" s="43" t="n">
        <x:v>-19.42</x:v>
      </x:c>
      <x:c r="V124" s="43" t="n">
        <x:v>0</x:v>
      </x:c>
      <x:c r="W124" s="43" t="n">
        <x:v>7.67</x:v>
      </x:c>
      <x:c r="X124" s="44" t="n">
        <x:v>0.2525</x:v>
      </x:c>
      <x:c r="Y124" s="30" t="b">
        <x:v>0</x:v>
      </x:c>
      <x:c r="Z124" s="26" t="n">
        <x:v>5</x:v>
      </x:c>
      <x:c r="AA124" s="26" t="n">
        <x:v>36</x:v>
      </x:c>
      <x:c r="AB124" s="26" t="n">
        <x:v>481</x:v>
      </x:c>
      <x:c r="AC124" s="43" t="n">
        <x:v>34.87</x:v>
      </x:c>
    </x:row>
    <x:row r="125" ht="135" customHeight="1">
      <x:c r="A125" s="26" t="n">
        <x:v>124</x:v>
      </x:c>
      <x:c r="B125" s="26" t="str">
        <x:v>873963892087</x:v>
      </x:c>
      <x:c r="C125" s="26" t="str">
        <x:v>AC200L</x:v>
      </x:c>
      <x:c r="D125" s="43" t="n">
        <x:v>65.37</x:v>
      </x:c>
      <x:c r="E125" s="26" t="str">
        <x:v>反推假设：56lb、Zone3（账单Zone3）。
标准运费36.76×61%≈22.42
＋假设折后附加费25.13
＋燃油(22.42＋25.13)×25.00%≈11.89
＝预估承运成本59.44
按既有收费规则折算→预付65.38；与原预付差+0.01。</x:v>
      </x:c>
      <x:c r="F125" s="43" t="n">
        <x:v>65.38</x:v>
      </x:c>
      <x:c r="G125" s="43" t="n">
        <x:f>F125-D125</x:f>
        <x:v>0.009999999999990905</x:v>
      </x:c>
      <x:c r="H125" s="26" t="str">
        <x:v>运输费44.69
−折扣17.43
＋Add'l Handling-Weight 25.12
＋燃油13.10
＝承运净额65.48
账单实收72.028（按既有收费规则）</x:v>
      </x:c>
      <x:c r="I125" s="43" t="n">
        <x:v>65.48</x:v>
      </x:c>
      <x:c r="J125" s="43" t="n">
        <x:v>72.028</x:v>
      </x:c>
      <x:c r="K125" s="43" t="n">
        <x:f>J125-D125</x:f>
        <x:v>6.658000000000001</x:v>
      </x:c>
      <x:c r="L125" s="26" t="str">
        <x:v>实际比预估重15.40lb，需核对称重与申报。</x:v>
      </x:c>
      <x:c r="M125" s="26" t="str">
        <x:v>账单已对账；预付试算接近（差≤0.15）</x:v>
      </x:c>
      <x:c r="N125" s="26" t="str">
        <x:v>20260707</x:v>
      </x:c>
      <x:c r="O125" s="26" t="n">
        <x:v>3</x:v>
      </x:c>
      <x:c r="P125" s="31" t="n">
        <x:v>55.9974145949589</x:v>
      </x:c>
      <x:c r="Q125" s="31" t="n">
        <x:v>71.4</x:v>
      </x:c>
      <x:c r="R125" s="26" t="n">
        <x:v>72</x:v>
      </x:c>
      <x:c r="S125" s="26" t="n">
        <x:v>166</x:v>
      </x:c>
      <x:c r="T125" s="43" t="n">
        <x:v>44.69</x:v>
      </x:c>
      <x:c r="U125" s="43" t="n">
        <x:v>-17.43</x:v>
      </x:c>
      <x:c r="V125" s="43" t="n">
        <x:v>25.12</x:v>
      </x:c>
      <x:c r="W125" s="43" t="n">
        <x:v>13.1</x:v>
      </x:c>
      <x:c r="X125" s="44" t="n">
        <x:v>0.25</x:v>
      </x:c>
      <x:c r="Y125" s="30" t="b">
        <x:v>0</x:v>
      </x:c>
      <x:c r="Z125" s="26" t="n">
        <x:v>3</x:v>
      </x:c>
      <x:c r="AA125" s="26" t="n">
        <x:v>56</x:v>
      </x:c>
      <x:c r="AB125" s="26" t="n">
        <x:v>298</x:v>
      </x:c>
      <x:c r="AC125" s="43" t="n">
        <x:v>65.38</x:v>
      </x:c>
    </x:row>
    <x:row r="126" ht="135" customHeight="1">
      <x:c r="A126" s="26" t="n">
        <x:v>125</x:v>
      </x:c>
      <x:c r="B126" s="26" t="str">
        <x:v>875130496183</x:v>
      </x:c>
      <x:c r="C126" s="26" t="str">
        <x:v>B300K2</x:v>
      </x:c>
      <x:c r="D126" s="43" t="n">
        <x:v>75.05</x:v>
      </x:c>
      <x:c r="E126" s="26" t="str">
        <x:v>缺核对明细，无法重建预付；原预付仅按基础表保留。</x:v>
      </x:c>
      <x:c r="F126" s="43"/>
      <x:c r="G126" s="43"/>
      <x:c r="H126" s="26" t="str">
        <x:v>缺原始核对明细，无法拆分。</x:v>
      </x:c>
      <x:c r="I126" s="43"/>
      <x:c r="J126" s="43" t="n">
        <x:v>81.675</x:v>
      </x:c>
      <x:c r="K126" s="43" t="n">
        <x:f>J126-D126</x:f>
        <x:v>6.625</x:v>
      </x:c>
      <x:c r="L126" s="26" t="str">
        <x:v>核对表无唯一匹配费用明细，无法确认差距原因；需补原始FedEx账单。</x:v>
      </x:c>
      <x:c r="M126" s="26" t="str">
        <x:v>缺核对明细，原因未确认</x:v>
      </x:c>
      <x:c r="N126" s="26"/>
      <x:c r="O126" s="26"/>
      <x:c r="P126" s="31"/>
      <x:c r="Q126" s="31"/>
      <x:c r="R126" s="26"/>
      <x:c r="S126" s="26"/>
      <x:c r="T126" s="43"/>
      <x:c r="U126" s="43"/>
      <x:c r="V126" s="43"/>
      <x:c r="W126" s="43"/>
      <x:c r="X126" s="44"/>
      <x:c r="Y126" s="26"/>
      <x:c r="Z126" s="26"/>
      <x:c r="AA126" s="26"/>
      <x:c r="AB126" s="26"/>
      <x:c r="AC126" s="43"/>
    </x:row>
    <x:row r="127" ht="135" customHeight="1">
      <x:c r="A127" s="26" t="n">
        <x:v>126</x:v>
      </x:c>
      <x:c r="B127" s="26" t="str">
        <x:v>873970977872</x:v>
      </x:c>
      <x:c r="C127" s="26" t="str">
        <x:v>EL100V2</x:v>
      </x:c>
      <x:c r="D127" s="43" t="n">
        <x:v>23.72</x:v>
      </x:c>
      <x:c r="E127" s="26" t="str">
        <x:v>反推假设：22lb、Zone5（账单Zone5）。
标准运费28.28×61%≈17.25
＋假设折后附加费0.00
＋燃油(17.25＋0.00)×25.00%≈4.31
＝预估承运成本21.56
按既有收费规则折算→预付23.72；与原预付差+0.00。</x:v>
      </x:c>
      <x:c r="F127" s="43" t="n">
        <x:v>23.72</x:v>
      </x:c>
      <x:c r="G127" s="43" t="n">
        <x:f>F127-D127</x:f>
        <x:v>0</x:v>
      </x:c>
      <x:c r="H127" s="26" t="str">
        <x:v>运输费36.03
−折扣14.05
＋燃油5.50
＝承运净额27.48
账单实收30.228（按既有收费规则）</x:v>
      </x:c>
      <x:c r="I127" s="43" t="n">
        <x:v>27.48</x:v>
      </x:c>
      <x:c r="J127" s="43" t="n">
        <x:v>30.228</x:v>
      </x:c>
      <x:c r="K127" s="43" t="n">
        <x:f>J127-D127</x:f>
        <x:v>6.508000000000003</x:v>
      </x:c>
      <x:c r="L127" s="26" t="str">
        <x:v>实际比预估重8.22lb，需核对称重与申报。</x:v>
      </x:c>
      <x:c r="M127" s="26" t="str">
        <x:v>账单已对账；预付试算接近（差≤0.15）</x:v>
      </x:c>
      <x:c r="N127" s="26" t="str">
        <x:v>20260709</x:v>
      </x:c>
      <x:c r="O127" s="26" t="n">
        <x:v>5</x:v>
      </x:c>
      <x:c r="P127" s="31" t="n">
        <x:v>21.781671503865905</x:v>
      </x:c>
      <x:c r="Q127" s="31" t="n">
        <x:v>30</x:v>
      </x:c>
      <x:c r="R127" s="26" t="n">
        <x:v>30</x:v>
      </x:c>
      <x:c r="S127" s="26" t="n">
        <x:v>166</x:v>
      </x:c>
      <x:c r="T127" s="43" t="n">
        <x:v>36.03</x:v>
      </x:c>
      <x:c r="U127" s="43" t="n">
        <x:v>-14.05</x:v>
      </x:c>
      <x:c r="V127" s="43" t="n">
        <x:v>0</x:v>
      </x:c>
      <x:c r="W127" s="43" t="n">
        <x:v>5.5</x:v>
      </x:c>
      <x:c r="X127" s="44" t="n">
        <x:v>0.25</x:v>
      </x:c>
      <x:c r="Y127" s="30" t="b">
        <x:v>0</x:v>
      </x:c>
      <x:c r="Z127" s="26" t="n">
        <x:v>5</x:v>
      </x:c>
      <x:c r="AA127" s="26" t="n">
        <x:v>22</x:v>
      </x:c>
      <x:c r="AB127" s="26" t="n">
        <x:v>336</x:v>
      </x:c>
      <x:c r="AC127" s="43" t="n">
        <x:v>23.72</x:v>
      </x:c>
    </x:row>
    <x:row r="128" ht="135" customHeight="1">
      <x:c r="A128" s="26" t="n">
        <x:v>127</x:v>
      </x:c>
      <x:c r="B128" s="26" t="str">
        <x:v>874095894992</x:v>
      </x:c>
      <x:c r="C128" s="26" t="str">
        <x:v>B300K</x:v>
      </x:c>
      <x:c r="D128" s="43" t="n">
        <x:v>88.7</x:v>
      </x:c>
      <x:c r="E128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F128" s="43" t="n">
        <x:v>88.73</x:v>
      </x:c>
      <x:c r="G128" s="43" t="n">
        <x:f>F128-D128</x:f>
        <x:v>0.030000000000001137</x:v>
      </x:c>
      <x:c r="H128" s="26" t="str">
        <x:v>运输费67.37
−折扣26.27
＋Add'l Handling-Weight 28.12
＋燃油17.31
＝承运净额86.53
账单实收95.183（按既有收费规则）</x:v>
      </x:c>
      <x:c r="I128" s="43" t="n">
        <x:v>86.53</x:v>
      </x:c>
      <x:c r="J128" s="43" t="n">
        <x:v>95.183</x:v>
      </x:c>
      <x:c r="K128" s="43" t="n">
        <x:f>J128-D128</x:f>
        <x:v>6.483000000000004</x:v>
      </x:c>
      <x:c r="L128" s="26" t="str">
        <x:v>实际比预估重11.66lb，需核对称重与申报。</x:v>
      </x:c>
      <x:c r="M128" s="26" t="str">
        <x:v>账单已对账；预付试算接近（差≤0.15）</x:v>
      </x:c>
      <x:c r="N128" s="26" t="str">
        <x:v>20260710</x:v>
      </x:c>
      <x:c r="O128" s="26" t="n">
        <x:v>5</x:v>
      </x:c>
      <x:c r="P128" s="31" t="n">
        <x:v>65.03636734453889</x:v>
      </x:c>
      <x:c r="Q128" s="31" t="n">
        <x:v>76.7</x:v>
      </x:c>
      <x:c r="R128" s="26" t="n">
        <x:v>77</x:v>
      </x:c>
      <x:c r="S128" s="26" t="n">
        <x:v>166</x:v>
      </x:c>
      <x:c r="T128" s="43" t="n">
        <x:v>67.37</x:v>
      </x:c>
      <x:c r="U128" s="43" t="n">
        <x:v>-26.27</x:v>
      </x:c>
      <x:c r="V128" s="43" t="n">
        <x:v>28.12</x:v>
      </x:c>
      <x:c r="W128" s="43" t="n">
        <x:v>17.31</x:v>
      </x:c>
      <x:c r="X128" s="44" t="n">
        <x:v>0.25</x:v>
      </x:c>
      <x:c r="Y128" s="30" t="b">
        <x:v>0</x:v>
      </x:c>
      <x:c r="Z128" s="26" t="n">
        <x:v>5</x:v>
      </x:c>
      <x:c r="AA128" s="26" t="n">
        <x:v>66</x:v>
      </x:c>
      <x:c r="AB128" s="26" t="n">
        <x:v>358</x:v>
      </x:c>
      <x:c r="AC128" s="43" t="n">
        <x:v>88.73</x:v>
      </x:c>
    </x:row>
    <x:row r="129" ht="135" customHeight="1">
      <x:c r="A129" s="26" t="n">
        <x:v>128</x:v>
      </x:c>
      <x:c r="B129" s="26" t="str">
        <x:v>874095731138</x:v>
      </x:c>
      <x:c r="C129" s="26" t="str">
        <x:v>B300K</x:v>
      </x:c>
      <x:c r="D129" s="43" t="n">
        <x:v>88.7</x:v>
      </x:c>
      <x:c r="E129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F129" s="43" t="n">
        <x:v>88.73</x:v>
      </x:c>
      <x:c r="G129" s="43" t="n">
        <x:f>F129-D129</x:f>
        <x:v>0.030000000000001137</x:v>
      </x:c>
      <x:c r="H129" s="26" t="str">
        <x:v>运输费67.37
−折扣26.27
＋Add'l Handling-Weight 28.12
＋燃油17.31
＝承运净额86.53
账单实收95.183（按既有收费规则）</x:v>
      </x:c>
      <x:c r="I129" s="43" t="n">
        <x:v>86.53</x:v>
      </x:c>
      <x:c r="J129" s="43" t="n">
        <x:v>95.183</x:v>
      </x:c>
      <x:c r="K129" s="43" t="n">
        <x:f>J129-D129</x:f>
        <x:v>6.483000000000004</x:v>
      </x:c>
      <x:c r="L129" s="26" t="str">
        <x:v>实际比预估重11.86lb，需核对称重与申报。</x:v>
      </x:c>
      <x:c r="M129" s="26" t="str">
        <x:v>账单已对账；预付试算接近（差≤0.15）</x:v>
      </x:c>
      <x:c r="N129" s="26" t="str">
        <x:v>20260710</x:v>
      </x:c>
      <x:c r="O129" s="26" t="n">
        <x:v>5</x:v>
      </x:c>
      <x:c r="P129" s="31" t="n">
        <x:v>65.03636734453889</x:v>
      </x:c>
      <x:c r="Q129" s="31" t="n">
        <x:v>76.9</x:v>
      </x:c>
      <x:c r="R129" s="26" t="n">
        <x:v>77</x:v>
      </x:c>
      <x:c r="S129" s="26" t="n">
        <x:v>166</x:v>
      </x:c>
      <x:c r="T129" s="43" t="n">
        <x:v>67.37</x:v>
      </x:c>
      <x:c r="U129" s="43" t="n">
        <x:v>-26.27</x:v>
      </x:c>
      <x:c r="V129" s="43" t="n">
        <x:v>28.12</x:v>
      </x:c>
      <x:c r="W129" s="43" t="n">
        <x:v>17.31</x:v>
      </x:c>
      <x:c r="X129" s="44" t="n">
        <x:v>0.25</x:v>
      </x:c>
      <x:c r="Y129" s="30" t="b">
        <x:v>0</x:v>
      </x:c>
      <x:c r="Z129" s="26" t="n">
        <x:v>5</x:v>
      </x:c>
      <x:c r="AA129" s="26" t="n">
        <x:v>66</x:v>
      </x:c>
      <x:c r="AB129" s="26" t="n">
        <x:v>357</x:v>
      </x:c>
      <x:c r="AC129" s="43" t="n">
        <x:v>88.73</x:v>
      </x:c>
    </x:row>
    <x:row r="130" ht="135" customHeight="1">
      <x:c r="A130" s="26" t="n">
        <x:v>129</x:v>
      </x:c>
      <x:c r="B130" s="26" t="str">
        <x:v>874095660326</x:v>
      </x:c>
      <x:c r="C130" s="26" t="str">
        <x:v>B300K</x:v>
      </x:c>
      <x:c r="D130" s="43" t="n">
        <x:v>88.7</x:v>
      </x:c>
      <x:c r="E130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F130" s="43" t="n">
        <x:v>88.73</x:v>
      </x:c>
      <x:c r="G130" s="43" t="n">
        <x:f>F130-D130</x:f>
        <x:v>0.030000000000001137</x:v>
      </x:c>
      <x:c r="H130" s="26" t="str">
        <x:v>运输费67.37
−折扣26.27
＋Add'l Handling-Weight 28.12
＋燃油17.31
＝承运净额86.53
账单实收95.183（按既有收费规则）</x:v>
      </x:c>
      <x:c r="I130" s="43" t="n">
        <x:v>86.53</x:v>
      </x:c>
      <x:c r="J130" s="43" t="n">
        <x:v>95.183</x:v>
      </x:c>
      <x:c r="K130" s="43" t="n">
        <x:f>J130-D130</x:f>
        <x:v>6.483000000000004</x:v>
      </x:c>
      <x:c r="L130" s="26" t="str">
        <x:v>实际比预估重11.86lb，需核对称重与申报。</x:v>
      </x:c>
      <x:c r="M130" s="26" t="str">
        <x:v>账单已对账；预付试算接近（差≤0.15）</x:v>
      </x:c>
      <x:c r="N130" s="26" t="str">
        <x:v>20260710</x:v>
      </x:c>
      <x:c r="O130" s="26" t="n">
        <x:v>5</x:v>
      </x:c>
      <x:c r="P130" s="31" t="n">
        <x:v>65.03636734453889</x:v>
      </x:c>
      <x:c r="Q130" s="31" t="n">
        <x:v>76.9</x:v>
      </x:c>
      <x:c r="R130" s="26" t="n">
        <x:v>77</x:v>
      </x:c>
      <x:c r="S130" s="26" t="n">
        <x:v>166</x:v>
      </x:c>
      <x:c r="T130" s="43" t="n">
        <x:v>67.37</x:v>
      </x:c>
      <x:c r="U130" s="43" t="n">
        <x:v>-26.27</x:v>
      </x:c>
      <x:c r="V130" s="43" t="n">
        <x:v>28.12</x:v>
      </x:c>
      <x:c r="W130" s="43" t="n">
        <x:v>17.31</x:v>
      </x:c>
      <x:c r="X130" s="44" t="n">
        <x:v>0.25</x:v>
      </x:c>
      <x:c r="Y130" s="30" t="b">
        <x:v>0</x:v>
      </x:c>
      <x:c r="Z130" s="26" t="n">
        <x:v>5</x:v>
      </x:c>
      <x:c r="AA130" s="26" t="n">
        <x:v>66</x:v>
      </x:c>
      <x:c r="AB130" s="26" t="n">
        <x:v>356</x:v>
      </x:c>
      <x:c r="AC130" s="43" t="n">
        <x:v>88.73</x:v>
      </x:c>
    </x:row>
    <x:row r="131" ht="135" customHeight="1">
      <x:c r="A131" s="26" t="n">
        <x:v>130</x:v>
      </x:c>
      <x:c r="B131" s="26" t="str">
        <x:v>873180402870</x:v>
      </x:c>
      <x:c r="C131" s="26" t="str">
        <x:v>B300</x:v>
      </x:c>
      <x:c r="D131" s="43" t="n">
        <x:v>98.83</x:v>
      </x:c>
      <x:c r="E131" s="26" t="str">
        <x:v>反推假设：80lb、Zone5（账单Zone5）。
标准运费70.81×61%≈43.19
＋假设折后附加费28.13
＋燃油(43.19＋28.13)×25.25%≈18.01
＝预估承运成本89.33
按既有收费规则折算→预付98.26；与原预付差-0.57。</x:v>
      </x:c>
      <x:c r="F131" s="43" t="n">
        <x:v>98.26</x:v>
      </x:c>
      <x:c r="G131" s="43" t="n">
        <x:f>F131-D131</x:f>
        <x:v>-0.5699999999999932</x:v>
      </x:c>
      <x:c r="H131" s="26" t="str">
        <x:v>运输费79.16
−折扣30.87
＋Add'l Handling-Weight 28.12
＋燃油19.29
＝承运净额95.70
账单实收105.270（按既有收费规则）</x:v>
      </x:c>
      <x:c r="I131" s="43" t="n">
        <x:v>95.7</x:v>
      </x:c>
      <x:c r="J131" s="43" t="n">
        <x:v>105.27</x:v>
      </x:c>
      <x:c r="K131" s="43" t="n">
        <x:f>J131-D131</x:f>
        <x:v>6.439999999999998</x:v>
      </x:c>
      <x:c r="L131" s="26" t="str">
        <x:v>实际比预估重8.51lb，需核对称重与申报。
试算偏差较大：缺原始报价/折扣/尺寸，不能强行归因。</x:v>
      </x:c>
      <x:c r="M131" s="26" t="str">
        <x:v>账单已对账；现有假设未还原预付</x:v>
      </x:c>
      <x:c r="N131" s="26" t="str">
        <x:v>20260703</x:v>
      </x:c>
      <x:c r="O131" s="26" t="n">
        <x:v>5</x:v>
      </x:c>
      <x:c r="P131" s="31" t="n">
        <x:v>79.58687664874081</x:v>
      </x:c>
      <x:c r="Q131" s="31" t="n">
        <x:v>88.1</x:v>
      </x:c>
      <x:c r="R131" s="26" t="n">
        <x:v>89</x:v>
      </x:c>
      <x:c r="S131" s="26" t="n">
        <x:v>166</x:v>
      </x:c>
      <x:c r="T131" s="43" t="n">
        <x:v>79.16</x:v>
      </x:c>
      <x:c r="U131" s="43" t="n">
        <x:v>-30.87</x:v>
      </x:c>
      <x:c r="V131" s="43" t="n">
        <x:v>28.12</x:v>
      </x:c>
      <x:c r="W131" s="43" t="n">
        <x:v>19.29</x:v>
      </x:c>
      <x:c r="X131" s="44" t="n">
        <x:v>0.2525</x:v>
      </x:c>
      <x:c r="Y131" s="30" t="b">
        <x:v>0</x:v>
      </x:c>
      <x:c r="Z131" s="26" t="n">
        <x:v>5</x:v>
      </x:c>
      <x:c r="AA131" s="26" t="n">
        <x:v>80</x:v>
      </x:c>
      <x:c r="AB131" s="26" t="n">
        <x:v>263</x:v>
      </x:c>
      <x:c r="AC131" s="43" t="n">
        <x:v>98.26</x:v>
      </x:c>
    </x:row>
    <x:row r="132" ht="135" customHeight="1">
      <x:c r="A132" s="26" t="n">
        <x:v>131</x:v>
      </x:c>
      <x:c r="B132" s="26" t="str">
        <x:v>874350386169</x:v>
      </x:c>
      <x:c r="C132" s="26" t="str">
        <x:v>AC180</x:v>
      </x:c>
      <x:c r="D132" s="43" t="n">
        <x:v>62.65</x:v>
      </x:c>
      <x:c r="E132" s="26" t="str">
        <x:v>缺核对明细，无法重建预付；原预付仅按基础表保留。</x:v>
      </x:c>
      <x:c r="F132" s="43"/>
      <x:c r="G132" s="43"/>
      <x:c r="H132" s="26" t="str">
        <x:v>缺原始核对明细，无法拆分。</x:v>
      </x:c>
      <x:c r="I132" s="43"/>
      <x:c r="J132" s="43" t="n">
        <x:v>68.915</x:v>
      </x:c>
      <x:c r="K132" s="43" t="n">
        <x:f>J132-D132</x:f>
        <x:v>6.265000000000008</x:v>
      </x:c>
      <x:c r="L132" s="26" t="str">
        <x:v>核对表无唯一匹配费用明细，无法确认差距原因；需补原始FedEx账单。</x:v>
      </x:c>
      <x:c r="M132" s="26" t="str">
        <x:v>缺核对明细，原因未确认</x:v>
      </x:c>
      <x:c r="N132" s="26"/>
      <x:c r="O132" s="26"/>
      <x:c r="P132" s="31"/>
      <x:c r="Q132" s="31"/>
      <x:c r="R132" s="26"/>
      <x:c r="S132" s="26"/>
      <x:c r="T132" s="43"/>
      <x:c r="U132" s="43"/>
      <x:c r="V132" s="43"/>
      <x:c r="W132" s="43"/>
      <x:c r="X132" s="44"/>
      <x:c r="Y132" s="26"/>
      <x:c r="Z132" s="26"/>
      <x:c r="AA132" s="26"/>
      <x:c r="AB132" s="26"/>
      <x:c r="AC132" s="43"/>
    </x:row>
    <x:row r="133" ht="135" customHeight="1">
      <x:c r="A133" s="26" t="n">
        <x:v>132</x:v>
      </x:c>
      <x:c r="B133" s="26" t="str">
        <x:v>874517506130</x:v>
      </x:c>
      <x:c r="C133" s="26" t="str">
        <x:v>RV5</x:v>
      </x:c>
      <x:c r="D133" s="43" t="n">
        <x:v>28.69</x:v>
      </x:c>
      <x:c r="E133" s="26" t="str">
        <x:v>缺核对明细，无法重建预付；原预付仅按基础表保留。</x:v>
      </x:c>
      <x:c r="F133" s="43"/>
      <x:c r="G133" s="43"/>
      <x:c r="H133" s="26" t="str">
        <x:v>缺原始核对明细，无法拆分。</x:v>
      </x:c>
      <x:c r="I133" s="43"/>
      <x:c r="J133" s="43" t="n">
        <x:v>34.87</x:v>
      </x:c>
      <x:c r="K133" s="43" t="n">
        <x:f>J133-D133</x:f>
        <x:v>6.179999999999996</x:v>
      </x:c>
      <x:c r="L133" s="26" t="str">
        <x:v>核对表无唯一匹配费用明细，无法确认差距原因；需补原始FedEx账单。</x:v>
      </x:c>
      <x:c r="M133" s="26" t="str">
        <x:v>缺核对明细，原因未确认</x:v>
      </x:c>
      <x:c r="N133" s="26"/>
      <x:c r="O133" s="26"/>
      <x:c r="P133" s="31"/>
      <x:c r="Q133" s="31"/>
      <x:c r="R133" s="26"/>
      <x:c r="S133" s="26"/>
      <x:c r="T133" s="43"/>
      <x:c r="U133" s="43"/>
      <x:c r="V133" s="43"/>
      <x:c r="W133" s="43"/>
      <x:c r="X133" s="44"/>
      <x:c r="Y133" s="26"/>
      <x:c r="Z133" s="26"/>
      <x:c r="AA133" s="26"/>
      <x:c r="AB133" s="26"/>
      <x:c r="AC133" s="43"/>
    </x:row>
    <x:row r="134" ht="135" customHeight="1">
      <x:c r="A134" s="26" t="n">
        <x:v>133</x:v>
      </x:c>
      <x:c r="B134" s="26" t="str">
        <x:v>873857070792</x:v>
      </x:c>
      <x:c r="C134" s="26" t="str">
        <x:v>B300K</x:v>
      </x:c>
      <x:c r="D134" s="43" t="n">
        <x:v>74.74</x:v>
      </x:c>
      <x:c r="E134" s="26" t="str">
        <x:v>反推假设：66lb、Zone4（账单Zone4）。
标准运费47.77×61%≈29.14
＋假设折后附加费25.13
＋燃油(29.14＋25.13)×25.00%≈13.57
＝预估承运成本67.84
按既有收费规则折算→预付74.62；与原预付差-0.12。</x:v>
      </x:c>
      <x:c r="F134" s="43" t="n">
        <x:v>74.62</x:v>
      </x:c>
      <x:c r="G134" s="43" t="n">
        <x:f>F134-D134</x:f>
        <x:v>-0.11999999999999034</x:v>
      </x:c>
      <x:c r="H134" s="26" t="str">
        <x:v>运输费55.23
−折扣21.54
＋Add'l Handling-Weight 25.12
＋燃油14.70
＝承运净额73.51
账单实收80.861（按既有收费规则）</x:v>
      </x:c>
      <x:c r="I134" s="43" t="n">
        <x:v>73.51</x:v>
      </x:c>
      <x:c r="J134" s="43" t="n">
        <x:v>80.861</x:v>
      </x:c>
      <x:c r="K134" s="43" t="n">
        <x:f>J134-D134</x:f>
        <x:v>6.121000000000009</x:v>
      </x:c>
      <x:c r="L134" s="26" t="str">
        <x:v>实际比预估重11.46lb，需核对称重与申报。</x:v>
      </x:c>
      <x:c r="M134" s="26" t="str">
        <x:v>账单已对账；预付试算接近（差≤0.15）</x:v>
      </x:c>
      <x:c r="N134" s="26" t="str">
        <x:v>20260709</x:v>
      </x:c>
      <x:c r="O134" s="26" t="n">
        <x:v>4</x:v>
      </x:c>
      <x:c r="P134" s="31" t="n">
        <x:v>65.03636734453889</x:v>
      </x:c>
      <x:c r="Q134" s="31" t="n">
        <x:v>76.5</x:v>
      </x:c>
      <x:c r="R134" s="26" t="n">
        <x:v>77</x:v>
      </x:c>
      <x:c r="S134" s="26" t="n">
        <x:v>166</x:v>
      </x:c>
      <x:c r="T134" s="43" t="n">
        <x:v>55.23</x:v>
      </x:c>
      <x:c r="U134" s="43" t="n">
        <x:v>-21.54</x:v>
      </x:c>
      <x:c r="V134" s="43" t="n">
        <x:v>25.12</x:v>
      </x:c>
      <x:c r="W134" s="43" t="n">
        <x:v>14.7</x:v>
      </x:c>
      <x:c r="X134" s="44" t="n">
        <x:v>0.25</x:v>
      </x:c>
      <x:c r="Y134" s="30" t="b">
        <x:v>0</x:v>
      </x:c>
      <x:c r="Z134" s="26" t="n">
        <x:v>4</x:v>
      </x:c>
      <x:c r="AA134" s="26" t="n">
        <x:v>66</x:v>
      </x:c>
      <x:c r="AB134" s="26" t="n">
        <x:v>325</x:v>
      </x:c>
      <x:c r="AC134" s="43" t="n">
        <x:v>74.62</x:v>
      </x:c>
    </x:row>
    <x:row r="135" ht="135" customHeight="1">
      <x:c r="A135" s="26" t="n">
        <x:v>134</x:v>
      </x:c>
      <x:c r="B135" s="26" t="str">
        <x:v>875025668912</x:v>
      </x:c>
      <x:c r="C135" s="26" t="str">
        <x:v>EL100V2</x:v>
      </x:c>
      <x:c r="D135" s="43" t="n">
        <x:v>32.4</x:v>
      </x:c>
      <x:c r="E135" s="26" t="str">
        <x:v>缺核对明细，无法重建预付；原预付仅按基础表保留。</x:v>
      </x:c>
      <x:c r="F135" s="43"/>
      <x:c r="G135" s="43"/>
      <x:c r="H135" s="26" t="str">
        <x:v>缺原始核对明细，无法拆分。</x:v>
      </x:c>
      <x:c r="I135" s="43"/>
      <x:c r="J135" s="43" t="n">
        <x:v>38.302</x:v>
      </x:c>
      <x:c r="K135" s="43" t="n">
        <x:f>J135-D135</x:f>
        <x:v>5.902000000000001</x:v>
      </x:c>
      <x:c r="L135" s="26" t="str">
        <x:v>核对表无唯一匹配费用明细，无法确认差距原因；需补原始FedEx账单。</x:v>
      </x:c>
      <x:c r="M135" s="26" t="str">
        <x:v>缺核对明细，原因未确认</x:v>
      </x:c>
      <x:c r="N135" s="26"/>
      <x:c r="O135" s="26"/>
      <x:c r="P135" s="31"/>
      <x:c r="Q135" s="31"/>
      <x:c r="R135" s="26"/>
      <x:c r="S135" s="26"/>
      <x:c r="T135" s="43"/>
      <x:c r="U135" s="43"/>
      <x:c r="V135" s="43"/>
      <x:c r="W135" s="43"/>
      <x:c r="X135" s="44"/>
      <x:c r="Y135" s="26"/>
      <x:c r="Z135" s="26"/>
      <x:c r="AA135" s="26"/>
      <x:c r="AB135" s="26"/>
      <x:c r="AC135" s="43"/>
    </x:row>
    <x:row r="136" ht="135" customHeight="1">
      <x:c r="A136" s="26" t="n">
        <x:v>135</x:v>
      </x:c>
      <x:c r="B136" s="26" t="str">
        <x:v>874150247998</x:v>
      </x:c>
      <x:c r="C136" s="26" t="str">
        <x:v>EL100V2</x:v>
      </x:c>
      <x:c r="D136" s="43" t="n">
        <x:v>32.22</x:v>
      </x:c>
      <x:c r="E136" s="26" t="str">
        <x:v>反推假设：25lb、Zone6（账单Zone6）。
标准运费38.41×61%≈23.43
＋假设折后附加费0.00
＋燃油(23.43＋0.00)×25.00%≈5.86
＝预估承运成本29.29
按既有收费规则折算→预付32.22；与原预付差+0.00。</x:v>
      </x:c>
      <x:c r="F136" s="43" t="n">
        <x:v>32.22</x:v>
      </x:c>
      <x:c r="G136" s="43" t="n">
        <x:f>F136-D136</x:f>
        <x:v>0</x:v>
      </x:c>
      <x:c r="H136" s="26" t="str">
        <x:v>运输费45.40
−折扣17.71
＋燃油6.92
＝承运净额34.61
账单实收38.071（按既有收费规则）</x:v>
      </x:c>
      <x:c r="I136" s="43" t="n">
        <x:v>34.61</x:v>
      </x:c>
      <x:c r="J136" s="43" t="n">
        <x:v>38.071</x:v>
      </x:c>
      <x:c r="K136" s="43" t="n">
        <x:f>J136-D136</x:f>
        <x:v>5.850999999999999</x:v>
      </x:c>
      <x:c r="L136" s="26" t="str">
        <x:v>未发现单一共同原因，需核验报价费率、原尺寸及原发票。</x:v>
      </x:c>
      <x:c r="M136" s="26" t="str">
        <x:v>账单已对账；预付试算接近（差≤0.15）</x:v>
      </x:c>
      <x:c r="N136" s="26" t="str">
        <x:v>20260709</x:v>
      </x:c>
      <x:c r="O136" s="26" t="n">
        <x:v>6</x:v>
      </x:c>
      <x:c r="P136" s="31" t="n">
        <x:v>25.000420531765116</x:v>
      </x:c>
      <x:c r="Q136" s="31" t="n">
        <x:v>29.6</x:v>
      </x:c>
      <x:c r="R136" s="26" t="n">
        <x:v>30</x:v>
      </x:c>
      <x:c r="S136" s="26" t="n">
        <x:v>166</x:v>
      </x:c>
      <x:c r="T136" s="43" t="n">
        <x:v>45.4</x:v>
      </x:c>
      <x:c r="U136" s="43" t="n">
        <x:v>-17.71</x:v>
      </x:c>
      <x:c r="V136" s="43" t="n">
        <x:v>0</x:v>
      </x:c>
      <x:c r="W136" s="43" t="n">
        <x:v>6.92</x:v>
      </x:c>
      <x:c r="X136" s="44" t="n">
        <x:v>0.25</x:v>
      </x:c>
      <x:c r="Y136" s="30" t="b">
        <x:v>0</x:v>
      </x:c>
      <x:c r="Z136" s="26" t="n">
        <x:v>6</x:v>
      </x:c>
      <x:c r="AA136" s="26" t="n">
        <x:v>25</x:v>
      </x:c>
      <x:c r="AB136" s="26" t="n">
        <x:v>361</x:v>
      </x:c>
      <x:c r="AC136" s="43" t="n">
        <x:v>32.22</x:v>
      </x:c>
    </x:row>
    <x:row r="137" ht="135" customHeight="1">
      <x:c r="A137" s="26" t="n">
        <x:v>136</x:v>
      </x:c>
      <x:c r="B137" s="26" t="str">
        <x:v>873968966408</x:v>
      </x:c>
      <x:c r="C137" s="26" t="str">
        <x:v>EL100V2</x:v>
      </x:c>
      <x:c r="D137" s="43" t="n">
        <x:v>32.22</x:v>
      </x:c>
      <x:c r="E137" s="26" t="str">
        <x:v>反推假设：25lb、Zone6（账单Zone6）。
标准运费38.41×61%≈23.43
＋假设折后附加费0.00
＋燃油(23.43＋0.00)×25.00%≈5.86
＝预估承运成本29.29
按既有收费规则折算→预付32.22；与原预付差+0.00。</x:v>
      </x:c>
      <x:c r="F137" s="43" t="n">
        <x:v>32.22</x:v>
      </x:c>
      <x:c r="G137" s="43" t="n">
        <x:f>F137-D137</x:f>
        <x:v>0</x:v>
      </x:c>
      <x:c r="H137" s="26" t="str">
        <x:v>运输费45.40
−折扣17.71
＋燃油6.92
＝承运净额34.61
账单实收38.071（按既有收费规则）</x:v>
      </x:c>
      <x:c r="I137" s="43" t="n">
        <x:v>34.61</x:v>
      </x:c>
      <x:c r="J137" s="43" t="n">
        <x:v>38.071</x:v>
      </x:c>
      <x:c r="K137" s="43" t="n">
        <x:f>J137-D137</x:f>
        <x:v>5.850999999999999</x:v>
      </x:c>
      <x:c r="L137" s="26" t="str">
        <x:v>未发现单一共同原因，需核验报价费率、原尺寸及原发票。</x:v>
      </x:c>
      <x:c r="M137" s="26" t="str">
        <x:v>账单已对账；预付试算接近（差≤0.15）</x:v>
      </x:c>
      <x:c r="N137" s="26" t="str">
        <x:v>20260715</x:v>
      </x:c>
      <x:c r="O137" s="26" t="n">
        <x:v>6</x:v>
      </x:c>
      <x:c r="P137" s="31" t="n">
        <x:v>25.000420531765116</x:v>
      </x:c>
      <x:c r="Q137" s="31" t="n">
        <x:v>29.3</x:v>
      </x:c>
      <x:c r="R137" s="26" t="n">
        <x:v>30</x:v>
      </x:c>
      <x:c r="S137" s="26" t="n">
        <x:v>166</x:v>
      </x:c>
      <x:c r="T137" s="43" t="n">
        <x:v>45.4</x:v>
      </x:c>
      <x:c r="U137" s="43" t="n">
        <x:v>-17.71</x:v>
      </x:c>
      <x:c r="V137" s="43" t="n">
        <x:v>0</x:v>
      </x:c>
      <x:c r="W137" s="43" t="n">
        <x:v>6.92</x:v>
      </x:c>
      <x:c r="X137" s="44" t="n">
        <x:v>0.25</x:v>
      </x:c>
      <x:c r="Y137" s="30" t="b">
        <x:v>0</x:v>
      </x:c>
      <x:c r="Z137" s="26" t="n">
        <x:v>6</x:v>
      </x:c>
      <x:c r="AA137" s="26" t="n">
        <x:v>25</x:v>
      </x:c>
      <x:c r="AB137" s="26" t="n">
        <x:v>434</x:v>
      </x:c>
      <x:c r="AC137" s="43" t="n">
        <x:v>32.22</x:v>
      </x:c>
    </x:row>
    <x:row r="138" ht="135" customHeight="1">
      <x:c r="A138" s="26" t="n">
        <x:v>137</x:v>
      </x:c>
      <x:c r="B138" s="26" t="str">
        <x:v>873423033354</x:v>
      </x:c>
      <x:c r="C138" s="26"/>
      <x:c r="D138" s="43" t="n">
        <x:v>24.48</x:v>
      </x:c>
      <x:c r="E138" s="26" t="str">
        <x:v>反推假设：23lb、Zone5（账单Zone5）。
标准运费29.09×61%≈17.74
＋假设折后附加费0.00
＋燃油(17.74＋0.00)×25.00%≈4.44
＝预估承运成本22.18
按既有收费规则折算→预付24.40；与原预付差-0.08。</x:v>
      </x:c>
      <x:c r="F138" s="43" t="n">
        <x:v>24.4</x:v>
      </x:c>
      <x:c r="G138" s="43" t="n">
        <x:f>F138-D138</x:f>
        <x:v>-0.08000000000000185</x:v>
      </x:c>
      <x:c r="H138" s="26" t="str">
        <x:v>运输费36.03
−折扣14.05
＋燃油5.50
＝承运净额27.48
账单实收30.228（按既有收费规则）</x:v>
      </x:c>
      <x:c r="I138" s="43" t="n">
        <x:v>27.48</x:v>
      </x:c>
      <x:c r="J138" s="43" t="n">
        <x:v>30.228</x:v>
      </x:c>
      <x:c r="K138" s="43" t="n">
        <x:f>J138-D138</x:f>
        <x:v>5.748000000000001</x:v>
      </x:c>
      <x:c r="L138" s="26" t="str">
        <x:v>实际比预估重6.61lb，需核对称重与申报。</x:v>
      </x:c>
      <x:c r="M138" s="26" t="str">
        <x:v>账单已对账；预付试算接近（差≤0.15）</x:v>
      </x:c>
      <x:c r="N138" s="26" t="str">
        <x:v>20260709</x:v>
      </x:c>
      <x:c r="O138" s="26" t="n">
        <x:v>5</x:v>
      </x:c>
      <x:c r="P138" s="31" t="n">
        <x:v>22.99421394588273</x:v>
      </x:c>
      <x:c r="Q138" s="31" t="n">
        <x:v>29.6</x:v>
      </x:c>
      <x:c r="R138" s="26" t="n">
        <x:v>30</x:v>
      </x:c>
      <x:c r="S138" s="26" t="n">
        <x:v>166</x:v>
      </x:c>
      <x:c r="T138" s="43" t="n">
        <x:v>36.03</x:v>
      </x:c>
      <x:c r="U138" s="43" t="n">
        <x:v>-14.05</x:v>
      </x:c>
      <x:c r="V138" s="43" t="n">
        <x:v>0</x:v>
      </x:c>
      <x:c r="W138" s="43" t="n">
        <x:v>5.5</x:v>
      </x:c>
      <x:c r="X138" s="44" t="n">
        <x:v>0.25</x:v>
      </x:c>
      <x:c r="Y138" s="30" t="b">
        <x:v>0</x:v>
      </x:c>
      <x:c r="Z138" s="26" t="n">
        <x:v>5</x:v>
      </x:c>
      <x:c r="AA138" s="26" t="n">
        <x:v>23</x:v>
      </x:c>
      <x:c r="AB138" s="26" t="n">
        <x:v>313</x:v>
      </x:c>
      <x:c r="AC138" s="43" t="n">
        <x:v>24.4</x:v>
      </x:c>
    </x:row>
    <x:row r="139" ht="135" customHeight="1">
      <x:c r="A139" s="26" t="n">
        <x:v>138</x:v>
      </x:c>
      <x:c r="B139" s="26" t="str">
        <x:v>874710843270</x:v>
      </x:c>
      <x:c r="C139" s="26" t="str">
        <x:v>AC180</x:v>
      </x:c>
      <x:c r="D139" s="43" t="n">
        <x:v>30.19</x:v>
      </x:c>
      <x:c r="E139" s="26" t="str">
        <x:v>缺核对明细，无法重建预付；原预付仅按基础表保留。</x:v>
      </x:c>
      <x:c r="F139" s="43"/>
      <x:c r="G139" s="43"/>
      <x:c r="H139" s="26" t="str">
        <x:v>缺原始核对明细，无法拆分。</x:v>
      </x:c>
      <x:c r="I139" s="43"/>
      <x:c r="J139" s="43" t="n">
        <x:v>35.838</x:v>
      </x:c>
      <x:c r="K139" s="43" t="n">
        <x:f>J139-D139</x:f>
        <x:v>5.648</x:v>
      </x:c>
      <x:c r="L139" s="26" t="str">
        <x:v>核对表无唯一匹配费用明细，无法确认差距原因；需补原始FedEx账单。</x:v>
      </x:c>
      <x:c r="M139" s="26" t="str">
        <x:v>缺核对明细，原因未确认</x:v>
      </x:c>
      <x:c r="N139" s="26"/>
      <x:c r="O139" s="26"/>
      <x:c r="P139" s="31"/>
      <x:c r="Q139" s="31"/>
      <x:c r="R139" s="26"/>
      <x:c r="S139" s="26"/>
      <x:c r="T139" s="43"/>
      <x:c r="U139" s="43"/>
      <x:c r="V139" s="43"/>
      <x:c r="W139" s="43"/>
      <x:c r="X139" s="44"/>
      <x:c r="Y139" s="26"/>
      <x:c r="Z139" s="26"/>
      <x:c r="AA139" s="26"/>
      <x:c r="AB139" s="26"/>
      <x:c r="AC139" s="43"/>
    </x:row>
    <x:row r="140" ht="135" customHeight="1">
      <x:c r="A140" s="26" t="n">
        <x:v>139</x:v>
      </x:c>
      <x:c r="B140" s="26" t="str">
        <x:v>874766473687</x:v>
      </x:c>
      <x:c r="C140" s="26" t="str">
        <x:v>AC70</x:v>
      </x:c>
      <x:c r="D140" s="43" t="n">
        <x:v>23.66</x:v>
      </x:c>
      <x:c r="E140" s="26" t="str">
        <x:v>缺核对明细，无法重建预付；原预付仅按基础表保留。</x:v>
      </x:c>
      <x:c r="F140" s="43"/>
      <x:c r="G140" s="43"/>
      <x:c r="H140" s="26" t="str">
        <x:v>缺原始核对明细，无法拆分。</x:v>
      </x:c>
      <x:c r="I140" s="43"/>
      <x:c r="J140" s="43" t="n">
        <x:v>29.238</x:v>
      </x:c>
      <x:c r="K140" s="43" t="n">
        <x:f>J140-D140</x:f>
        <x:v>5.577999999999999</x:v>
      </x:c>
      <x:c r="L140" s="26" t="str">
        <x:v>核对表无唯一匹配费用明细，无法确认差距原因；需补原始FedEx账单。</x:v>
      </x:c>
      <x:c r="M140" s="26" t="str">
        <x:v>缺核对明细，原因未确认</x:v>
      </x:c>
      <x:c r="N140" s="26"/>
      <x:c r="O140" s="26"/>
      <x:c r="P140" s="31"/>
      <x:c r="Q140" s="31"/>
      <x:c r="R140" s="26"/>
      <x:c r="S140" s="26"/>
      <x:c r="T140" s="43"/>
      <x:c r="U140" s="43"/>
      <x:c r="V140" s="43"/>
      <x:c r="W140" s="43"/>
      <x:c r="X140" s="44"/>
      <x:c r="Y140" s="26"/>
      <x:c r="Z140" s="26"/>
      <x:c r="AA140" s="26"/>
      <x:c r="AB140" s="26"/>
      <x:c r="AC140" s="43"/>
    </x:row>
    <x:row r="141" ht="135" customHeight="1">
      <x:c r="A141" s="26" t="n">
        <x:v>140</x:v>
      </x:c>
      <x:c r="B141" s="26" t="str">
        <x:v>873425039388</x:v>
      </x:c>
      <x:c r="C141" s="26" t="str">
        <x:v>EL100V2</x:v>
      </x:c>
      <x:c r="D141" s="43" t="n">
        <x:v>39.16</x:v>
      </x:c>
      <x:c r="E141" s="26" t="str">
        <x:v>反推假设：25lb、Zone7（账单Zone7）。
标准运费46.51×61%≈28.37
＋假设折后附加费0.00
＋燃油(28.37＋0.00)×25.50%≈7.23
＝预估承运成本35.60
按既有收费规则折算→预付39.16；与原预付差+0.00。</x:v>
      </x:c>
      <x:c r="F141" s="43" t="n">
        <x:v>39.16</x:v>
      </x:c>
      <x:c r="G141" s="43" t="n">
        <x:f>F141-D141</x:f>
        <x:v>0</x:v>
      </x:c>
      <x:c r="H141" s="26" t="str">
        <x:v>运输费52.96
−折扣20.65
＋燃油8.24
＝承运净额40.55
账单实收44.605（按既有收费规则）</x:v>
      </x:c>
      <x:c r="I141" s="43" t="n">
        <x:v>40.55</x:v>
      </x:c>
      <x:c r="J141" s="43" t="n">
        <x:v>44.605</x:v>
      </x:c>
      <x:c r="K141" s="43" t="n">
        <x:f>J141-D141</x:f>
        <x:v>5.445</x:v>
      </x:c>
      <x:c r="L141" s="26" t="str">
        <x:v>未发现单一共同原因，需核验报价费率、原尺寸及原发票。</x:v>
      </x:c>
      <x:c r="M141" s="26" t="str">
        <x:v>账单已对账；预付试算接近（差≤0.15）</x:v>
      </x:c>
      <x:c r="N141" s="26" t="str">
        <x:v>20260623</x:v>
      </x:c>
      <x:c r="O141" s="26" t="n">
        <x:v>7</x:v>
      </x:c>
      <x:c r="P141" s="31" t="n">
        <x:v>25.000420531765116</x:v>
      </x:c>
      <x:c r="Q141" s="31" t="n">
        <x:v>29.4</x:v>
      </x:c>
      <x:c r="R141" s="26" t="n">
        <x:v>30</x:v>
      </x:c>
      <x:c r="S141" s="26" t="n">
        <x:v>166</x:v>
      </x:c>
      <x:c r="T141" s="43" t="n">
        <x:v>52.96</x:v>
      </x:c>
      <x:c r="U141" s="43" t="n">
        <x:v>-20.65</x:v>
      </x:c>
      <x:c r="V141" s="43" t="n">
        <x:v>0</x:v>
      </x:c>
      <x:c r="W141" s="43" t="n">
        <x:v>8.24</x:v>
      </x:c>
      <x:c r="X141" s="44" t="n">
        <x:v>0.255</x:v>
      </x:c>
      <x:c r="Y141" s="30" t="b">
        <x:v>0</x:v>
      </x:c>
      <x:c r="Z141" s="26" t="n">
        <x:v>7</x:v>
      </x:c>
      <x:c r="AA141" s="26" t="n">
        <x:v>25</x:v>
      </x:c>
      <x:c r="AB141" s="26" t="n">
        <x:v>130</x:v>
      </x:c>
      <x:c r="AC141" s="43" t="n">
        <x:v>39.16</x:v>
      </x:c>
    </x:row>
    <x:row r="142" ht="135" customHeight="1">
      <x:c r="A142" s="26" t="n">
        <x:v>141</x:v>
      </x:c>
      <x:c r="B142" s="26" t="str">
        <x:v>874399921537</x:v>
      </x:c>
      <x:c r="C142" s="26" t="str">
        <x:v>EL100V2</x:v>
      </x:c>
      <x:c r="D142" s="43" t="n">
        <x:v>33.39</x:v>
      </x:c>
      <x:c r="E142" s="26" t="str">
        <x:v>反推假设：26lb、Zone6（账单Zone6）。
标准运费39.81×61%≈24.28
＋假设折后附加费0.00
＋燃油(24.28＋0.00)×25.00%≈6.07
＝预估承运成本30.35
按既有收费规则折算→预付33.39；与原预付差+0.00。</x:v>
      </x:c>
      <x:c r="F142" s="43" t="n">
        <x:v>33.39</x:v>
      </x:c>
      <x:c r="G142" s="43" t="n">
        <x:f>F142-D142</x:f>
        <x:v>0</x:v>
      </x:c>
      <x:c r="H142" s="26" t="str">
        <x:v>运输费46.28
−折扣18.05
＋燃油7.06
＝承运净额35.29
账单实收38.819（按既有收费规则）</x:v>
      </x:c>
      <x:c r="I142" s="43" t="n">
        <x:v>35.29</x:v>
      </x:c>
      <x:c r="J142" s="43" t="n">
        <x:v>38.819</x:v>
      </x:c>
      <x:c r="K142" s="43" t="n">
        <x:f>J142-D142</x:f>
        <x:v>5.429000000000002</x:v>
      </x:c>
      <x:c r="L142" s="26" t="str">
        <x:v>未发现单一共同原因，需核验报价费率、原尺寸及原发票。</x:v>
      </x:c>
      <x:c r="M142" s="26" t="str">
        <x:v>账单已对账；预付试算接近（差≤0.15）</x:v>
      </x:c>
      <x:c r="N142" s="26" t="str">
        <x:v>20260715</x:v>
      </x:c>
      <x:c r="O142" s="26" t="n">
        <x:v>6</x:v>
      </x:c>
      <x:c r="P142" s="31" t="n">
        <x:v>25.992500711597064</x:v>
      </x:c>
      <x:c r="Q142" s="31" t="n">
        <x:v>30.1</x:v>
      </x:c>
      <x:c r="R142" s="26" t="n">
        <x:v>31</x:v>
      </x:c>
      <x:c r="S142" s="26" t="n">
        <x:v>166</x:v>
      </x:c>
      <x:c r="T142" s="43" t="n">
        <x:v>46.28</x:v>
      </x:c>
      <x:c r="U142" s="43" t="n">
        <x:v>-18.05</x:v>
      </x:c>
      <x:c r="V142" s="43" t="n">
        <x:v>0</x:v>
      </x:c>
      <x:c r="W142" s="43" t="n">
        <x:v>7.06</x:v>
      </x:c>
      <x:c r="X142" s="44" t="n">
        <x:v>0.25</x:v>
      </x:c>
      <x:c r="Y142" s="30" t="b">
        <x:v>0</x:v>
      </x:c>
      <x:c r="Z142" s="26" t="n">
        <x:v>6</x:v>
      </x:c>
      <x:c r="AA142" s="26" t="n">
        <x:v>26</x:v>
      </x:c>
      <x:c r="AB142" s="26" t="n">
        <x:v>445</x:v>
      </x:c>
      <x:c r="AC142" s="43" t="n">
        <x:v>33.39</x:v>
      </x:c>
    </x:row>
    <x:row r="143" ht="135" customHeight="1">
      <x:c r="A143" s="26" t="n">
        <x:v>142</x:v>
      </x:c>
      <x:c r="B143" s="26" t="str">
        <x:v>873856906303</x:v>
      </x:c>
      <x:c r="C143" s="26" t="str">
        <x:v>EL100V2</x:v>
      </x:c>
      <x:c r="D143" s="43" t="n">
        <x:v>39.09</x:v>
      </x:c>
      <x:c r="E143" s="26" t="str">
        <x:v>反推假设：25lb、Zone7（账单Zone7）。
标准运费46.51×61%≈28.37
＋假设折后附加费0.00
＋燃油(28.37＋0.00)×25.25%≈7.16
＝预估承运成本35.53
按既有收费规则折算→预付39.08；与原预付差-0.01。</x:v>
      </x:c>
      <x:c r="F143" s="43" t="n">
        <x:v>39.08</x:v>
      </x:c>
      <x:c r="G143" s="43" t="n">
        <x:f>F143-D143</x:f>
        <x:v>-0.010000000000005116</x:v>
      </x:c>
      <x:c r="H143" s="26" t="str">
        <x:v>运输费52.96
−折扣20.65
＋燃油8.16
＝承运净额40.47
账单实收44.517（按既有收费规则）</x:v>
      </x:c>
      <x:c r="I143" s="43" t="n">
        <x:v>40.47</x:v>
      </x:c>
      <x:c r="J143" s="43" t="n">
        <x:v>44.517</x:v>
      </x:c>
      <x:c r="K143" s="43" t="n">
        <x:f>J143-D143</x:f>
        <x:v>5.427</x:v>
      </x:c>
      <x:c r="L143" s="26" t="str">
        <x:v>未发现单一共同原因，需核验报价费率、原尺寸及原发票。</x:v>
      </x:c>
      <x:c r="M143" s="26" t="str">
        <x:v>账单已对账；预付试算接近（差≤0.15）</x:v>
      </x:c>
      <x:c r="N143" s="26" t="str">
        <x:v>20260703</x:v>
      </x:c>
      <x:c r="O143" s="26" t="n">
        <x:v>7</x:v>
      </x:c>
      <x:c r="P143" s="31" t="n">
        <x:v>25.000420531765116</x:v>
      </x:c>
      <x:c r="Q143" s="31" t="n">
        <x:v>29.7</x:v>
      </x:c>
      <x:c r="R143" s="26" t="n">
        <x:v>30</x:v>
      </x:c>
      <x:c r="S143" s="26" t="n">
        <x:v>166</x:v>
      </x:c>
      <x:c r="T143" s="43" t="n">
        <x:v>52.96</x:v>
      </x:c>
      <x:c r="U143" s="43" t="n">
        <x:v>-20.65</x:v>
      </x:c>
      <x:c r="V143" s="43" t="n">
        <x:v>0</x:v>
      </x:c>
      <x:c r="W143" s="43" t="n">
        <x:v>8.16</x:v>
      </x:c>
      <x:c r="X143" s="44" t="n">
        <x:v>0.2525</x:v>
      </x:c>
      <x:c r="Y143" s="30" t="b">
        <x:v>0</x:v>
      </x:c>
      <x:c r="Z143" s="26" t="n">
        <x:v>7</x:v>
      </x:c>
      <x:c r="AA143" s="26" t="n">
        <x:v>25</x:v>
      </x:c>
      <x:c r="AB143" s="26" t="n">
        <x:v>255</x:v>
      </x:c>
      <x:c r="AC143" s="43" t="n">
        <x:v>39.08</x:v>
      </x:c>
    </x:row>
    <x:row r="144" ht="135" customHeight="1">
      <x:c r="A144" s="26" t="n">
        <x:v>143</x:v>
      </x:c>
      <x:c r="B144" s="26" t="str">
        <x:v>873915271930</x:v>
      </x:c>
      <x:c r="C144" s="26" t="str">
        <x:v>AC70</x:v>
      </x:c>
      <x:c r="D144" s="43" t="n">
        <x:v>23.66</x:v>
      </x:c>
      <x:c r="E144" s="26" t="str">
        <x:v>反推假设：18lb、Zone6（账单Zone5）。
标准运费30.05×61%≈18.33
＋假设折后附加费0.00
＋燃油(18.33＋0.00)×25.00%≈4.58
＝预估承运成本22.91
按既有收费规则折算→预付25.20；与原预付差+1.54。</x:v>
      </x:c>
      <x:c r="F144" s="43" t="n">
        <x:v>25.2</x:v>
      </x:c>
      <x:c r="G144" s="43" t="n">
        <x:f>F144-D144</x:f>
        <x:v>1.5399999999999991</x:v>
      </x:c>
      <x:c r="H144" s="26" t="str">
        <x:v>运输费34.65
−折扣13.51
＋燃油5.29
＝承运净额26.43
账单实收29.073（按既有收费规则）</x:v>
      </x:c>
      <x:c r="I144" s="43" t="n">
        <x:v>26.43</x:v>
      </x:c>
      <x:c r="J144" s="43" t="n">
        <x:v>29.073</x:v>
      </x:c>
      <x:c r="K144" s="43" t="n">
        <x:f>J144-D144</x:f>
        <x:v>5.413</x:v>
      </x:c>
      <x:c r="L144" s="26" t="str">
        <x:v>实际比预估重9.21lb，需核对称重与申报。
预付反推Zone6，最终Zone5；不代表分区错误，需查原邮编与合同。
试算偏差较大：缺原始报价/折扣/尺寸，不能强行归因。</x:v>
      </x:c>
      <x:c r="M144" s="26" t="str">
        <x:v>账单已对账；现有假设未还原预付</x:v>
      </x:c>
      <x:c r="N144" s="26" t="str">
        <x:v>20260708</x:v>
      </x:c>
      <x:c r="O144" s="26" t="n">
        <x:v>5</x:v>
      </x:c>
      <x:c r="P144" s="31" t="n">
        <x:v>17.98972059428601</x:v>
      </x:c>
      <x:c r="Q144" s="31" t="n">
        <x:v>27.2</x:v>
      </x:c>
      <x:c r="R144" s="26" t="n">
        <x:v>28</x:v>
      </x:c>
      <x:c r="S144" s="26" t="n">
        <x:v>166</x:v>
      </x:c>
      <x:c r="T144" s="43" t="n">
        <x:v>34.65</x:v>
      </x:c>
      <x:c r="U144" s="43" t="n">
        <x:v>-13.51</x:v>
      </x:c>
      <x:c r="V144" s="43" t="n">
        <x:v>0</x:v>
      </x:c>
      <x:c r="W144" s="43" t="n">
        <x:v>5.29</x:v>
      </x:c>
      <x:c r="X144" s="44" t="n">
        <x:v>0.25</x:v>
      </x:c>
      <x:c r="Y144" s="30" t="b">
        <x:v>0</x:v>
      </x:c>
      <x:c r="Z144" s="26" t="n">
        <x:v>6</x:v>
      </x:c>
      <x:c r="AA144" s="26" t="n">
        <x:v>18</x:v>
      </x:c>
      <x:c r="AB144" s="26" t="n">
        <x:v>328</x:v>
      </x:c>
      <x:c r="AC144" s="43" t="n">
        <x:v>21.16</x:v>
      </x:c>
    </x:row>
    <x:row r="145" ht="135" customHeight="1">
      <x:c r="A145" s="26" t="n">
        <x:v>144</x:v>
      </x:c>
      <x:c r="B145" s="26" t="str">
        <x:v>873109425609</x:v>
      </x:c>
      <x:c r="C145" s="26"/>
      <x:c r="D145" s="43" t="n">
        <x:v>39.03</x:v>
      </x:c>
      <x:c r="E145" s="26" t="str">
        <x:v>反推假设：7lb、Zone8（账单Zone8）。
标准运费22.51×61%≈13.73
＋假设折后附加费0.00
＋燃油(13.73＋0.00)×26.00%≈3.57
＝预估承运成本17.30
按既有收费规则折算→预付19.03；与原预付差-20.00。</x:v>
      </x:c>
      <x:c r="F145" s="43" t="n">
        <x:v>19.03</x:v>
      </x:c>
      <x:c r="G145" s="43" t="n">
        <x:f>F145-D145</x:f>
        <x:v>-20</x:v>
      </x:c>
      <x:c r="H145" s="26" t="str">
        <x:v>运输费31.27
−折扣8.44
＋Residential Delivery 3.22
＋DAS Residential 3.30
＋燃油7.63
＝承运净额36.98
账单实收44.376（按既有收费规则）</x:v>
      </x:c>
      <x:c r="I145" s="43" t="n">
        <x:v>36.98</x:v>
      </x:c>
      <x:c r="J145" s="43" t="n">
        <x:v>44.376</x:v>
      </x:c>
      <x:c r="K145" s="43" t="n">
        <x:f>J145-D145</x:f>
        <x:v>5.3459999999999965</x:v>
      </x:c>
      <x:c r="L145" s="26" t="str">
        <x:v>核对明细列有住宅派送费3.22美元；是否在预付中漏估须原始报价确认。
核对明细列有派送区域/偏远费3.30美元；是否在预付中漏估尚未确认。
实际比预估重5.61lb，需核对称重与申报。
试算偏差较大：缺原始报价/折扣/尺寸，不能强行归因。</x:v>
      </x:c>
      <x:c r="M145" s="26" t="str">
        <x:v>账单已对账；现有假设未还原预付</x:v>
      </x:c>
      <x:c r="N145" s="26" t="str">
        <x:v>20260616</x:v>
      </x:c>
      <x:c r="O145" s="26" t="n">
        <x:v>8</x:v>
      </x:c>
      <x:c r="P145" s="31" t="n">
        <x:v>6.988653711260619</x:v>
      </x:c>
      <x:c r="Q145" s="31" t="n">
        <x:v>12.6</x:v>
      </x:c>
      <x:c r="R145" s="26" t="n">
        <x:v>13</x:v>
      </x:c>
      <x:c r="S145" s="26" t="n">
        <x:v>166</x:v>
      </x:c>
      <x:c r="T145" s="43" t="n">
        <x:v>31.27</x:v>
      </x:c>
      <x:c r="U145" s="43" t="n">
        <x:v>-8.44</x:v>
      </x:c>
      <x:c r="V145" s="43" t="n">
        <x:v>6.52</x:v>
      </x:c>
      <x:c r="W145" s="43" t="n">
        <x:v>7.63</x:v>
      </x:c>
      <x:c r="X145" s="44" t="n">
        <x:v>0.26</x:v>
      </x:c>
      <x:c r="Y145" s="30" t="b">
        <x:v>0</x:v>
      </x:c>
      <x:c r="Z145" s="26" t="n">
        <x:v>8</x:v>
      </x:c>
      <x:c r="AA145" s="26" t="n">
        <x:v>7</x:v>
      </x:c>
      <x:c r="AB145" s="26" t="n">
        <x:v>89</x:v>
      </x:c>
      <x:c r="AC145" s="43" t="n">
        <x:v>19.03</x:v>
      </x:c>
    </x:row>
    <x:row r="146" ht="135" customHeight="1">
      <x:c r="A146" s="26" t="n">
        <x:v>145</x:v>
      </x:c>
      <x:c r="B146" s="26" t="str">
        <x:v>873109427428</x:v>
      </x:c>
      <x:c r="C146" s="26"/>
      <x:c r="D146" s="43" t="n">
        <x:v>39.03</x:v>
      </x:c>
      <x:c r="E146" s="26" t="str">
        <x:v>反推假设：7lb、Zone8（账单Zone8）。
标准运费22.51×61%≈13.73
＋假设折后附加费0.00
＋燃油(13.73＋0.00)×26.00%≈3.57
＝预估承运成本17.30
按既有收费规则折算→预付19.03；与原预付差-20.00。</x:v>
      </x:c>
      <x:c r="F146" s="43" t="n">
        <x:v>19.03</x:v>
      </x:c>
      <x:c r="G146" s="43" t="n">
        <x:f>F146-D146</x:f>
        <x:v>-20</x:v>
      </x:c>
      <x:c r="H146" s="26" t="str">
        <x:v>运输费31.27
−折扣8.44
＋Residential Delivery 3.22
＋DAS Residential 3.30
＋燃油7.63
＝承运净额36.98
账单实收44.376（按既有收费规则）</x:v>
      </x:c>
      <x:c r="I146" s="43" t="n">
        <x:v>36.98</x:v>
      </x:c>
      <x:c r="J146" s="43" t="n">
        <x:v>44.376</x:v>
      </x:c>
      <x:c r="K146" s="43" t="n">
        <x:f>J146-D146</x:f>
        <x:v>5.3459999999999965</x:v>
      </x:c>
      <x:c r="L146" s="26" t="str">
        <x:v>核对明细列有住宅派送费3.22美元；是否在预付中漏估须原始报价确认。
核对明细列有派送区域/偏远费3.30美元；是否在预付中漏估尚未确认。
实际比预估重5.61lb，需核对称重与申报。
试算偏差较大：缺原始报价/折扣/尺寸，不能强行归因。</x:v>
      </x:c>
      <x:c r="M146" s="26" t="str">
        <x:v>账单已对账；现有假设未还原预付</x:v>
      </x:c>
      <x:c r="N146" s="26" t="str">
        <x:v>20260616</x:v>
      </x:c>
      <x:c r="O146" s="26" t="n">
        <x:v>8</x:v>
      </x:c>
      <x:c r="P146" s="31" t="n">
        <x:v>6.988653711260619</x:v>
      </x:c>
      <x:c r="Q146" s="31" t="n">
        <x:v>12.6</x:v>
      </x:c>
      <x:c r="R146" s="26" t="n">
        <x:v>13</x:v>
      </x:c>
      <x:c r="S146" s="26" t="n">
        <x:v>166</x:v>
      </x:c>
      <x:c r="T146" s="43" t="n">
        <x:v>31.27</x:v>
      </x:c>
      <x:c r="U146" s="43" t="n">
        <x:v>-8.44</x:v>
      </x:c>
      <x:c r="V146" s="43" t="n">
        <x:v>6.52</x:v>
      </x:c>
      <x:c r="W146" s="43" t="n">
        <x:v>7.63</x:v>
      </x:c>
      <x:c r="X146" s="44" t="n">
        <x:v>0.26</x:v>
      </x:c>
      <x:c r="Y146" s="30" t="b">
        <x:v>0</x:v>
      </x:c>
      <x:c r="Z146" s="26" t="n">
        <x:v>8</x:v>
      </x:c>
      <x:c r="AA146" s="26" t="n">
        <x:v>7</x:v>
      </x:c>
      <x:c r="AB146" s="26" t="n">
        <x:v>94</x:v>
      </x:c>
      <x:c r="AC146" s="43" t="n">
        <x:v>19.03</x:v>
      </x:c>
    </x:row>
    <x:row r="147" ht="135" customHeight="1">
      <x:c r="A147" s="26" t="n">
        <x:v>146</x:v>
      </x:c>
      <x:c r="B147" s="26" t="str">
        <x:v>873109426101</x:v>
      </x:c>
      <x:c r="C147" s="26"/>
      <x:c r="D147" s="43" t="n">
        <x:v>40.7</x:v>
      </x:c>
      <x:c r="E147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F147" s="43" t="n">
        <x:v>19.03</x:v>
      </x:c>
      <x:c r="G147" s="43" t="n">
        <x:f>F147-D147</x:f>
        <x:v>-21.67</x:v>
      </x:c>
      <x:c r="H147" s="26" t="str">
        <x:v>运输费31.27
−折扣8.44
＋Residential Delivery 3.22
＋DAS Extended Residential 4.40
＋燃油7.92
＝承运净额38.37
账单实收46.044（按既有收费规则）</x:v>
      </x:c>
      <x:c r="I147" s="43" t="n">
        <x:v>38.37</x:v>
      </x:c>
      <x:c r="J147" s="43" t="n">
        <x:v>46.044</x:v>
      </x:c>
      <x:c r="K147" s="43" t="n">
        <x:f>J147-D147</x:f>
        <x:v>5.343999999999994</x:v>
      </x:c>
      <x:c r="L147" s="26" t="str">
        <x:v>核对明细列有住宅派送费3.22美元；是否在预付中漏估须原始报价确认。
核对明细列有派送区域/偏远费4.40美元；是否在预付中漏估尚未确认。
实际比预估重5.61lb，需核对称重与申报。
试算偏差较大：缺原始报价/折扣/尺寸，不能强行归因。</x:v>
      </x:c>
      <x:c r="M147" s="26" t="str">
        <x:v>账单已对账；现有假设未还原预付</x:v>
      </x:c>
      <x:c r="N147" s="26" t="str">
        <x:v>20260616</x:v>
      </x:c>
      <x:c r="O147" s="26" t="n">
        <x:v>8</x:v>
      </x:c>
      <x:c r="P147" s="31" t="n">
        <x:v>6.988653711260619</x:v>
      </x:c>
      <x:c r="Q147" s="31" t="n">
        <x:v>12.6</x:v>
      </x:c>
      <x:c r="R147" s="26" t="n">
        <x:v>13</x:v>
      </x:c>
      <x:c r="S147" s="26" t="n">
        <x:v>166</x:v>
      </x:c>
      <x:c r="T147" s="43" t="n">
        <x:v>31.27</x:v>
      </x:c>
      <x:c r="U147" s="43" t="n">
        <x:v>-8.44</x:v>
      </x:c>
      <x:c r="V147" s="43" t="n">
        <x:v>7.620000000000001</x:v>
      </x:c>
      <x:c r="W147" s="43" t="n">
        <x:v>7.92</x:v>
      </x:c>
      <x:c r="X147" s="44" t="n">
        <x:v>0.26</x:v>
      </x:c>
      <x:c r="Y147" s="30" t="b">
        <x:v>0</x:v>
      </x:c>
      <x:c r="Z147" s="26" t="n">
        <x:v>8</x:v>
      </x:c>
      <x:c r="AA147" s="26" t="n">
        <x:v>7</x:v>
      </x:c>
      <x:c r="AB147" s="26" t="n">
        <x:v>91</x:v>
      </x:c>
      <x:c r="AC147" s="43" t="n">
        <x:v>19.03</x:v>
      </x:c>
    </x:row>
    <x:row r="148" ht="135" customHeight="1">
      <x:c r="A148" s="26" t="n">
        <x:v>147</x:v>
      </x:c>
      <x:c r="B148" s="26" t="str">
        <x:v>873109426156</x:v>
      </x:c>
      <x:c r="C148" s="26"/>
      <x:c r="D148" s="43" t="n">
        <x:v>40.7</x:v>
      </x:c>
      <x:c r="E148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F148" s="43" t="n">
        <x:v>19.03</x:v>
      </x:c>
      <x:c r="G148" s="43" t="n">
        <x:f>F148-D148</x:f>
        <x:v>-21.67</x:v>
      </x:c>
      <x:c r="H148" s="26" t="str">
        <x:v>运输费31.27
−折扣8.44
＋Residential Delivery 3.22
＋DAS Extended Residential 4.40
＋燃油7.92
＝承运净额38.37
账单实收46.044（按既有收费规则）</x:v>
      </x:c>
      <x:c r="I148" s="43" t="n">
        <x:v>38.37</x:v>
      </x:c>
      <x:c r="J148" s="43" t="n">
        <x:v>46.044</x:v>
      </x:c>
      <x:c r="K148" s="43" t="n">
        <x:f>J148-D148</x:f>
        <x:v>5.343999999999994</x:v>
      </x:c>
      <x:c r="L148" s="26" t="str">
        <x:v>核对明细列有住宅派送费3.22美元；是否在预付中漏估须原始报价确认。
核对明细列有派送区域/偏远费4.40美元；是否在预付中漏估尚未确认。
实际比预估重5.41lb，需核对称重与申报。
试算偏差较大：缺原始报价/折扣/尺寸，不能强行归因。</x:v>
      </x:c>
      <x:c r="M148" s="26" t="str">
        <x:v>账单已对账；现有假设未还原预付</x:v>
      </x:c>
      <x:c r="N148" s="26" t="str">
        <x:v>20260616</x:v>
      </x:c>
      <x:c r="O148" s="26" t="n">
        <x:v>8</x:v>
      </x:c>
      <x:c r="P148" s="31" t="n">
        <x:v>6.988653711260619</x:v>
      </x:c>
      <x:c r="Q148" s="31" t="n">
        <x:v>12.4</x:v>
      </x:c>
      <x:c r="R148" s="26" t="n">
        <x:v>13</x:v>
      </x:c>
      <x:c r="S148" s="26" t="n">
        <x:v>166</x:v>
      </x:c>
      <x:c r="T148" s="43" t="n">
        <x:v>31.27</x:v>
      </x:c>
      <x:c r="U148" s="43" t="n">
        <x:v>-8.44</x:v>
      </x:c>
      <x:c r="V148" s="43" t="n">
        <x:v>7.620000000000001</x:v>
      </x:c>
      <x:c r="W148" s="43" t="n">
        <x:v>7.92</x:v>
      </x:c>
      <x:c r="X148" s="44" t="n">
        <x:v>0.26</x:v>
      </x:c>
      <x:c r="Y148" s="30" t="b">
        <x:v>0</x:v>
      </x:c>
      <x:c r="Z148" s="26" t="n">
        <x:v>8</x:v>
      </x:c>
      <x:c r="AA148" s="26" t="n">
        <x:v>7</x:v>
      </x:c>
      <x:c r="AB148" s="26" t="n">
        <x:v>100</x:v>
      </x:c>
      <x:c r="AC148" s="43" t="n">
        <x:v>19.03</x:v>
      </x:c>
    </x:row>
    <x:row r="149" ht="135" customHeight="1">
      <x:c r="A149" s="26" t="n">
        <x:v>148</x:v>
      </x:c>
      <x:c r="B149" s="26" t="str">
        <x:v>873109426329</x:v>
      </x:c>
      <x:c r="C149" s="26"/>
      <x:c r="D149" s="43" t="n">
        <x:v>40.7</x:v>
      </x:c>
      <x:c r="E149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F149" s="43" t="n">
        <x:v>19.03</x:v>
      </x:c>
      <x:c r="G149" s="43" t="n">
        <x:f>F149-D149</x:f>
        <x:v>-21.67</x:v>
      </x:c>
      <x:c r="H149" s="26" t="str">
        <x:v>运输费31.27
−折扣8.44
＋Residential Delivery 3.22
＋DAS Extended Residential 4.40
＋燃油7.92
＝承运净额38.37
账单实收46.044（按既有收费规则）</x:v>
      </x:c>
      <x:c r="I149" s="43" t="n">
        <x:v>38.37</x:v>
      </x:c>
      <x:c r="J149" s="43" t="n">
        <x:v>46.044</x:v>
      </x:c>
      <x:c r="K149" s="43" t="n">
        <x:f>J149-D149</x:f>
        <x:v>5.343999999999994</x:v>
      </x:c>
      <x:c r="L149" s="26" t="str">
        <x:v>核对明细列有住宅派送费3.22美元；是否在预付中漏估须原始报价确认。
核对明细列有派送区域/偏远费4.40美元；是否在预付中漏估尚未确认。
实际比预估重5.21lb，需核对称重与申报。
试算偏差较大：缺原始报价/折扣/尺寸，不能强行归因。</x:v>
      </x:c>
      <x:c r="M149" s="26" t="str">
        <x:v>账单已对账；现有假设未还原预付</x:v>
      </x:c>
      <x:c r="N149" s="26" t="str">
        <x:v>20260616</x:v>
      </x:c>
      <x:c r="O149" s="26" t="n">
        <x:v>8</x:v>
      </x:c>
      <x:c r="P149" s="31" t="n">
        <x:v>6.988653711260619</x:v>
      </x:c>
      <x:c r="Q149" s="31" t="n">
        <x:v>12.2</x:v>
      </x:c>
      <x:c r="R149" s="26" t="n">
        <x:v>13</x:v>
      </x:c>
      <x:c r="S149" s="26" t="n">
        <x:v>166</x:v>
      </x:c>
      <x:c r="T149" s="43" t="n">
        <x:v>31.27</x:v>
      </x:c>
      <x:c r="U149" s="43" t="n">
        <x:v>-8.44</x:v>
      </x:c>
      <x:c r="V149" s="43" t="n">
        <x:v>7.620000000000001</x:v>
      </x:c>
      <x:c r="W149" s="43" t="n">
        <x:v>7.92</x:v>
      </x:c>
      <x:c r="X149" s="44" t="n">
        <x:v>0.26</x:v>
      </x:c>
      <x:c r="Y149" s="30" t="b">
        <x:v>0</x:v>
      </x:c>
      <x:c r="Z149" s="26" t="n">
        <x:v>8</x:v>
      </x:c>
      <x:c r="AA149" s="26" t="n">
        <x:v>7</x:v>
      </x:c>
      <x:c r="AB149" s="26" t="n">
        <x:v>92</x:v>
      </x:c>
      <x:c r="AC149" s="43" t="n">
        <x:v>19.03</x:v>
      </x:c>
    </x:row>
    <x:row r="150" ht="135" customHeight="1">
      <x:c r="A150" s="26" t="n">
        <x:v>149</x:v>
      </x:c>
      <x:c r="B150" s="26" t="str">
        <x:v>873109426178</x:v>
      </x:c>
      <x:c r="C150" s="26"/>
      <x:c r="D150" s="43" t="n">
        <x:v>34.05</x:v>
      </x:c>
      <x:c r="E150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0" s="43" t="n">
        <x:v>19.03</x:v>
      </x:c>
      <x:c r="G150" s="43" t="n">
        <x:f>F150-D150</x:f>
        <x:v>-15.019999999999996</x:v>
      </x:c>
      <x:c r="H150" s="26" t="str">
        <x:v>运输费31.27
−折扣8.44
＋Residential Delivery 3.22
＋燃油6.77
＝承运净额32.82
账单实收39.384（按既有收费规则）</x:v>
      </x:c>
      <x:c r="I150" s="43" t="n">
        <x:v>32.82</x:v>
      </x:c>
      <x:c r="J150" s="43" t="n">
        <x:v>39.384</x:v>
      </x:c>
      <x:c r="K150" s="43" t="n">
        <x:f>J150-D150</x:f>
        <x:v>5.334000000000003</x:v>
      </x:c>
      <x:c r="L150" s="26" t="str">
        <x:v>核对明细列有住宅派送费3.22美元；是否在预付中漏估须原始报价确认。
实际比预估重5.51lb，需核对称重与申报。
试算偏差较大：缺原始报价/折扣/尺寸，不能强行归因。</x:v>
      </x:c>
      <x:c r="M150" s="26" t="str">
        <x:v>账单已对账；现有假设未还原预付</x:v>
      </x:c>
      <x:c r="N150" s="26" t="str">
        <x:v>20260616</x:v>
      </x:c>
      <x:c r="O150" s="26" t="n">
        <x:v>8</x:v>
      </x:c>
      <x:c r="P150" s="31" t="n">
        <x:v>6.988653711260619</x:v>
      </x:c>
      <x:c r="Q150" s="31" t="n">
        <x:v>12.5</x:v>
      </x:c>
      <x:c r="R150" s="26" t="n">
        <x:v>13</x:v>
      </x:c>
      <x:c r="S150" s="26" t="n">
        <x:v>166</x:v>
      </x:c>
      <x:c r="T150" s="43" t="n">
        <x:v>31.27</x:v>
      </x:c>
      <x:c r="U150" s="43" t="n">
        <x:v>-8.44</x:v>
      </x:c>
      <x:c r="V150" s="43" t="n">
        <x:v>3.22</x:v>
      </x:c>
      <x:c r="W150" s="43" t="n">
        <x:v>6.77</x:v>
      </x:c>
      <x:c r="X150" s="44" t="n">
        <x:v>0.26</x:v>
      </x:c>
      <x:c r="Y150" s="30" t="b">
        <x:v>0</x:v>
      </x:c>
      <x:c r="Z150" s="26" t="n">
        <x:v>8</x:v>
      </x:c>
      <x:c r="AA150" s="26" t="n">
        <x:v>7</x:v>
      </x:c>
      <x:c r="AB150" s="26" t="n">
        <x:v>33</x:v>
      </x:c>
      <x:c r="AC150" s="43" t="n">
        <x:v>19.03</x:v>
      </x:c>
    </x:row>
    <x:row r="151" ht="135" customHeight="1">
      <x:c r="A151" s="26" t="n">
        <x:v>150</x:v>
      </x:c>
      <x:c r="B151" s="26" t="str">
        <x:v>873109425778</x:v>
      </x:c>
      <x:c r="C151" s="26"/>
      <x:c r="D151" s="43" t="n">
        <x:v>34.05</x:v>
      </x:c>
      <x:c r="E151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1" s="43" t="n">
        <x:v>19.03</x:v>
      </x:c>
      <x:c r="G151" s="43" t="n">
        <x:f>F151-D151</x:f>
        <x:v>-15.019999999999996</x:v>
      </x:c>
      <x:c r="H151" s="26" t="str">
        <x:v>运输费31.27
−折扣8.44
＋Residential Delivery 3.22
＋燃油6.77
＝承运净额32.82
账单实收39.384（按既有收费规则）</x:v>
      </x:c>
      <x:c r="I151" s="43" t="n">
        <x:v>32.82</x:v>
      </x:c>
      <x:c r="J151" s="43" t="n">
        <x:v>39.384</x:v>
      </x:c>
      <x:c r="K151" s="43" t="n">
        <x:f>J151-D151</x:f>
        <x:v>5.334000000000003</x:v>
      </x:c>
      <x:c r="L151" s="26" t="str">
        <x:v>核对明细列有住宅派送费3.22美元；是否在预付中漏估须原始报价确认。
实际比预估重5.31lb，需核对称重与申报。
试算偏差较大：缺原始报价/折扣/尺寸，不能强行归因。</x:v>
      </x:c>
      <x:c r="M151" s="26" t="str">
        <x:v>账单已对账；现有假设未还原预付</x:v>
      </x:c>
      <x:c r="N151" s="26" t="str">
        <x:v>20260616</x:v>
      </x:c>
      <x:c r="O151" s="26" t="n">
        <x:v>8</x:v>
      </x:c>
      <x:c r="P151" s="31" t="n">
        <x:v>6.988653711260619</x:v>
      </x:c>
      <x:c r="Q151" s="31" t="n">
        <x:v>12.3</x:v>
      </x:c>
      <x:c r="R151" s="26" t="n">
        <x:v>13</x:v>
      </x:c>
      <x:c r="S151" s="26" t="n">
        <x:v>166</x:v>
      </x:c>
      <x:c r="T151" s="43" t="n">
        <x:v>31.27</x:v>
      </x:c>
      <x:c r="U151" s="43" t="n">
        <x:v>-8.44</x:v>
      </x:c>
      <x:c r="V151" s="43" t="n">
        <x:v>3.22</x:v>
      </x:c>
      <x:c r="W151" s="43" t="n">
        <x:v>6.77</x:v>
      </x:c>
      <x:c r="X151" s="44" t="n">
        <x:v>0.26</x:v>
      </x:c>
      <x:c r="Y151" s="30" t="b">
        <x:v>0</x:v>
      </x:c>
      <x:c r="Z151" s="26" t="n">
        <x:v>8</x:v>
      </x:c>
      <x:c r="AA151" s="26" t="n">
        <x:v>7</x:v>
      </x:c>
      <x:c r="AB151" s="26" t="n">
        <x:v>26</x:v>
      </x:c>
      <x:c r="AC151" s="43" t="n">
        <x:v>19.03</x:v>
      </x:c>
    </x:row>
    <x:row r="152" ht="135" customHeight="1">
      <x:c r="A152" s="26" t="n">
        <x:v>151</x:v>
      </x:c>
      <x:c r="B152" s="26" t="str">
        <x:v>873109427862</x:v>
      </x:c>
      <x:c r="C152" s="26"/>
      <x:c r="D152" s="43" t="n">
        <x:v>34.05</x:v>
      </x:c>
      <x:c r="E152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2" s="43" t="n">
        <x:v>19.03</x:v>
      </x:c>
      <x:c r="G152" s="43" t="n">
        <x:f>F152-D152</x:f>
        <x:v>-15.019999999999996</x:v>
      </x:c>
      <x:c r="H152" s="26" t="str">
        <x:v>运输费31.27
−折扣8.44
＋Residential Delivery 3.22
＋燃油6.77
＝承运净额32.82
账单实收39.384（按既有收费规则）</x:v>
      </x:c>
      <x:c r="I152" s="43" t="n">
        <x:v>32.82</x:v>
      </x:c>
      <x:c r="J152" s="43" t="n">
        <x:v>39.384</x:v>
      </x:c>
      <x:c r="K152" s="43" t="n">
        <x:f>J152-D152</x:f>
        <x:v>5.334000000000003</x:v>
      </x:c>
      <x:c r="L152" s="26" t="str">
        <x:v>核对明细列有住宅派送费3.22美元；是否在预付中漏估须原始报价确认。
实际比预估重5.51lb，需核对称重与申报。
试算偏差较大：缺原始报价/折扣/尺寸，不能强行归因。</x:v>
      </x:c>
      <x:c r="M152" s="26" t="str">
        <x:v>账单已对账；现有假设未还原预付</x:v>
      </x:c>
      <x:c r="N152" s="26" t="str">
        <x:v>20260616</x:v>
      </x:c>
      <x:c r="O152" s="26" t="n">
        <x:v>8</x:v>
      </x:c>
      <x:c r="P152" s="31" t="n">
        <x:v>6.988653711260619</x:v>
      </x:c>
      <x:c r="Q152" s="31" t="n">
        <x:v>12.5</x:v>
      </x:c>
      <x:c r="R152" s="26" t="n">
        <x:v>13</x:v>
      </x:c>
      <x:c r="S152" s="26" t="n">
        <x:v>166</x:v>
      </x:c>
      <x:c r="T152" s="43" t="n">
        <x:v>31.27</x:v>
      </x:c>
      <x:c r="U152" s="43" t="n">
        <x:v>-8.44</x:v>
      </x:c>
      <x:c r="V152" s="43" t="n">
        <x:v>3.22</x:v>
      </x:c>
      <x:c r="W152" s="43" t="n">
        <x:v>6.77</x:v>
      </x:c>
      <x:c r="X152" s="44" t="n">
        <x:v>0.26</x:v>
      </x:c>
      <x:c r="Y152" s="30" t="b">
        <x:v>0</x:v>
      </x:c>
      <x:c r="Z152" s="26" t="n">
        <x:v>8</x:v>
      </x:c>
      <x:c r="AA152" s="26" t="n">
        <x:v>7</x:v>
      </x:c>
      <x:c r="AB152" s="26" t="n">
        <x:v>95</x:v>
      </x:c>
      <x:c r="AC152" s="43" t="n">
        <x:v>19.03</x:v>
      </x:c>
    </x:row>
    <x:row r="153" ht="135" customHeight="1">
      <x:c r="A153" s="26" t="n">
        <x:v>152</x:v>
      </x:c>
      <x:c r="B153" s="26" t="str">
        <x:v>873109425403</x:v>
      </x:c>
      <x:c r="C153" s="26"/>
      <x:c r="D153" s="43" t="n">
        <x:v>34.05</x:v>
      </x:c>
      <x:c r="E153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3" s="43" t="n">
        <x:v>19.03</x:v>
      </x:c>
      <x:c r="G153" s="43" t="n">
        <x:f>F153-D153</x:f>
        <x:v>-15.019999999999996</x:v>
      </x:c>
      <x:c r="H153" s="26" t="str">
        <x:v>运输费31.27
−折扣8.44
＋Residential Delivery 3.22
＋燃油6.77
＝承运净额32.82
账单实收39.384（按既有收费规则）</x:v>
      </x:c>
      <x:c r="I153" s="43" t="n">
        <x:v>32.82</x:v>
      </x:c>
      <x:c r="J153" s="43" t="n">
        <x:v>39.384</x:v>
      </x:c>
      <x:c r="K153" s="43" t="n">
        <x:f>J153-D153</x:f>
        <x:v>5.334000000000003</x:v>
      </x:c>
      <x:c r="L153" s="26" t="str">
        <x:v>核对明细列有住宅派送费3.22美元；是否在预付中漏估须原始报价确认。
实际比预估重5.51lb，需核对称重与申报。
试算偏差较大：缺原始报价/折扣/尺寸，不能强行归因。</x:v>
      </x:c>
      <x:c r="M153" s="26" t="str">
        <x:v>账单已对账；现有假设未还原预付</x:v>
      </x:c>
      <x:c r="N153" s="26" t="str">
        <x:v>20260616</x:v>
      </x:c>
      <x:c r="O153" s="26" t="n">
        <x:v>8</x:v>
      </x:c>
      <x:c r="P153" s="31" t="n">
        <x:v>6.988653711260619</x:v>
      </x:c>
      <x:c r="Q153" s="31" t="n">
        <x:v>12.5</x:v>
      </x:c>
      <x:c r="R153" s="26" t="n">
        <x:v>13</x:v>
      </x:c>
      <x:c r="S153" s="26" t="n">
        <x:v>166</x:v>
      </x:c>
      <x:c r="T153" s="43" t="n">
        <x:v>31.27</x:v>
      </x:c>
      <x:c r="U153" s="43" t="n">
        <x:v>-8.44</x:v>
      </x:c>
      <x:c r="V153" s="43" t="n">
        <x:v>3.22</x:v>
      </x:c>
      <x:c r="W153" s="43" t="n">
        <x:v>6.77</x:v>
      </x:c>
      <x:c r="X153" s="44" t="n">
        <x:v>0.26</x:v>
      </x:c>
      <x:c r="Y153" s="30" t="b">
        <x:v>0</x:v>
      </x:c>
      <x:c r="Z153" s="26" t="n">
        <x:v>8</x:v>
      </x:c>
      <x:c r="AA153" s="26" t="n">
        <x:v>7</x:v>
      </x:c>
      <x:c r="AB153" s="26" t="n">
        <x:v>88</x:v>
      </x:c>
      <x:c r="AC153" s="43" t="n">
        <x:v>19.03</x:v>
      </x:c>
    </x:row>
    <x:row r="154" ht="135" customHeight="1">
      <x:c r="A154" s="26" t="n">
        <x:v>153</x:v>
      </x:c>
      <x:c r="B154" s="26" t="str">
        <x:v>873109426362</x:v>
      </x:c>
      <x:c r="C154" s="26"/>
      <x:c r="D154" s="43" t="n">
        <x:v>34.05</x:v>
      </x:c>
      <x:c r="E154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4" s="43" t="n">
        <x:v>19.03</x:v>
      </x:c>
      <x:c r="G154" s="43" t="n">
        <x:f>F154-D154</x:f>
        <x:v>-15.019999999999996</x:v>
      </x:c>
      <x:c r="H154" s="26" t="str">
        <x:v>运输费31.27
−折扣8.44
＋Residential Delivery 3.22
＋燃油6.77
＝承运净额32.82
账单实收39.384（按既有收费规则）</x:v>
      </x:c>
      <x:c r="I154" s="43" t="n">
        <x:v>32.82</x:v>
      </x:c>
      <x:c r="J154" s="43" t="n">
        <x:v>39.384</x:v>
      </x:c>
      <x:c r="K154" s="43" t="n">
        <x:f>J154-D154</x:f>
        <x:v>5.334000000000003</x:v>
      </x:c>
      <x:c r="L154" s="26" t="str">
        <x:v>核对明细列有住宅派送费3.22美元；是否在预付中漏估须原始报价确认。
实际比预估重5.51lb，需核对称重与申报。
试算偏差较大：缺原始报价/折扣/尺寸，不能强行归因。</x:v>
      </x:c>
      <x:c r="M154" s="26" t="str">
        <x:v>账单已对账；现有假设未还原预付</x:v>
      </x:c>
      <x:c r="N154" s="26" t="str">
        <x:v>20260616</x:v>
      </x:c>
      <x:c r="O154" s="26" t="n">
        <x:v>8</x:v>
      </x:c>
      <x:c r="P154" s="31" t="n">
        <x:v>6.988653711260619</x:v>
      </x:c>
      <x:c r="Q154" s="31" t="n">
        <x:v>12.5</x:v>
      </x:c>
      <x:c r="R154" s="26" t="n">
        <x:v>13</x:v>
      </x:c>
      <x:c r="S154" s="26" t="n">
        <x:v>166</x:v>
      </x:c>
      <x:c r="T154" s="43" t="n">
        <x:v>31.27</x:v>
      </x:c>
      <x:c r="U154" s="43" t="n">
        <x:v>-8.44</x:v>
      </x:c>
      <x:c r="V154" s="43" t="n">
        <x:v>3.22</x:v>
      </x:c>
      <x:c r="W154" s="43" t="n">
        <x:v>6.77</x:v>
      </x:c>
      <x:c r="X154" s="44" t="n">
        <x:v>0.26</x:v>
      </x:c>
      <x:c r="Y154" s="30" t="b">
        <x:v>0</x:v>
      </x:c>
      <x:c r="Z154" s="26" t="n">
        <x:v>8</x:v>
      </x:c>
      <x:c r="AA154" s="26" t="n">
        <x:v>7</x:v>
      </x:c>
      <x:c r="AB154" s="26" t="n">
        <x:v>93</x:v>
      </x:c>
      <x:c r="AC154" s="43" t="n">
        <x:v>19.03</x:v>
      </x:c>
    </x:row>
    <x:row r="155" ht="135" customHeight="1">
      <x:c r="A155" s="26" t="n">
        <x:v>154</x:v>
      </x:c>
      <x:c r="B155" s="26" t="str">
        <x:v>873109426866</x:v>
      </x:c>
      <x:c r="C155" s="26"/>
      <x:c r="D155" s="43" t="n">
        <x:v>34.05</x:v>
      </x:c>
      <x:c r="E155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5" s="43" t="n">
        <x:v>19.03</x:v>
      </x:c>
      <x:c r="G155" s="43" t="n">
        <x:f>F155-D155</x:f>
        <x:v>-15.019999999999996</x:v>
      </x:c>
      <x:c r="H155" s="26" t="str">
        <x:v>运输费31.27
−折扣8.44
＋Residential Delivery 3.22
＋燃油6.77
＝承运净额32.82
账单实收39.384（按既有收费规则）</x:v>
      </x:c>
      <x:c r="I155" s="43" t="n">
        <x:v>32.82</x:v>
      </x:c>
      <x:c r="J155" s="43" t="n">
        <x:v>39.384</x:v>
      </x:c>
      <x:c r="K155" s="43" t="n">
        <x:f>J155-D155</x:f>
        <x:v>5.334000000000003</x:v>
      </x:c>
      <x:c r="L155" s="26" t="str">
        <x:v>核对明细列有住宅派送费3.22美元；是否在预付中漏估须原始报价确认。
实际比预估重5.61lb，需核对称重与申报。
试算偏差较大：缺原始报价/折扣/尺寸，不能强行归因。</x:v>
      </x:c>
      <x:c r="M155" s="26" t="str">
        <x:v>账单已对账；现有假设未还原预付</x:v>
      </x:c>
      <x:c r="N155" s="26" t="str">
        <x:v>20260616</x:v>
      </x:c>
      <x:c r="O155" s="26" t="n">
        <x:v>8</x:v>
      </x:c>
      <x:c r="P155" s="31" t="n">
        <x:v>6.988653711260619</x:v>
      </x:c>
      <x:c r="Q155" s="31" t="n">
        <x:v>12.6</x:v>
      </x:c>
      <x:c r="R155" s="26" t="n">
        <x:v>13</x:v>
      </x:c>
      <x:c r="S155" s="26" t="n">
        <x:v>166</x:v>
      </x:c>
      <x:c r="T155" s="43" t="n">
        <x:v>31.27</x:v>
      </x:c>
      <x:c r="U155" s="43" t="n">
        <x:v>-8.44</x:v>
      </x:c>
      <x:c r="V155" s="43" t="n">
        <x:v>3.22</x:v>
      </x:c>
      <x:c r="W155" s="43" t="n">
        <x:v>6.77</x:v>
      </x:c>
      <x:c r="X155" s="44" t="n">
        <x:v>0.26</x:v>
      </x:c>
      <x:c r="Y155" s="30" t="b">
        <x:v>0</x:v>
      </x:c>
      <x:c r="Z155" s="26" t="n">
        <x:v>8</x:v>
      </x:c>
      <x:c r="AA155" s="26" t="n">
        <x:v>7</x:v>
      </x:c>
      <x:c r="AB155" s="26" t="n">
        <x:v>74</x:v>
      </x:c>
      <x:c r="AC155" s="43" t="n">
        <x:v>19.03</x:v>
      </x:c>
    </x:row>
    <x:row r="156" ht="135" customHeight="1">
      <x:c r="A156" s="26" t="n">
        <x:v>155</x:v>
      </x:c>
      <x:c r="B156" s="26" t="str">
        <x:v>873109425701</x:v>
      </x:c>
      <x:c r="C156" s="26"/>
      <x:c r="D156" s="43" t="n">
        <x:v>34.05</x:v>
      </x:c>
      <x:c r="E156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F156" s="43" t="n">
        <x:v>19.03</x:v>
      </x:c>
      <x:c r="G156" s="43" t="n">
        <x:f>F156-D156</x:f>
        <x:v>-15.019999999999996</x:v>
      </x:c>
      <x:c r="H156" s="26" t="str">
        <x:v>运输费31.27
−折扣8.44
＋Residential Delivery 3.22
＋燃油6.77
＝承运净额32.82
账单实收39.384（按既有收费规则）</x:v>
      </x:c>
      <x:c r="I156" s="43" t="n">
        <x:v>32.82</x:v>
      </x:c>
      <x:c r="J156" s="43" t="n">
        <x:v>39.384</x:v>
      </x:c>
      <x:c r="K156" s="43" t="n">
        <x:f>J156-D156</x:f>
        <x:v>5.334000000000003</x:v>
      </x:c>
      <x:c r="L156" s="26" t="str">
        <x:v>核对明细列有住宅派送费3.22美元；是否在预付中漏估须原始报价确认。
实际比预估重5.21lb，需核对称重与申报。
试算偏差较大：缺原始报价/折扣/尺寸，不能强行归因。</x:v>
      </x:c>
      <x:c r="M156" s="26" t="str">
        <x:v>账单已对账；现有假设未还原预付</x:v>
      </x:c>
      <x:c r="N156" s="26" t="str">
        <x:v>20260616</x:v>
      </x:c>
      <x:c r="O156" s="26" t="n">
        <x:v>8</x:v>
      </x:c>
      <x:c r="P156" s="31" t="n">
        <x:v>6.988653711260619</x:v>
      </x:c>
      <x:c r="Q156" s="31" t="n">
        <x:v>12.2</x:v>
      </x:c>
      <x:c r="R156" s="26" t="n">
        <x:v>13</x:v>
      </x:c>
      <x:c r="S156" s="26" t="n">
        <x:v>166</x:v>
      </x:c>
      <x:c r="T156" s="43" t="n">
        <x:v>31.27</x:v>
      </x:c>
      <x:c r="U156" s="43" t="n">
        <x:v>-8.44</x:v>
      </x:c>
      <x:c r="V156" s="43" t="n">
        <x:v>3.22</x:v>
      </x:c>
      <x:c r="W156" s="43" t="n">
        <x:v>6.77</x:v>
      </x:c>
      <x:c r="X156" s="44" t="n">
        <x:v>0.26</x:v>
      </x:c>
      <x:c r="Y156" s="30" t="b">
        <x:v>0</x:v>
      </x:c>
      <x:c r="Z156" s="26" t="n">
        <x:v>8</x:v>
      </x:c>
      <x:c r="AA156" s="26" t="n">
        <x:v>7</x:v>
      </x:c>
      <x:c r="AB156" s="26" t="n">
        <x:v>90</x:v>
      </x:c>
      <x:c r="AC156" s="43" t="n">
        <x:v>19.03</x:v>
      </x:c>
    </x:row>
    <x:row r="157" ht="135" customHeight="1">
      <x:c r="A157" s="26" t="n">
        <x:v>156</x:v>
      </x:c>
      <x:c r="B157" s="26" t="str">
        <x:v>874399527902</x:v>
      </x:c>
      <x:c r="C157" s="26" t="str">
        <x:v>AC300</x:v>
      </x:c>
      <x:c r="D157" s="43" t="n">
        <x:v>56.27</x:v>
      </x:c>
      <x:c r="E157" s="26" t="str">
        <x:v>反推假设：56lb、Zone2（账单Zone2）。
标准运费29.40×61%≈17.93
＋假设折后附加费23.00
＋燃油(17.93＋23.00)×25.00%≈10.23
＝预估承运成本51.16
按既有收费规则折算→预付56.28；与原预付差+0.01。</x:v>
      </x:c>
      <x:c r="F157" s="43" t="n">
        <x:v>56.28</x:v>
      </x:c>
      <x:c r="G157" s="43" t="n">
        <x:f>F157-D157</x:f>
        <x:v>0.00999999999999801</x:v>
      </x:c>
      <x:c r="H157" s="26" t="str">
        <x:v>运输费35.73
−折扣13.93
＋Add'l Handling-Weight 23.00
＋燃油11.20
＝承运净额56.00
账单实收61.600（按既有收费规则）</x:v>
      </x:c>
      <x:c r="I157" s="43" t="n">
        <x:v>56</x:v>
      </x:c>
      <x:c r="J157" s="43" t="n">
        <x:v>61.6</x:v>
      </x:c>
      <x:c r="K157" s="43" t="n">
        <x:f>J157-D157</x:f>
        <x:v>5.329999999999998</x:v>
      </x:c>
      <x:c r="L157" s="26" t="str">
        <x:v>实际重量不高于预估，不能用增重解释差额。</x:v>
      </x:c>
      <x:c r="M157" s="26" t="str">
        <x:v>账单已对账；预付试算接近（差≤0.15）</x:v>
      </x:c>
      <x:c r="N157" s="26" t="str">
        <x:v>20260715</x:v>
      </x:c>
      <x:c r="O157" s="26" t="n">
        <x:v>2</x:v>
      </x:c>
      <x:c r="P157" s="31" t="n">
        <x:v>55.11556554621939</x:v>
      </x:c>
      <x:c r="Q157" s="31" t="n">
        <x:v>53.9</x:v>
      </x:c>
      <x:c r="R157" s="26" t="n">
        <x:v>72</x:v>
      </x:c>
      <x:c r="S157" s="26" t="n">
        <x:v>166</x:v>
      </x:c>
      <x:c r="T157" s="43" t="n">
        <x:v>35.73</x:v>
      </x:c>
      <x:c r="U157" s="43" t="n">
        <x:v>-13.93</x:v>
      </x:c>
      <x:c r="V157" s="43" t="n">
        <x:v>23</x:v>
      </x:c>
      <x:c r="W157" s="43" t="n">
        <x:v>11.2</x:v>
      </x:c>
      <x:c r="X157" s="44" t="n">
        <x:v>0.25</x:v>
      </x:c>
      <x:c r="Y157" s="30" t="b">
        <x:v>0</x:v>
      </x:c>
      <x:c r="Z157" s="26" t="n">
        <x:v>2</x:v>
      </x:c>
      <x:c r="AA157" s="26" t="n">
        <x:v>56</x:v>
      </x:c>
      <x:c r="AB157" s="26" t="n">
        <x:v>421</x:v>
      </x:c>
      <x:c r="AC157" s="43" t="n">
        <x:v>56.28</x:v>
      </x:c>
    </x:row>
    <x:row r="158" ht="135" customHeight="1">
      <x:c r="A158" s="26" t="n">
        <x:v>157</x:v>
      </x:c>
      <x:c r="B158" s="26" t="str">
        <x:v>873243819966</x:v>
      </x:c>
      <x:c r="C158" s="26" t="str">
        <x:v>EL100V2</x:v>
      </x:c>
      <x:c r="D158" s="43" t="n">
        <x:v>32.47</x:v>
      </x:c>
      <x:c r="E158" s="26" t="str">
        <x:v>反推假设：25lb、Zone6（账单Zone6）。
标准运费38.41×61%≈23.43
＋假设折后附加费0.00
＋燃油(23.43＋0.00)×26.00%≈6.09
＝预估承运成本29.52
按既有收费规则折算→预付32.47；与原预付差+0.00。</x:v>
      </x:c>
      <x:c r="F158" s="43" t="n">
        <x:v>32.47</x:v>
      </x:c>
      <x:c r="G158" s="43" t="n">
        <x:f>F158-D158</x:f>
        <x:v>0</x:v>
      </x:c>
      <x:c r="H158" s="26" t="str">
        <x:v>运输费44.68
−折扣17.43
＋燃油7.09
＝承运净额34.34
账单实收37.774（按既有收费规则）</x:v>
      </x:c>
      <x:c r="I158" s="43" t="n">
        <x:v>34.34</x:v>
      </x:c>
      <x:c r="J158" s="43" t="n">
        <x:v>37.774</x:v>
      </x:c>
      <x:c r="K158" s="43" t="n">
        <x:f>J158-D158</x:f>
        <x:v>5.304000000000002</x:v>
      </x:c>
      <x:c r="L158" s="26" t="str">
        <x:v>未发现单一共同原因，需核验报价费率、原尺寸及原发票。</x:v>
      </x:c>
      <x:c r="M158" s="26" t="str">
        <x:v>账单已对账；预付试算接近（差≤0.15）</x:v>
      </x:c>
      <x:c r="N158" s="26" t="str">
        <x:v>20260618</x:v>
      </x:c>
      <x:c r="O158" s="26" t="n">
        <x:v>6</x:v>
      </x:c>
      <x:c r="P158" s="31" t="n">
        <x:v>25.000420531765116</x:v>
      </x:c>
      <x:c r="Q158" s="31" t="n">
        <x:v>28.7</x:v>
      </x:c>
      <x:c r="R158" s="26" t="n">
        <x:v>29</x:v>
      </x:c>
      <x:c r="S158" s="26" t="n">
        <x:v>166</x:v>
      </x:c>
      <x:c r="T158" s="43" t="n">
        <x:v>44.68</x:v>
      </x:c>
      <x:c r="U158" s="43" t="n">
        <x:v>-17.43</x:v>
      </x:c>
      <x:c r="V158" s="43" t="n">
        <x:v>0</x:v>
      </x:c>
      <x:c r="W158" s="43" t="n">
        <x:v>7.09</x:v>
      </x:c>
      <x:c r="X158" s="44" t="n">
        <x:v>0.26</x:v>
      </x:c>
      <x:c r="Y158" s="30" t="b">
        <x:v>0</x:v>
      </x:c>
      <x:c r="Z158" s="26" t="n">
        <x:v>6</x:v>
      </x:c>
      <x:c r="AA158" s="26" t="n">
        <x:v>25</x:v>
      </x:c>
      <x:c r="AB158" s="26" t="n">
        <x:v>86</x:v>
      </x:c>
      <x:c r="AC158" s="43" t="n">
        <x:v>32.47</x:v>
      </x:c>
    </x:row>
    <x:row r="159" ht="135" customHeight="1">
      <x:c r="A159" s="26" t="n">
        <x:v>158</x:v>
      </x:c>
      <x:c r="B159" s="26" t="str">
        <x:v>873185263260</x:v>
      </x:c>
      <x:c r="C159" s="26" t="str">
        <x:v>EL100V2</x:v>
      </x:c>
      <x:c r="D159" s="43" t="n">
        <x:v>18.28</x:v>
      </x:c>
      <x:c r="E159" s="26" t="str">
        <x:v>反推假设：26lb、Zone2（账单Zone3）。
标准运费21.62×61%≈13.19
＋假设折后附加费0.00
＋燃油(13.19＋0.00)×26.00%≈3.43
＝预估承运成本16.62
按既有收费规则折算→预付18.28；与原预付差+0.00。</x:v>
      </x:c>
      <x:c r="F159" s="43" t="n">
        <x:v>18.28</x:v>
      </x:c>
      <x:c r="G159" s="43" t="n">
        <x:f>F159-D159</x:f>
        <x:v>0</x:v>
      </x:c>
      <x:c r="H159" s="26" t="str">
        <x:v>运输费27.86
−折扣10.87
＋燃油4.42
＝承运净额21.41
账单实收23.551（按既有收费规则）</x:v>
      </x:c>
      <x:c r="I159" s="43" t="n">
        <x:v>21.41</x:v>
      </x:c>
      <x:c r="J159" s="43" t="n">
        <x:v>23.551</x:v>
      </x:c>
      <x:c r="K159" s="43" t="n">
        <x:f>J159-D159</x:f>
        <x:v>5.270999999999997</x:v>
      </x:c>
      <x:c r="L159" s="26" t="str">
        <x:v>预付反推Zone2，最终Zone3；不代表分区错误，需查原邮编与合同。</x:v>
      </x:c>
      <x:c r="M159" s="26" t="str">
        <x:v>账单已对账；预付试算接近（差≤0.15）</x:v>
      </x:c>
      <x:c r="N159" s="26" t="str">
        <x:v>20260617</x:v>
      </x:c>
      <x:c r="O159" s="26" t="n">
        <x:v>3</x:v>
      </x:c>
      <x:c r="P159" s="31" t="n">
        <x:v>25.35316015126092</x:v>
      </x:c>
      <x:c r="Q159" s="31" t="n">
        <x:v>30.1</x:v>
      </x:c>
      <x:c r="R159" s="26" t="n">
        <x:v>31</x:v>
      </x:c>
      <x:c r="S159" s="26" t="n">
        <x:v>166</x:v>
      </x:c>
      <x:c r="T159" s="43" t="n">
        <x:v>27.86</x:v>
      </x:c>
      <x:c r="U159" s="43" t="n">
        <x:v>-10.87</x:v>
      </x:c>
      <x:c r="V159" s="43" t="n">
        <x:v>0</x:v>
      </x:c>
      <x:c r="W159" s="43" t="n">
        <x:v>4.42</x:v>
      </x:c>
      <x:c r="X159" s="44" t="n">
        <x:v>0.26</x:v>
      </x:c>
      <x:c r="Y159" s="30" t="b">
        <x:v>0</x:v>
      </x:c>
      <x:c r="Z159" s="26" t="n">
        <x:v>2</x:v>
      </x:c>
      <x:c r="AA159" s="26" t="n">
        <x:v>26</x:v>
      </x:c>
      <x:c r="AB159" s="26" t="n">
        <x:v>66</x:v>
      </x:c>
      <x:c r="AC159" s="43" t="n">
        <x:v>21.07</x:v>
      </x:c>
    </x:row>
    <x:row r="160" ht="135" customHeight="1">
      <x:c r="A160" s="26" t="n">
        <x:v>159</x:v>
      </x:c>
      <x:c r="B160" s="26" t="str">
        <x:v>874871743570</x:v>
      </x:c>
      <x:c r="C160" s="26" t="str">
        <x:v>EL300</x:v>
      </x:c>
      <x:c r="D160" s="43" t="n">
        <x:v>65.68</x:v>
      </x:c>
      <x:c r="E160" s="26" t="str">
        <x:v>反推假设：58lb、Zone3（账单Zone3）。
标准运费36.96×61%≈22.55
＋假设折后附加费25.13
＋燃油(22.55＋25.13)×25.75%≈12.28
＝预估承运成本59.96
按既有收费规则折算→预付65.96；与原预付差+0.28。</x:v>
      </x:c>
      <x:c r="F160" s="43" t="n">
        <x:v>65.96</x:v>
      </x:c>
      <x:c r="G160" s="43" t="n">
        <x:f>F160-D160</x:f>
        <x:v>0.2799999999999869</x:v>
      </x:c>
      <x:c r="H160" s="26" t="str">
        <x:v>运输费42.85
−折扣16.71
＋Add'l Handling-Weight 25.12
＋燃油13.20
＝承运净额64.46
账单实收70.906（按既有收费规则）</x:v>
      </x:c>
      <x:c r="I160" s="43" t="n">
        <x:v>64.46</x:v>
      </x:c>
      <x:c r="J160" s="43" t="n">
        <x:v>70.906</x:v>
      </x:c>
      <x:c r="K160" s="43" t="n">
        <x:f>J160-D160</x:f>
        <x:v>5.225999999999999</x:v>
      </x:c>
      <x:c r="L160" s="26" t="str">
        <x:v>实际比预估重8.52lb，需核对称重与申报。
试算偏差较大：缺原始报价/折扣/尺寸，不能强行归因。</x:v>
      </x:c>
      <x:c r="M160" s="26" t="str">
        <x:v>账单已对账；现有假设未还原预付</x:v>
      </x:c>
      <x:c r="N160" s="26" t="str">
        <x:v>20260727</x:v>
      </x:c>
      <x:c r="O160" s="26" t="n">
        <x:v>3</x:v>
      </x:c>
      <x:c r="P160" s="31" t="n">
        <x:v>57.9815749546228</x:v>
      </x:c>
      <x:c r="Q160" s="31" t="n">
        <x:v>66.5</x:v>
      </x:c>
      <x:c r="R160" s="26" t="n">
        <x:v>67</x:v>
      </x:c>
      <x:c r="S160" s="26" t="n">
        <x:v>166</x:v>
      </x:c>
      <x:c r="T160" s="43" t="n">
        <x:v>42.85</x:v>
      </x:c>
      <x:c r="U160" s="43" t="n">
        <x:v>-16.71</x:v>
      </x:c>
      <x:c r="V160" s="43" t="n">
        <x:v>25.12</x:v>
      </x:c>
      <x:c r="W160" s="43" t="n">
        <x:v>13.2</x:v>
      </x:c>
      <x:c r="X160" s="44" t="n">
        <x:v>0.2575</x:v>
      </x:c>
      <x:c r="Y160" s="30" t="b">
        <x:v>0</x:v>
      </x:c>
      <x:c r="Z160" s="26" t="n">
        <x:v>3</x:v>
      </x:c>
      <x:c r="AA160" s="26" t="n">
        <x:v>58</x:v>
      </x:c>
      <x:c r="AB160" s="26" t="n">
        <x:v>563</x:v>
      </x:c>
      <x:c r="AC160" s="43" t="n">
        <x:v>65.96</x:v>
      </x:c>
    </x:row>
    <x:row r="161" ht="135" customHeight="1">
      <x:c r="A161" s="26" t="n">
        <x:v>160</x:v>
      </x:c>
      <x:c r="B161" s="26" t="str">
        <x:v>875023902513</x:v>
      </x:c>
      <x:c r="C161" s="26" t="str">
        <x:v>EL100V2</x:v>
      </x:c>
      <x:c r="D161" s="43" t="n">
        <x:v>25.39</x:v>
      </x:c>
      <x:c r="E161" s="26" t="str">
        <x:v>缺核对明细，无法重建预付；原预付仅按基础表保留。</x:v>
      </x:c>
      <x:c r="F161" s="43"/>
      <x:c r="G161" s="43"/>
      <x:c r="H161" s="26" t="str">
        <x:v>缺原始核对明细，无法拆分。</x:v>
      </x:c>
      <x:c r="I161" s="43"/>
      <x:c r="J161" s="43" t="n">
        <x:v>30.404</x:v>
      </x:c>
      <x:c r="K161" s="43" t="n">
        <x:f>J161-D161</x:f>
        <x:v>5.013999999999999</x:v>
      </x:c>
      <x:c r="L161" s="26" t="str">
        <x:v>核对表无唯一匹配费用明细，无法确认差距原因；需补原始FedEx账单。</x:v>
      </x:c>
      <x:c r="M161" s="26" t="str">
        <x:v>缺核对明细，原因未确认</x:v>
      </x:c>
      <x:c r="N161" s="26"/>
      <x:c r="O161" s="26"/>
      <x:c r="P161" s="31"/>
      <x:c r="Q161" s="31"/>
      <x:c r="R161" s="26"/>
      <x:c r="S161" s="26"/>
      <x:c r="T161" s="43"/>
      <x:c r="U161" s="43"/>
      <x:c r="V161" s="43"/>
      <x:c r="W161" s="43"/>
      <x:c r="X161" s="44"/>
      <x:c r="Y161" s="26"/>
      <x:c r="Z161" s="26"/>
      <x:c r="AA161" s="26"/>
      <x:c r="AB161" s="26"/>
      <x:c r="AC161" s="43"/>
    </x:row>
    <x:row r="162" ht="135" customHeight="1">
      <x:c r="A162" s="26" t="n">
        <x:v>161</x:v>
      </x:c>
      <x:c r="B162" s="26" t="str">
        <x:v>873109428001</x:v>
      </x:c>
      <x:c r="C162" s="26"/>
      <x:c r="D162" s="43" t="n">
        <x:v>27.91</x:v>
      </x:c>
      <x:c r="E162" s="26" t="str">
        <x:v>反推假设：21lb、Zone6（账单Zone3）。
标准运费32.99×61%≈20.12
＋假设折后附加费0.00
＋燃油(20.12＋0.00)×26.00%≈5.23
＝预估承运成本25.35
按既有收费规则折算→预付27.89；与原预付差-0.02。</x:v>
      </x:c>
      <x:c r="F162" s="43" t="n">
        <x:v>27.89</x:v>
      </x:c>
      <x:c r="G162" s="43" t="n">
        <x:f>F162-D162</x:f>
        <x:v>-0.019999999999999574</x:v>
      </x:c>
      <x:c r="H162" s="26" t="str">
        <x:v>运输费27.25
−折扣8.72
＋Residential Delivery 3.22
＋燃油5.66
＝承运净额27.41
账单实收32.892（按既有收费规则）</x:v>
      </x:c>
      <x:c r="I162" s="43" t="n">
        <x:v>27.41</x:v>
      </x:c>
      <x:c r="J162" s="43" t="n">
        <x:v>32.892</x:v>
      </x:c>
      <x:c r="K162" s="43" t="n">
        <x:f>J162-D162</x:f>
        <x:v>4.982000000000003</x:v>
      </x:c>
      <x:c r="L162" s="26" t="str">
        <x:v>核对明细列有住宅派送费3.22美元；是否在预付中漏估须原始报价确认。
实际比预估重8.51lb，需核对称重与申报。
预付反推Zone6，最终Zone3；不代表分区错误，需查原邮编与合同。</x:v>
      </x:c>
      <x:c r="M162" s="26" t="str">
        <x:v>账单已对账；预付试算接近（差≤0.15）</x:v>
      </x:c>
      <x:c r="N162" s="26" t="str">
        <x:v>20260616</x:v>
      </x:c>
      <x:c r="O162" s="26" t="n">
        <x:v>3</x:v>
      </x:c>
      <x:c r="P162" s="31" t="n">
        <x:v>20.988007360000342</x:v>
      </x:c>
      <x:c r="Q162" s="31" t="n">
        <x:v>29.5</x:v>
      </x:c>
      <x:c r="R162" s="26" t="n">
        <x:v>30</x:v>
      </x:c>
      <x:c r="S162" s="26" t="n">
        <x:v>166</x:v>
      </x:c>
      <x:c r="T162" s="43" t="n">
        <x:v>27.25</x:v>
      </x:c>
      <x:c r="U162" s="43" t="n">
        <x:v>-8.72</x:v>
      </x:c>
      <x:c r="V162" s="43" t="n">
        <x:v>3.22</x:v>
      </x:c>
      <x:c r="W162" s="43" t="n">
        <x:v>5.66</x:v>
      </x:c>
      <x:c r="X162" s="44" t="n">
        <x:v>0.26</x:v>
      </x:c>
      <x:c r="Y162" s="30" t="b">
        <x:v>0</x:v>
      </x:c>
      <x:c r="Z162" s="26" t="n">
        <x:v>6</x:v>
      </x:c>
      <x:c r="AA162" s="26" t="n">
        <x:v>21</x:v>
      </x:c>
      <x:c r="AB162" s="26" t="n">
        <x:v>49</x:v>
      </x:c>
      <x:c r="AC162" s="43" t="n">
        <x:v>18.94</x:v>
      </x:c>
    </x:row>
    <x:row r="163" ht="135" customHeight="1">
      <x:c r="A163" s="26" t="n">
        <x:v>162</x:v>
      </x:c>
      <x:c r="B163" s="26" t="str">
        <x:v>873595316833</x:v>
      </x:c>
      <x:c r="C163" s="26" t="str">
        <x:v>AC70</x:v>
      </x:c>
      <x:c r="D163" s="43" t="n">
        <x:v>20.78</x:v>
      </x:c>
      <x:c r="E163" s="26" t="str">
        <x:v>反推假设：23lb、Zone4（账单Zone4）。
标准运费24.68×61%≈15.05
＋假设折后附加费0.00
＋燃油(15.05＋0.00)×25.00%≈3.76
＝预估承运成本18.81
按既有收费规则折算→预付20.69；与原预付差-0.09。</x:v>
      </x:c>
      <x:c r="F163" s="43" t="n">
        <x:v>20.69</x:v>
      </x:c>
      <x:c r="G163" s="43" t="n">
        <x:f>F163-D163</x:f>
        <x:v>-0.08999999999999986</x:v>
      </x:c>
      <x:c r="H163" s="26" t="str">
        <x:v>运输费30.70
−折扣11.97
＋燃油4.68
＝承运净额23.41
账单实收25.751（按既有收费规则）</x:v>
      </x:c>
      <x:c r="I163" s="43" t="n">
        <x:v>23.41</x:v>
      </x:c>
      <x:c r="J163" s="43" t="n">
        <x:v>25.751</x:v>
      </x:c>
      <x:c r="K163" s="43" t="n">
        <x:f>J163-D163</x:f>
        <x:v>4.971</x:v>
      </x:c>
      <x:c r="L163" s="26" t="str">
        <x:v>未发现单一共同原因，需核验报价费率、原尺寸及原发票。</x:v>
      </x:c>
      <x:c r="M163" s="26" t="str">
        <x:v>账单已对账；预付试算接近（差≤0.15）</x:v>
      </x:c>
      <x:c r="N163" s="26" t="str">
        <x:v>20260707</x:v>
      </x:c>
      <x:c r="O163" s="26" t="n">
        <x:v>4</x:v>
      </x:c>
      <x:c r="P163" s="31" t="n">
        <x:v>22.99421394588273</x:v>
      </x:c>
      <x:c r="Q163" s="31" t="n">
        <x:v>26.1</x:v>
      </x:c>
      <x:c r="R163" s="26" t="n">
        <x:v>32</x:v>
      </x:c>
      <x:c r="S163" s="26" t="n">
        <x:v>166</x:v>
      </x:c>
      <x:c r="T163" s="43" t="n">
        <x:v>30.7</x:v>
      </x:c>
      <x:c r="U163" s="43" t="n">
        <x:v>-11.97</x:v>
      </x:c>
      <x:c r="V163" s="43" t="n">
        <x:v>0</x:v>
      </x:c>
      <x:c r="W163" s="43" t="n">
        <x:v>4.68</x:v>
      </x:c>
      <x:c r="X163" s="44" t="n">
        <x:v>0.25</x:v>
      </x:c>
      <x:c r="Y163" s="30" t="b">
        <x:v>0</x:v>
      </x:c>
      <x:c r="Z163" s="26" t="n">
        <x:v>4</x:v>
      </x:c>
      <x:c r="AA163" s="26" t="n">
        <x:v>23</x:v>
      </x:c>
      <x:c r="AB163" s="26" t="n">
        <x:v>281</x:v>
      </x:c>
      <x:c r="AC163" s="43" t="n">
        <x:v>20.69</x:v>
      </x:c>
    </x:row>
    <x:row r="164" ht="135" customHeight="1">
      <x:c r="A164" s="26" t="n">
        <x:v>163</x:v>
      </x:c>
      <x:c r="B164" s="26" t="str">
        <x:v>874202849656</x:v>
      </x:c>
      <x:c r="C164" s="26" t="str">
        <x:v>EL100V2</x:v>
      </x:c>
      <x:c r="D164" s="43" t="n">
        <x:v>24.39</x:v>
      </x:c>
      <x:c r="E164" s="26" t="str">
        <x:v>反推假设：23lb、Zone5（账单Zone5）。
标准运费29.09×61%≈17.74
＋假设折后附加费0.00
＋燃油(17.74＋0.00)×25.25%≈4.48
＝预估承运成本22.22
按既有收费规则折算→预付24.44；与原预付差+0.05。</x:v>
      </x:c>
      <x:c r="F164" s="43" t="n">
        <x:v>24.44</x:v>
      </x:c>
      <x:c r="G164" s="43" t="n">
        <x:f>F164-D164</x:f>
        <x:v>0.05000000000000071</x:v>
      </x:c>
      <x:c r="H164" s="26" t="str">
        <x:v>运输费34.92
−折扣13.62
＋燃油5.38
＝承运净额26.68
账单实收29.348（按既有收费规则）</x:v>
      </x:c>
      <x:c r="I164" s="43" t="n">
        <x:v>26.68</x:v>
      </x:c>
      <x:c r="J164" s="43" t="n">
        <x:v>29.348</x:v>
      </x:c>
      <x:c r="K164" s="43" t="n">
        <x:f>J164-D164</x:f>
        <x:v>4.957999999999998</x:v>
      </x:c>
      <x:c r="L164" s="26" t="str">
        <x:v>实际比预估重5.71lb，需核对称重与申报。</x:v>
      </x:c>
      <x:c r="M164" s="26" t="str">
        <x:v>账单已对账；预付试算接近（差≤0.15）</x:v>
      </x:c>
      <x:c r="N164" s="26" t="str">
        <x:v>20260722</x:v>
      </x:c>
      <x:c r="O164" s="26" t="n">
        <x:v>5</x:v>
      </x:c>
      <x:c r="P164" s="31" t="n">
        <x:v>22.99421394588273</x:v>
      </x:c>
      <x:c r="Q164" s="31" t="n">
        <x:v>28.7</x:v>
      </x:c>
      <x:c r="R164" s="26" t="n">
        <x:v>29</x:v>
      </x:c>
      <x:c r="S164" s="26" t="n">
        <x:v>166</x:v>
      </x:c>
      <x:c r="T164" s="43" t="n">
        <x:v>34.92</x:v>
      </x:c>
      <x:c r="U164" s="43" t="n">
        <x:v>-13.62</x:v>
      </x:c>
      <x:c r="V164" s="43" t="n">
        <x:v>0</x:v>
      </x:c>
      <x:c r="W164" s="43" t="n">
        <x:v>5.38</x:v>
      </x:c>
      <x:c r="X164" s="44" t="n">
        <x:v>0.2525</x:v>
      </x:c>
      <x:c r="Y164" s="30" t="b">
        <x:v>0</x:v>
      </x:c>
      <x:c r="Z164" s="26" t="n">
        <x:v>5</x:v>
      </x:c>
      <x:c r="AA164" s="26" t="n">
        <x:v>23</x:v>
      </x:c>
      <x:c r="AB164" s="26" t="n">
        <x:v>484</x:v>
      </x:c>
      <x:c r="AC164" s="43" t="n">
        <x:v>24.44</x:v>
      </x:c>
    </x:row>
    <x:row r="165" ht="135" customHeight="1">
      <x:c r="A165" s="26" t="n">
        <x:v>164</x:v>
      </x:c>
      <x:c r="B165" s="26" t="str">
        <x:v>874026150582</x:v>
      </x:c>
      <x:c r="C165" s="26" t="str">
        <x:v>EL300</x:v>
      </x:c>
      <x:c r="D165" s="43" t="n">
        <x:v>65.55</x:v>
      </x:c>
      <x:c r="E165" s="26" t="str">
        <x:v>反推假设：58lb、Zone3（账单Zone3）。
标准运费36.96×61%≈22.55
＋假设折后附加费25.13
＋燃油(22.55＋25.13)×25.00%≈11.92
＝预估承运成本59.60
按既有收费规则折算→预付65.56；与原预付差+0.01。</x:v>
      </x:c>
      <x:c r="F165" s="43" t="n">
        <x:v>65.56</x:v>
      </x:c>
      <x:c r="G165" s="43" t="n">
        <x:f>F165-D165</x:f>
        <x:v>0.010000000000005116</x:v>
      </x:c>
      <x:c r="H165" s="26" t="str">
        <x:v>运输费42.85
−折扣16.71
＋Add'l Handling-Weight 25.12
＋燃油12.82
＝承运净额64.08
账单实收70.488（按既有收费规则）</x:v>
      </x:c>
      <x:c r="I165" s="43" t="n">
        <x:v>64.08</x:v>
      </x:c>
      <x:c r="J165" s="43" t="n">
        <x:v>70.488</x:v>
      </x:c>
      <x:c r="K165" s="43" t="n">
        <x:f>J165-D165</x:f>
        <x:v>4.938000000000002</x:v>
      </x:c>
      <x:c r="L165" s="26" t="str">
        <x:v>实际比预估重8.62lb，需核对称重与申报。</x:v>
      </x:c>
      <x:c r="M165" s="26" t="str">
        <x:v>账单已对账；预付试算接近（差≤0.15）</x:v>
      </x:c>
      <x:c r="N165" s="26" t="str">
        <x:v>20260707</x:v>
      </x:c>
      <x:c r="O165" s="26" t="n">
        <x:v>3</x:v>
      </x:c>
      <x:c r="P165" s="31" t="n">
        <x:v>57.9815749546228</x:v>
      </x:c>
      <x:c r="Q165" s="31" t="n">
        <x:v>66.6</x:v>
      </x:c>
      <x:c r="R165" s="26" t="n">
        <x:v>67</x:v>
      </x:c>
      <x:c r="S165" s="26" t="n">
        <x:v>166</x:v>
      </x:c>
      <x:c r="T165" s="43" t="n">
        <x:v>42.85</x:v>
      </x:c>
      <x:c r="U165" s="43" t="n">
        <x:v>-16.71</x:v>
      </x:c>
      <x:c r="V165" s="43" t="n">
        <x:v>25.12</x:v>
      </x:c>
      <x:c r="W165" s="43" t="n">
        <x:v>12.82</x:v>
      </x:c>
      <x:c r="X165" s="44" t="n">
        <x:v>0.25</x:v>
      </x:c>
      <x:c r="Y165" s="30" t="b">
        <x:v>0</x:v>
      </x:c>
      <x:c r="Z165" s="26" t="n">
        <x:v>3</x:v>
      </x:c>
      <x:c r="AA165" s="26" t="n">
        <x:v>58</x:v>
      </x:c>
      <x:c r="AB165" s="26" t="n">
        <x:v>276</x:v>
      </x:c>
      <x:c r="AC165" s="43" t="n">
        <x:v>65.56</x:v>
      </x:c>
    </x:row>
    <x:row r="166" ht="135" customHeight="1">
      <x:c r="A166" s="26" t="n">
        <x:v>165</x:v>
      </x:c>
      <x:c r="B166" s="26" t="str">
        <x:v>873097759126</x:v>
      </x:c>
      <x:c r="C166" s="26" t="str">
        <x:v>AC180</x:v>
      </x:c>
      <x:c r="D166" s="43" t="n">
        <x:v>52.3</x:v>
      </x:c>
      <x:c r="E166" s="26" t="str">
        <x:v>反推假设：42lb、Zone6（账单Zone6）。
标准运费58.68×61%≈35.79
＋假设折后附加费0.00
＋燃油(35.79＋0.00)×25.25%≈9.04
＝预估承运成本44.83
按既有收费规则折算→预付49.31；与原预付差-2.99。</x:v>
      </x:c>
      <x:c r="F166" s="43" t="n">
        <x:v>49.31</x:v>
      </x:c>
      <x:c r="G166" s="43" t="n">
        <x:f>F166-D166</x:f>
        <x:v>-2.989999999999995</x:v>
      </x:c>
      <x:c r="H166" s="26" t="str">
        <x:v>运输费68.03
−折扣26.53
＋燃油10.48
＝承运净额51.98
账单实收57.178（按既有收费规则）</x:v>
      </x:c>
      <x:c r="I166" s="43" t="n">
        <x:v>51.98</x:v>
      </x:c>
      <x:c r="J166" s="43" t="n">
        <x:v>57.178</x:v>
      </x:c>
      <x:c r="K166" s="43" t="n">
        <x:f>J166-D166</x:f>
        <x:v>4.878</x:v>
      </x:c>
      <x:c r="L166" s="26" t="str">
        <x:v>试算偏差较大：缺原始报价/折扣/尺寸，不能强行归因。</x:v>
      </x:c>
      <x:c r="M166" s="26" t="str">
        <x:v>账单已对账；现有假设未还原预付</x:v>
      </x:c>
      <x:c r="N166" s="26" t="str">
        <x:v>20260630</x:v>
      </x:c>
      <x:c r="O166" s="26" t="n">
        <x:v>6</x:v>
      </x:c>
      <x:c r="P166" s="31" t="n">
        <x:v>41.99806094621918</x:v>
      </x:c>
      <x:c r="Q166" s="31" t="n">
        <x:v>45.4</x:v>
      </x:c>
      <x:c r="R166" s="26" t="n">
        <x:v>57</x:v>
      </x:c>
      <x:c r="S166" s="26" t="n">
        <x:v>166</x:v>
      </x:c>
      <x:c r="T166" s="43" t="n">
        <x:v>68.03</x:v>
      </x:c>
      <x:c r="U166" s="43" t="n">
        <x:v>-26.53</x:v>
      </x:c>
      <x:c r="V166" s="43" t="n">
        <x:v>0</x:v>
      </x:c>
      <x:c r="W166" s="43" t="n">
        <x:v>10.48</x:v>
      </x:c>
      <x:c r="X166" s="44" t="n">
        <x:v>0.2525</x:v>
      </x:c>
      <x:c r="Y166" s="30" t="b">
        <x:v>0</x:v>
      </x:c>
      <x:c r="Z166" s="26" t="n">
        <x:v>6</x:v>
      </x:c>
      <x:c r="AA166" s="26" t="n">
        <x:v>42</x:v>
      </x:c>
      <x:c r="AB166" s="26" t="n">
        <x:v>211</x:v>
      </x:c>
      <x:c r="AC166" s="43" t="n">
        <x:v>49.31</x:v>
      </x:c>
    </x:row>
    <x:row r="167" ht="135" customHeight="1">
      <x:c r="A167" s="26" t="n">
        <x:v>166</x:v>
      </x:c>
      <x:c r="B167" s="26" t="str">
        <x:v>873750602294</x:v>
      </x:c>
      <x:c r="C167" s="26" t="str">
        <x:v>AC70</x:v>
      </x:c>
      <x:c r="D167" s="43" t="n">
        <x:v>24.44</x:v>
      </x:c>
      <x:c r="E167" s="26" t="str">
        <x:v>反推假设：23lb、Zone5（账单Zone5）。
标准运费29.09×61%≈17.74
＋假设折后附加费0.00
＋燃油(17.74＋0.00)×25.25%≈4.48
＝预估承运成本22.22
按既有收费规则折算→预付24.44；与原预付差+0.00。</x:v>
      </x:c>
      <x:c r="F167" s="43" t="n">
        <x:v>24.44</x:v>
      </x:c>
      <x:c r="G167" s="43" t="n">
        <x:f>F167-D167</x:f>
        <x:v>0</x:v>
      </x:c>
      <x:c r="H167" s="26" t="str">
        <x:v>运输费34.65
−折扣13.51
＋燃油5.34
＝承运净额26.48
账单实收29.128（按既有收费规则）</x:v>
      </x:c>
      <x:c r="I167" s="43" t="n">
        <x:v>26.48</x:v>
      </x:c>
      <x:c r="J167" s="43" t="n">
        <x:v>29.128</x:v>
      </x:c>
      <x:c r="K167" s="43" t="n">
        <x:f>J167-D167</x:f>
        <x:v>4.687999999999999</x:v>
      </x:c>
      <x:c r="L167" s="26" t="str">
        <x:v>实际比预估重5.01lb，需核对称重与申报。</x:v>
      </x:c>
      <x:c r="M167" s="26" t="str">
        <x:v>账单已对账；预付试算接近（差≤0.15）</x:v>
      </x:c>
      <x:c r="N167" s="26" t="str">
        <x:v>20260701</x:v>
      </x:c>
      <x:c r="O167" s="26" t="n">
        <x:v>5</x:v>
      </x:c>
      <x:c r="P167" s="31" t="n">
        <x:v>22.487150742857512</x:v>
      </x:c>
      <x:c r="Q167" s="31" t="n">
        <x:v>27.5</x:v>
      </x:c>
      <x:c r="R167" s="26" t="n">
        <x:v>28</x:v>
      </x:c>
      <x:c r="S167" s="26" t="n">
        <x:v>166</x:v>
      </x:c>
      <x:c r="T167" s="43" t="n">
        <x:v>34.65</x:v>
      </x:c>
      <x:c r="U167" s="43" t="n">
        <x:v>-13.51</x:v>
      </x:c>
      <x:c r="V167" s="43" t="n">
        <x:v>0</x:v>
      </x:c>
      <x:c r="W167" s="43" t="n">
        <x:v>5.34</x:v>
      </x:c>
      <x:c r="X167" s="44" t="n">
        <x:v>0.2525</x:v>
      </x:c>
      <x:c r="Y167" s="30" t="b">
        <x:v>0</x:v>
      </x:c>
      <x:c r="Z167" s="26" t="n">
        <x:v>5</x:v>
      </x:c>
      <x:c r="AA167" s="26" t="n">
        <x:v>23</x:v>
      </x:c>
      <x:c r="AB167" s="26" t="n">
        <x:v>231</x:v>
      </x:c>
      <x:c r="AC167" s="43" t="n">
        <x:v>24.44</x:v>
      </x:c>
    </x:row>
    <x:row r="168" ht="135" customHeight="1">
      <x:c r="A168" s="26" t="n">
        <x:v>167</x:v>
      </x:c>
      <x:c r="B168" s="26" t="str">
        <x:v>875031214446</x:v>
      </x:c>
      <x:c r="C168" s="26" t="str">
        <x:v>EL100V2</x:v>
      </x:c>
      <x:c r="D168" s="43" t="n">
        <x:v>20.83</x:v>
      </x:c>
      <x:c r="E168" s="26" t="str">
        <x:v>缺核对明细，无法重建预付；原预付仅按基础表保留。</x:v>
      </x:c>
      <x:c r="F168" s="43"/>
      <x:c r="G168" s="43"/>
      <x:c r="H168" s="26" t="str">
        <x:v>缺原始核对明细，无法拆分。</x:v>
      </x:c>
      <x:c r="I168" s="43"/>
      <x:c r="J168" s="43" t="n">
        <x:v>25.487</x:v>
      </x:c>
      <x:c r="K168" s="43" t="n">
        <x:f>J168-D168</x:f>
        <x:v>4.657</x:v>
      </x:c>
      <x:c r="L168" s="26" t="str">
        <x:v>核对表无唯一匹配费用明细，无法确认差距原因；需补原始FedEx账单。</x:v>
      </x:c>
      <x:c r="M168" s="26" t="str">
        <x:v>缺核对明细，原因未确认</x:v>
      </x:c>
      <x:c r="N168" s="26"/>
      <x:c r="O168" s="26"/>
      <x:c r="P168" s="31"/>
      <x:c r="Q168" s="31"/>
      <x:c r="R168" s="26"/>
      <x:c r="S168" s="26"/>
      <x:c r="T168" s="43"/>
      <x:c r="U168" s="43"/>
      <x:c r="V168" s="43"/>
      <x:c r="W168" s="43"/>
      <x:c r="X168" s="44"/>
      <x:c r="Y168" s="26"/>
      <x:c r="Z168" s="26"/>
      <x:c r="AA168" s="26"/>
      <x:c r="AB168" s="26"/>
      <x:c r="AC168" s="43"/>
    </x:row>
    <x:row r="169" ht="135" customHeight="1">
      <x:c r="A169" s="26" t="n">
        <x:v>168</x:v>
      </x:c>
      <x:c r="B169" s="26" t="str">
        <x:v>874871197059</x:v>
      </x:c>
      <x:c r="C169" s="26" t="str">
        <x:v>AC70</x:v>
      </x:c>
      <x:c r="D169" s="43" t="n">
        <x:v>19.58</x:v>
      </x:c>
      <x:c r="E169" s="26" t="str">
        <x:v>缺核对明细，无法重建预付；原预付仅按基础表保留。</x:v>
      </x:c>
      <x:c r="F169" s="43"/>
      <x:c r="G169" s="43"/>
      <x:c r="H169" s="26" t="str">
        <x:v>缺原始核对明细，无法拆分。</x:v>
      </x:c>
      <x:c r="I169" s="43"/>
      <x:c r="J169" s="43" t="n">
        <x:v>24.233</x:v>
      </x:c>
      <x:c r="K169" s="43" t="n">
        <x:f>J169-D169</x:f>
        <x:v>4.653000000000002</x:v>
      </x:c>
      <x:c r="L169" s="26" t="str">
        <x:v>核对表无唯一匹配费用明细，无法确认差距原因；需补原始FedEx账单。</x:v>
      </x:c>
      <x:c r="M169" s="26" t="str">
        <x:v>缺核对明细，原因未确认</x:v>
      </x:c>
      <x:c r="N169" s="26"/>
      <x:c r="O169" s="26"/>
      <x:c r="P169" s="31"/>
      <x:c r="Q169" s="31"/>
      <x:c r="R169" s="26"/>
      <x:c r="S169" s="26"/>
      <x:c r="T169" s="43"/>
      <x:c r="U169" s="43"/>
      <x:c r="V169" s="43"/>
      <x:c r="W169" s="43"/>
      <x:c r="X169" s="44"/>
      <x:c r="Y169" s="26"/>
      <x:c r="Z169" s="26"/>
      <x:c r="AA169" s="26"/>
      <x:c r="AB169" s="26"/>
      <x:c r="AC169" s="43"/>
    </x:row>
    <x:row r="170" ht="135" customHeight="1">
      <x:c r="A170" s="26" t="n">
        <x:v>169</x:v>
      </x:c>
      <x:c r="B170" s="26" t="str">
        <x:v>873755731950</x:v>
      </x:c>
      <x:c r="C170" s="26" t="str">
        <x:v>AC70</x:v>
      </x:c>
      <x:c r="D170" s="43" t="n">
        <x:v>24.44</x:v>
      </x:c>
      <x:c r="E170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F170" s="43" t="n">
        <x:v>24.4</x:v>
      </x:c>
      <x:c r="G170" s="43" t="n">
        <x:f>F170-D170</x:f>
        <x:v>-0.0400000000000027</x:v>
      </x:c>
      <x:c r="H170" s="26" t="str">
        <x:v>运输费34.65
−折扣13.51
＋燃油5.29
＝承运净额26.43
账单实收29.073（按既有收费规则）</x:v>
      </x:c>
      <x:c r="I170" s="43" t="n">
        <x:v>26.43</x:v>
      </x:c>
      <x:c r="J170" s="43" t="n">
        <x:v>29.073</x:v>
      </x:c>
      <x:c r="K170" s="43" t="n">
        <x:f>J170-D170</x:f>
        <x:v>4.632999999999999</x:v>
      </x:c>
      <x:c r="L170" s="26" t="str">
        <x:v>未发现单一共同原因，需核验报价费率、原尺寸及原发票。</x:v>
      </x:c>
      <x:c r="M170" s="26" t="str">
        <x:v>账单已对账；预付试算接近（差≤0.15）</x:v>
      </x:c>
      <x:c r="N170" s="26" t="str">
        <x:v>20260708</x:v>
      </x:c>
      <x:c r="O170" s="26" t="n">
        <x:v>5</x:v>
      </x:c>
      <x:c r="P170" s="31" t="n">
        <x:v>22.99421394588273</x:v>
      </x:c>
      <x:c r="Q170" s="31" t="n">
        <x:v>27.4</x:v>
      </x:c>
      <x:c r="R170" s="26" t="n">
        <x:v>28</x:v>
      </x:c>
      <x:c r="S170" s="26" t="n">
        <x:v>166</x:v>
      </x:c>
      <x:c r="T170" s="43" t="n">
        <x:v>34.65</x:v>
      </x:c>
      <x:c r="U170" s="43" t="n">
        <x:v>-13.51</x:v>
      </x:c>
      <x:c r="V170" s="43" t="n">
        <x:v>0</x:v>
      </x:c>
      <x:c r="W170" s="43" t="n">
        <x:v>5.29</x:v>
      </x:c>
      <x:c r="X170" s="44" t="n">
        <x:v>0.25</x:v>
      </x:c>
      <x:c r="Y170" s="30" t="b">
        <x:v>0</x:v>
      </x:c>
      <x:c r="Z170" s="26" t="n">
        <x:v>5</x:v>
      </x:c>
      <x:c r="AA170" s="26" t="n">
        <x:v>23</x:v>
      </x:c>
      <x:c r="AB170" s="26" t="n">
        <x:v>318</x:v>
      </x:c>
      <x:c r="AC170" s="43" t="n">
        <x:v>24.4</x:v>
      </x:c>
    </x:row>
    <x:row r="171" ht="135" customHeight="1">
      <x:c r="A171" s="26" t="n">
        <x:v>170</x:v>
      </x:c>
      <x:c r="B171" s="26" t="str">
        <x:v>873910736860</x:v>
      </x:c>
      <x:c r="C171" s="26" t="str">
        <x:v>EL100V2</x:v>
      </x:c>
      <x:c r="D171" s="43" t="n">
        <x:v>24.44</x:v>
      </x:c>
      <x:c r="E171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F171" s="43" t="n">
        <x:v>24.4</x:v>
      </x:c>
      <x:c r="G171" s="43" t="n">
        <x:f>F171-D171</x:f>
        <x:v>-0.0400000000000027</x:v>
      </x:c>
      <x:c r="H171" s="26" t="str">
        <x:v>运输费34.65
−折扣13.51
＋燃油5.29
＝承运净额26.43
账单实收29.073（按既有收费规则）</x:v>
      </x:c>
      <x:c r="I171" s="43" t="n">
        <x:v>26.43</x:v>
      </x:c>
      <x:c r="J171" s="43" t="n">
        <x:v>29.073</x:v>
      </x:c>
      <x:c r="K171" s="43" t="n">
        <x:f>J171-D171</x:f>
        <x:v>4.632999999999999</x:v>
      </x:c>
      <x:c r="L171" s="26" t="str">
        <x:v>实际比预估重5.11lb，需核对称重与申报。</x:v>
      </x:c>
      <x:c r="M171" s="26" t="str">
        <x:v>账单已对账；预付试算接近（差≤0.15）</x:v>
      </x:c>
      <x:c r="N171" s="26" t="str">
        <x:v>20260706</x:v>
      </x:c>
      <x:c r="O171" s="26" t="n">
        <x:v>5</x:v>
      </x:c>
      <x:c r="P171" s="31" t="n">
        <x:v>22.99421394588273</x:v>
      </x:c>
      <x:c r="Q171" s="31" t="n">
        <x:v>28.1</x:v>
      </x:c>
      <x:c r="R171" s="26" t="n">
        <x:v>28</x:v>
      </x:c>
      <x:c r="S171" s="26" t="n">
        <x:v>166</x:v>
      </x:c>
      <x:c r="T171" s="43" t="n">
        <x:v>34.65</x:v>
      </x:c>
      <x:c r="U171" s="43" t="n">
        <x:v>-13.51</x:v>
      </x:c>
      <x:c r="V171" s="43" t="n">
        <x:v>0</x:v>
      </x:c>
      <x:c r="W171" s="43" t="n">
        <x:v>5.29</x:v>
      </x:c>
      <x:c r="X171" s="44" t="n">
        <x:v>0.25</x:v>
      </x:c>
      <x:c r="Y171" s="30" t="b">
        <x:v>0</x:v>
      </x:c>
      <x:c r="Z171" s="26" t="n">
        <x:v>5</x:v>
      </x:c>
      <x:c r="AA171" s="26" t="n">
        <x:v>23</x:v>
      </x:c>
      <x:c r="AB171" s="26" t="n">
        <x:v>269</x:v>
      </x:c>
      <x:c r="AC171" s="43" t="n">
        <x:v>24.4</x:v>
      </x:c>
    </x:row>
    <x:row r="172" ht="135" customHeight="1">
      <x:c r="A172" s="26" t="n">
        <x:v>171</x:v>
      </x:c>
      <x:c r="B172" s="26" t="str">
        <x:v>873747342683</x:v>
      </x:c>
      <x:c r="C172" s="26" t="str">
        <x:v>AC180</x:v>
      </x:c>
      <x:c r="D172" s="43" t="n">
        <x:v>36.51</x:v>
      </x:c>
      <x:c r="E172" s="26" t="str">
        <x:v>反推假设：38lb、Zone5（账单Zone5）。
标准运费43.44×61%≈26.50
＋假设折后附加费0.00
＋燃油(26.50＋0.00)×25.25%≈6.69
＝预估承运成本33.19
按既有收费规则折算→预付36.51；与原预付差+0.00。</x:v>
      </x:c>
      <x:c r="F172" s="43" t="n">
        <x:v>36.51</x:v>
      </x:c>
      <x:c r="G172" s="43" t="n">
        <x:f>F172-D172</x:f>
        <x:v>0</x:v>
      </x:c>
      <x:c r="H172" s="26" t="str">
        <x:v>运输费48.91
−折扣19.07
＋燃油7.53
＝承运净额37.37
账单实收41.107（按既有收费规则）</x:v>
      </x:c>
      <x:c r="I172" s="43" t="n">
        <x:v>37.37</x:v>
      </x:c>
      <x:c r="J172" s="43" t="n">
        <x:v>41.107</x:v>
      </x:c>
      <x:c r="K172" s="43" t="n">
        <x:f>J172-D172</x:f>
        <x:v>4.597000000000001</x:v>
      </x:c>
      <x:c r="L172" s="26" t="str">
        <x:v>未发现单一共同原因，需核验报价费率、原尺寸及原发票。</x:v>
      </x:c>
      <x:c r="M172" s="26" t="str">
        <x:v>账单已对账；预付试算接近（差≤0.15）</x:v>
      </x:c>
      <x:c r="N172" s="26" t="str">
        <x:v>20260630</x:v>
      </x:c>
      <x:c r="O172" s="26" t="n">
        <x:v>5</x:v>
      </x:c>
      <x:c r="P172" s="31" t="n">
        <x:v>37.98564777445441</x:v>
      </x:c>
      <x:c r="Q172" s="31" t="n">
        <x:v>42.3</x:v>
      </x:c>
      <x:c r="R172" s="26" t="n">
        <x:v>43</x:v>
      </x:c>
      <x:c r="S172" s="26" t="n">
        <x:v>166</x:v>
      </x:c>
      <x:c r="T172" s="43" t="n">
        <x:v>48.91</x:v>
      </x:c>
      <x:c r="U172" s="43" t="n">
        <x:v>-19.07</x:v>
      </x:c>
      <x:c r="V172" s="43" t="n">
        <x:v>0</x:v>
      </x:c>
      <x:c r="W172" s="43" t="n">
        <x:v>7.53</x:v>
      </x:c>
      <x:c r="X172" s="44" t="n">
        <x:v>0.2525</x:v>
      </x:c>
      <x:c r="Y172" s="30" t="b">
        <x:v>0</x:v>
      </x:c>
      <x:c r="Z172" s="26" t="n">
        <x:v>5</x:v>
      </x:c>
      <x:c r="AA172" s="26" t="n">
        <x:v>38</x:v>
      </x:c>
      <x:c r="AB172" s="26" t="n">
        <x:v>228</x:v>
      </x:c>
      <x:c r="AC172" s="43" t="n">
        <x:v>36.51</x:v>
      </x:c>
    </x:row>
    <x:row r="173" ht="135" customHeight="1">
      <x:c r="A173" s="26" t="n">
        <x:v>172</x:v>
      </x:c>
      <x:c r="B173" s="26" t="str">
        <x:v>874402086860</x:v>
      </x:c>
      <x:c r="C173" s="26" t="str">
        <x:v>EL00V2</x:v>
      </x:c>
      <x:c r="D173" s="43" t="n">
        <x:v>20.7</x:v>
      </x:c>
      <x:c r="E173" s="26" t="str">
        <x:v>反推假设：23lb、Zone4（账单Zone4）。
标准运费24.68×61%≈15.05
＋假设折后附加费0.00
＋燃油(15.05＋0.00)×25.00%≈3.76
＝预估承运成本18.81
按既有收费规则折算→预付20.69；与原预付差-0.01。</x:v>
      </x:c>
      <x:c r="F173" s="43" t="n">
        <x:v>20.69</x:v>
      </x:c>
      <x:c r="G173" s="43" t="n">
        <x:f>F173-D173</x:f>
        <x:v>-0.00999999999999801</x:v>
      </x:c>
      <x:c r="H173" s="26" t="str">
        <x:v>运输费30.08
−折扣11.73
＋燃油4.59
＝承运净额22.94
账单实收25.234（按既有收费规则）</x:v>
      </x:c>
      <x:c r="I173" s="43" t="n">
        <x:v>22.94</x:v>
      </x:c>
      <x:c r="J173" s="43" t="n">
        <x:v>25.234</x:v>
      </x:c>
      <x:c r="K173" s="43" t="n">
        <x:f>J173-D173</x:f>
        <x:v>4.5340000000000025</x:v>
      </x:c>
      <x:c r="L173" s="26" t="str">
        <x:v>实际比预估重6.71lb，需核对称重与申报。</x:v>
      </x:c>
      <x:c r="M173" s="26" t="str">
        <x:v>账单已对账；预付试算接近（差≤0.15）</x:v>
      </x:c>
      <x:c r="N173" s="26" t="str">
        <x:v>20260717</x:v>
      </x:c>
      <x:c r="O173" s="26" t="n">
        <x:v>4</x:v>
      </x:c>
      <x:c r="P173" s="31" t="n">
        <x:v>22.99421394588273</x:v>
      </x:c>
      <x:c r="Q173" s="31" t="n">
        <x:v>29.7</x:v>
      </x:c>
      <x:c r="R173" s="26" t="n">
        <x:v>30</x:v>
      </x:c>
      <x:c r="S173" s="26" t="n">
        <x:v>166</x:v>
      </x:c>
      <x:c r="T173" s="43" t="n">
        <x:v>30.08</x:v>
      </x:c>
      <x:c r="U173" s="43" t="n">
        <x:v>-11.73</x:v>
      </x:c>
      <x:c r="V173" s="43" t="n">
        <x:v>0</x:v>
      </x:c>
      <x:c r="W173" s="43" t="n">
        <x:v>4.59</x:v>
      </x:c>
      <x:c r="X173" s="44" t="n">
        <x:v>0.25</x:v>
      </x:c>
      <x:c r="Y173" s="30" t="b">
        <x:v>0</x:v>
      </x:c>
      <x:c r="Z173" s="26" t="n">
        <x:v>4</x:v>
      </x:c>
      <x:c r="AA173" s="26" t="n">
        <x:v>23</x:v>
      </x:c>
      <x:c r="AB173" s="26" t="n">
        <x:v>467</x:v>
      </x:c>
      <x:c r="AC173" s="43" t="n">
        <x:v>20.69</x:v>
      </x:c>
    </x:row>
    <x:row r="174" ht="135" customHeight="1">
      <x:c r="A174" s="26" t="n">
        <x:v>173</x:v>
      </x:c>
      <x:c r="B174" s="26" t="str">
        <x:v>874031007832</x:v>
      </x:c>
      <x:c r="C174" s="26" t="str">
        <x:v>EL200</x:v>
      </x:c>
      <x:c r="D174" s="43" t="n">
        <x:v>84.13</x:v>
      </x:c>
      <x:c r="E174" s="26" t="str">
        <x:v>反推假设：56lb、Zone5（账单Zone5）。
标准运费54.19×61%≈33.06
＋假设折后附加费28.13
＋燃油(33.06＋28.13)×25.00%≈15.30
＝预估承运成本76.49
按既有收费规则折算→预付84.14；与原预付差+0.01。</x:v>
      </x:c>
      <x:c r="F174" s="43" t="n">
        <x:v>84.14</x:v>
      </x:c>
      <x:c r="G174" s="43" t="n">
        <x:f>F174-D174</x:f>
        <x:v>0.010000000000005116</x:v>
      </x:c>
      <x:c r="H174" s="26" t="str">
        <x:v>运输费59.60
−折扣23.24
＋Add'l Handling-Weight 28.12
＋燃油16.12
＝承运净额80.60
账单实收88.660（按既有收费规则）</x:v>
      </x:c>
      <x:c r="I174" s="43" t="n">
        <x:v>80.6</x:v>
      </x:c>
      <x:c r="J174" s="43" t="n">
        <x:v>88.66</x:v>
      </x:c>
      <x:c r="K174" s="43" t="n">
        <x:f>J174-D174</x:f>
        <x:v>4.530000000000001</x:v>
      </x:c>
      <x:c r="L174" s="26" t="str">
        <x:v>实际比预估重5.20lb，需核对称重与申报。</x:v>
      </x:c>
      <x:c r="M174" s="26" t="str">
        <x:v>账单已对账；预付试算接近（差≤0.15）</x:v>
      </x:c>
      <x:c r="N174" s="26" t="str">
        <x:v>20260715</x:v>
      </x:c>
      <x:c r="O174" s="26" t="n">
        <x:v>5</x:v>
      </x:c>
      <x:c r="P174" s="31" t="n">
        <x:v>55.9974145949589</x:v>
      </x:c>
      <x:c r="Q174" s="31" t="n">
        <x:v>61.2</x:v>
      </x:c>
      <x:c r="R174" s="26" t="n">
        <x:v>62</x:v>
      </x:c>
      <x:c r="S174" s="26" t="n">
        <x:v>166</x:v>
      </x:c>
      <x:c r="T174" s="43" t="n">
        <x:v>59.6</x:v>
      </x:c>
      <x:c r="U174" s="43" t="n">
        <x:v>-23.24</x:v>
      </x:c>
      <x:c r="V174" s="43" t="n">
        <x:v>28.12</x:v>
      </x:c>
      <x:c r="W174" s="43" t="n">
        <x:v>16.12</x:v>
      </x:c>
      <x:c r="X174" s="44" t="n">
        <x:v>0.25</x:v>
      </x:c>
      <x:c r="Y174" s="30" t="b">
        <x:v>0</x:v>
      </x:c>
      <x:c r="Z174" s="26" t="n">
        <x:v>5</x:v>
      </x:c>
      <x:c r="AA174" s="26" t="n">
        <x:v>56</x:v>
      </x:c>
      <x:c r="AB174" s="26" t="n">
        <x:v>455</x:v>
      </x:c>
      <x:c r="AC174" s="43" t="n">
        <x:v>84.14</x:v>
      </x:c>
    </x:row>
    <x:row r="175" ht="135" customHeight="1">
      <x:c r="A175" s="26" t="n">
        <x:v>174</x:v>
      </x:c>
      <x:c r="B175" s="26" t="str">
        <x:v>873109423812</x:v>
      </x:c>
      <x:c r="C175" s="26"/>
      <x:c r="D175" s="43" t="n">
        <x:v>27.46</x:v>
      </x:c>
      <x:c r="E175" s="26" t="str">
        <x:v>反推假设：7lb、Zone8（账单Zone7）。
标准运费22.51×61%≈13.73
＋假设折后附加费0.00
＋燃油(13.73＋0.00)×26.00%≈3.57
＝预估承运成本17.30
按既有收费规则折算→预付19.03；与原预付差-8.43。</x:v>
      </x:c>
      <x:c r="F175" s="43" t="n">
        <x:v>19.03</x:v>
      </x:c>
      <x:c r="G175" s="43" t="n">
        <x:f>F175-D175</x:f>
        <x:v>-8.43</x:v>
      </x:c>
      <x:c r="H175" s="26" t="str">
        <x:v>运输费29.04
−折扣10.16
＋DAS Commercial 2.22
＋燃油5.49
＝承运净额26.59
账单实收31.908（按既有收费规则）</x:v>
      </x:c>
      <x:c r="I175" s="43" t="n">
        <x:v>26.59</x:v>
      </x:c>
      <x:c r="J175" s="43" t="n">
        <x:v>31.908</x:v>
      </x:c>
      <x:c r="K175" s="43" t="n">
        <x:f>J175-D175</x:f>
        <x:v>4.448</x:v>
      </x:c>
      <x:c r="L175" s="26" t="str">
        <x:v>核对明细列有派送区域/偏远费2.22美元；是否在预付中漏估尚未确认。
实际比预估重5.21lb，需核对称重与申报。
预付反推Zone8，最终Zone7；不代表分区错误，需查原邮编与合同。
试算偏差较大：缺原始报价/折扣/尺寸，不能强行归因。</x:v>
      </x:c>
      <x:c r="M175" s="26" t="str">
        <x:v>账单已对账；现有假设未还原预付</x:v>
      </x:c>
      <x:c r="N175" s="26" t="str">
        <x:v>20260616</x:v>
      </x:c>
      <x:c r="O175" s="26" t="n">
        <x:v>7</x:v>
      </x:c>
      <x:c r="P175" s="31" t="n">
        <x:v>6.988653711260619</x:v>
      </x:c>
      <x:c r="Q175" s="31" t="n">
        <x:v>12.2</x:v>
      </x:c>
      <x:c r="R175" s="26" t="n">
        <x:v>13</x:v>
      </x:c>
      <x:c r="S175" s="26" t="n">
        <x:v>166</x:v>
      </x:c>
      <x:c r="T175" s="43" t="n">
        <x:v>29.04</x:v>
      </x:c>
      <x:c r="U175" s="43" t="n">
        <x:v>-10.16</x:v>
      </x:c>
      <x:c r="V175" s="43" t="n">
        <x:v>2.22</x:v>
      </x:c>
      <x:c r="W175" s="43" t="n">
        <x:v>5.49</x:v>
      </x:c>
      <x:c r="X175" s="44" t="n">
        <x:v>0.26</x:v>
      </x:c>
      <x:c r="Y175" s="30" t="b">
        <x:v>0</x:v>
      </x:c>
      <x:c r="Z175" s="26" t="n">
        <x:v>8</x:v>
      </x:c>
      <x:c r="AA175" s="26" t="n">
        <x:v>7</x:v>
      </x:c>
      <x:c r="AB175" s="26" t="n">
        <x:v>72</x:v>
      </x:c>
      <x:c r="AC175" s="43" t="n">
        <x:v>17.79</x:v>
      </x:c>
    </x:row>
    <x:row r="176" ht="135" customHeight="1">
      <x:c r="A176" s="26" t="n">
        <x:v>175</x:v>
      </x:c>
      <x:c r="B176" s="26" t="str">
        <x:v>873109423503</x:v>
      </x:c>
      <x:c r="C176" s="26"/>
      <x:c r="D176" s="43" t="n">
        <x:v>28.3</x:v>
      </x:c>
      <x:c r="E176" s="26" t="str">
        <x:v>反推假设：7lb、Zone8（账单Zone7）。
标准运费22.51×61%≈13.73
＋假设折后附加费0.00
＋燃油(13.73＋0.00)×26.00%≈3.57
＝预估承运成本17.30
按既有收费规则折算→预付19.03；与原预付差-9.27。</x:v>
      </x:c>
      <x:c r="F176" s="43" t="n">
        <x:v>19.03</x:v>
      </x:c>
      <x:c r="G176" s="43" t="n">
        <x:f>F176-D176</x:f>
        <x:v>-9.27</x:v>
      </x:c>
      <x:c r="H176" s="26" t="str">
        <x:v>运输费29.04
−折扣10.16
＋DAS Extended Commercial 2.77
＋燃油5.63
＝承运净额27.28
账单实收32.736（按既有收费规则）</x:v>
      </x:c>
      <x:c r="I176" s="43" t="n">
        <x:v>27.28</x:v>
      </x:c>
      <x:c r="J176" s="43" t="n">
        <x:v>32.736</x:v>
      </x:c>
      <x:c r="K176" s="43" t="n">
        <x:f>J176-D176</x:f>
        <x:v>4.435999999999996</x:v>
      </x:c>
      <x:c r="L176" s="26" t="str">
        <x:v>核对明细列有派送区域/偏远费2.77美元；是否在预付中漏估尚未确认。
实际比预估重5.51lb，需核对称重与申报。
预付反推Zone8，最终Zone7；不代表分区错误，需查原邮编与合同。
试算偏差较大：缺原始报价/折扣/尺寸，不能强行归因。</x:v>
      </x:c>
      <x:c r="M176" s="26" t="str">
        <x:v>账单已对账；现有假设未还原预付</x:v>
      </x:c>
      <x:c r="N176" s="26" t="str">
        <x:v>20260616</x:v>
      </x:c>
      <x:c r="O176" s="26" t="n">
        <x:v>7</x:v>
      </x:c>
      <x:c r="P176" s="31" t="n">
        <x:v>6.988653711260619</x:v>
      </x:c>
      <x:c r="Q176" s="31" t="n">
        <x:v>12.5</x:v>
      </x:c>
      <x:c r="R176" s="26" t="n">
        <x:v>13</x:v>
      </x:c>
      <x:c r="S176" s="26" t="n">
        <x:v>166</x:v>
      </x:c>
      <x:c r="T176" s="43" t="n">
        <x:v>29.04</x:v>
      </x:c>
      <x:c r="U176" s="43" t="n">
        <x:v>-10.16</x:v>
      </x:c>
      <x:c r="V176" s="43" t="n">
        <x:v>2.77</x:v>
      </x:c>
      <x:c r="W176" s="43" t="n">
        <x:v>5.63</x:v>
      </x:c>
      <x:c r="X176" s="44" t="n">
        <x:v>0.26</x:v>
      </x:c>
      <x:c r="Y176" s="30" t="b">
        <x:v>0</x:v>
      </x:c>
      <x:c r="Z176" s="26" t="n">
        <x:v>8</x:v>
      </x:c>
      <x:c r="AA176" s="26" t="n">
        <x:v>7</x:v>
      </x:c>
      <x:c r="AB176" s="26" t="n">
        <x:v>71</x:v>
      </x:c>
      <x:c r="AC176" s="43" t="n">
        <x:v>17.79</x:v>
      </x:c>
    </x:row>
    <x:row r="177" ht="135" customHeight="1">
      <x:c r="A177" s="26" t="n">
        <x:v>176</x:v>
      </x:c>
      <x:c r="B177" s="26" t="str">
        <x:v>873109424418</x:v>
      </x:c>
      <x:c r="C177" s="26"/>
      <x:c r="D177" s="43" t="n">
        <x:v>28.3</x:v>
      </x:c>
      <x:c r="E177" s="26" t="str">
        <x:v>反推假设：7lb、Zone8（账单Zone7）。
标准运费22.51×61%≈13.73
＋假设折后附加费0.00
＋燃油(13.73＋0.00)×26.00%≈3.57
＝预估承运成本17.30
按既有收费规则折算→预付19.03；与原预付差-9.27。</x:v>
      </x:c>
      <x:c r="F177" s="43" t="n">
        <x:v>19.03</x:v>
      </x:c>
      <x:c r="G177" s="43" t="n">
        <x:f>F177-D177</x:f>
        <x:v>-9.27</x:v>
      </x:c>
      <x:c r="H177" s="26" t="str">
        <x:v>运输费29.04
−折扣10.16
＋DAS Extended Commercial 2.77
＋燃油5.63
＝承运净额27.28
账单实收32.736（按既有收费规则）</x:v>
      </x:c>
      <x:c r="I177" s="43" t="n">
        <x:v>27.28</x:v>
      </x:c>
      <x:c r="J177" s="43" t="n">
        <x:v>32.736</x:v>
      </x:c>
      <x:c r="K177" s="43" t="n">
        <x:f>J177-D177</x:f>
        <x:v>4.435999999999996</x:v>
      </x:c>
      <x:c r="L177" s="26" t="str">
        <x:v>核对明细列有派送区域/偏远费2.77美元；是否在预付中漏估尚未确认。
实际比预估重5.51lb，需核对称重与申报。
预付反推Zone8，最终Zone7；不代表分区错误，需查原邮编与合同。
试算偏差较大：缺原始报价/折扣/尺寸，不能强行归因。</x:v>
      </x:c>
      <x:c r="M177" s="26" t="str">
        <x:v>账单已对账；现有假设未还原预付</x:v>
      </x:c>
      <x:c r="N177" s="26" t="str">
        <x:v>20260616</x:v>
      </x:c>
      <x:c r="O177" s="26" t="n">
        <x:v>7</x:v>
      </x:c>
      <x:c r="P177" s="31" t="n">
        <x:v>6.988653711260619</x:v>
      </x:c>
      <x:c r="Q177" s="31" t="n">
        <x:v>12.5</x:v>
      </x:c>
      <x:c r="R177" s="26" t="n">
        <x:v>13</x:v>
      </x:c>
      <x:c r="S177" s="26" t="n">
        <x:v>166</x:v>
      </x:c>
      <x:c r="T177" s="43" t="n">
        <x:v>29.04</x:v>
      </x:c>
      <x:c r="U177" s="43" t="n">
        <x:v>-10.16</x:v>
      </x:c>
      <x:c r="V177" s="43" t="n">
        <x:v>2.77</x:v>
      </x:c>
      <x:c r="W177" s="43" t="n">
        <x:v>5.63</x:v>
      </x:c>
      <x:c r="X177" s="44" t="n">
        <x:v>0.26</x:v>
      </x:c>
      <x:c r="Y177" s="30" t="b">
        <x:v>0</x:v>
      </x:c>
      <x:c r="Z177" s="26" t="n">
        <x:v>8</x:v>
      </x:c>
      <x:c r="AA177" s="26" t="n">
        <x:v>7</x:v>
      </x:c>
      <x:c r="AB177" s="26" t="n">
        <x:v>73</x:v>
      </x:c>
      <x:c r="AC177" s="43" t="n">
        <x:v>17.79</x:v>
      </x:c>
    </x:row>
    <x:row r="178" ht="135" customHeight="1">
      <x:c r="A178" s="26" t="n">
        <x:v>177</x:v>
      </x:c>
      <x:c r="B178" s="26" t="str">
        <x:v>873424570680</x:v>
      </x:c>
      <x:c r="C178" s="26" t="str">
        <x:v>EL100V2</x:v>
      </x:c>
      <x:c r="D178" s="43" t="n">
        <x:v>26.31</x:v>
      </x:c>
      <x:c r="E178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F178" s="43" t="n">
        <x:v>26.3</x:v>
      </x:c>
      <x:c r="G178" s="43" t="n">
        <x:f>F178-D178</x:f>
        <x:v>-0.00999999999999801</x:v>
      </x:c>
      <x:c r="H178" s="26" t="str">
        <x:v>运输费36.49
−折扣14.23
＋燃油5.68
＝承运净额27.94
账单实收30.734（按既有收费规则）</x:v>
      </x:c>
      <x:c r="I178" s="43" t="n">
        <x:v>27.94</x:v>
      </x:c>
      <x:c r="J178" s="43" t="n">
        <x:v>30.734</x:v>
      </x:c>
      <x:c r="K178" s="43" t="n">
        <x:f>J178-D178</x:f>
        <x:v>4.424000000000003</x:v>
      </x:c>
      <x:c r="L178" s="26" t="str">
        <x:v>实际比预估重5.60lb，需核对称重与申报。</x:v>
      </x:c>
      <x:c r="M178" s="26" t="str">
        <x:v>账单已对账；预付试算接近（差≤0.15）</x:v>
      </x:c>
      <x:c r="N178" s="26" t="str">
        <x:v>20260624</x:v>
      </x:c>
      <x:c r="O178" s="26" t="n">
        <x:v>5</x:v>
      </x:c>
      <x:c r="P178" s="31" t="n">
        <x:v>25.000420531765116</x:v>
      </x:c>
      <x:c r="Q178" s="31" t="n">
        <x:v>30.6</x:v>
      </x:c>
      <x:c r="R178" s="26" t="n">
        <x:v>31</x:v>
      </x:c>
      <x:c r="S178" s="26" t="n">
        <x:v>166</x:v>
      </x:c>
      <x:c r="T178" s="43" t="n">
        <x:v>36.49</x:v>
      </x:c>
      <x:c r="U178" s="43" t="n">
        <x:v>-14.23</x:v>
      </x:c>
      <x:c r="V178" s="43" t="n">
        <x:v>0</x:v>
      </x:c>
      <x:c r="W178" s="43" t="n">
        <x:v>5.68</x:v>
      </x:c>
      <x:c r="X178" s="44" t="n">
        <x:v>0.255</x:v>
      </x:c>
      <x:c r="Y178" s="30" t="b">
        <x:v>0</x:v>
      </x:c>
      <x:c r="Z178" s="26" t="n">
        <x:v>5</x:v>
      </x:c>
      <x:c r="AA178" s="26" t="n">
        <x:v>25</x:v>
      </x:c>
      <x:c r="AB178" s="26" t="n">
        <x:v>129</x:v>
      </x:c>
      <x:c r="AC178" s="43" t="n">
        <x:v>26.3</x:v>
      </x:c>
    </x:row>
    <x:row r="179" ht="135" customHeight="1">
      <x:c r="A179" s="26" t="n">
        <x:v>178</x:v>
      </x:c>
      <x:c r="B179" s="26" t="str">
        <x:v>873133287628</x:v>
      </x:c>
      <x:c r="C179" s="26" t="str">
        <x:v>AC180</x:v>
      </x:c>
      <x:c r="D179" s="43" t="n">
        <x:v>45.3</x:v>
      </x:c>
      <x:c r="E179" s="26" t="str">
        <x:v>反推假设：38lb、Zone6（账单Zone6）。
标准运费53.57×61%≈32.68
＋假设折后附加费0.00
＋燃油(32.68＋0.00)×26.00%≈8.50
＝预估承运成本41.18
按既有收费规则折算→预付45.30；与原预付差+0.00。</x:v>
      </x:c>
      <x:c r="F179" s="43" t="n">
        <x:v>45.3</x:v>
      </x:c>
      <x:c r="G179" s="43" t="n">
        <x:f>F179-D179</x:f>
        <x:v>0</x:v>
      </x:c>
      <x:c r="H179" s="26" t="str">
        <x:v>运输费58.68
−折扣22.89
＋燃油9.31
＝承运净额45.10
账单实收49.610（按既有收费规则）</x:v>
      </x:c>
      <x:c r="I179" s="43" t="n">
        <x:v>45.1</x:v>
      </x:c>
      <x:c r="J179" s="43" t="n">
        <x:v>49.61</x:v>
      </x:c>
      <x:c r="K179" s="43" t="n">
        <x:f>J179-D179</x:f>
        <x:v>4.310000000000002</x:v>
      </x:c>
      <x:c r="L179" s="26" t="str">
        <x:v>未发现单一共同原因，需核验报价费率、原尺寸及原发票。</x:v>
      </x:c>
      <x:c r="M179" s="26" t="str">
        <x:v>账单已对账；预付试算接近（差≤0.15）</x:v>
      </x:c>
      <x:c r="N179" s="26" t="str">
        <x:v>20260617</x:v>
      </x:c>
      <x:c r="O179" s="26" t="n">
        <x:v>6</x:v>
      </x:c>
      <x:c r="P179" s="31" t="n">
        <x:v>37.98564777445441</x:v>
      </x:c>
      <x:c r="Q179" s="31" t="n">
        <x:v>41.9</x:v>
      </x:c>
      <x:c r="R179" s="26" t="n">
        <x:v>42</x:v>
      </x:c>
      <x:c r="S179" s="26" t="n">
        <x:v>166</x:v>
      </x:c>
      <x:c r="T179" s="43" t="n">
        <x:v>58.68</x:v>
      </x:c>
      <x:c r="U179" s="43" t="n">
        <x:v>-22.89</x:v>
      </x:c>
      <x:c r="V179" s="43" t="n">
        <x:v>0</x:v>
      </x:c>
      <x:c r="W179" s="43" t="n">
        <x:v>9.31</x:v>
      </x:c>
      <x:c r="X179" s="44" t="n">
        <x:v>0.26</x:v>
      </x:c>
      <x:c r="Y179" s="30" t="b">
        <x:v>0</x:v>
      </x:c>
      <x:c r="Z179" s="26" t="n">
        <x:v>6</x:v>
      </x:c>
      <x:c r="AA179" s="26" t="n">
        <x:v>38</x:v>
      </x:c>
      <x:c r="AB179" s="26" t="n">
        <x:v>80</x:v>
      </x:c>
      <x:c r="AC179" s="43" t="n">
        <x:v>45.3</x:v>
      </x:c>
    </x:row>
    <x:row r="180" ht="135" customHeight="1">
      <x:c r="A180" s="26" t="n">
        <x:v>179</x:v>
      </x:c>
      <x:c r="B180" s="26" t="str">
        <x:v>875028256192</x:v>
      </x:c>
      <x:c r="C180" s="26" t="str">
        <x:v>AC180</x:v>
      </x:c>
      <x:c r="D180" s="43" t="n">
        <x:v>45.21</x:v>
      </x:c>
      <x:c r="E180" s="26" t="str">
        <x:v>缺核对明细，无法重建预付；原预付仅按基础表保留。</x:v>
      </x:c>
      <x:c r="F180" s="43"/>
      <x:c r="G180" s="43"/>
      <x:c r="H180" s="26" t="str">
        <x:v>缺原始核对明细，无法拆分。</x:v>
      </x:c>
      <x:c r="I180" s="43"/>
      <x:c r="J180" s="43" t="n">
        <x:v>49.511</x:v>
      </x:c>
      <x:c r="K180" s="43" t="n">
        <x:f>J180-D180</x:f>
        <x:v>4.301000000000002</x:v>
      </x:c>
      <x:c r="L180" s="26" t="str">
        <x:v>核对表无唯一匹配费用明细，无法确认差距原因；需补原始FedEx账单。</x:v>
      </x:c>
      <x:c r="M180" s="26" t="str">
        <x:v>缺核对明细，原因未确认</x:v>
      </x:c>
      <x:c r="N180" s="26"/>
      <x:c r="O180" s="26"/>
      <x:c r="P180" s="31"/>
      <x:c r="Q180" s="31"/>
      <x:c r="R180" s="26"/>
      <x:c r="S180" s="26"/>
      <x:c r="T180" s="43"/>
      <x:c r="U180" s="43"/>
      <x:c r="V180" s="43"/>
      <x:c r="W180" s="43"/>
      <x:c r="X180" s="44"/>
      <x:c r="Y180" s="26"/>
      <x:c r="Z180" s="26"/>
      <x:c r="AA180" s="26"/>
      <x:c r="AB180" s="26"/>
      <x:c r="AC180" s="43"/>
    </x:row>
    <x:row r="181" ht="135" customHeight="1">
      <x:c r="A181" s="26" t="n">
        <x:v>180</x:v>
      </x:c>
      <x:c r="B181" s="26" t="str">
        <x:v>873749424392</x:v>
      </x:c>
      <x:c r="C181" s="26" t="str">
        <x:v>AC180</x:v>
      </x:c>
      <x:c r="D181" s="43" t="n">
        <x:v>45.03</x:v>
      </x:c>
      <x:c r="E181" s="26" t="str">
        <x:v>反推假设：38lb、Zone6（账单Zone6）。
标准运费53.57×61%≈32.68
＋假设折后附加费0.00
＋燃油(32.68＋0.00)×25.25%≈8.25
＝预估承运成本40.93
按既有收费规则折算→预付45.02；与原预付差-0.01。</x:v>
      </x:c>
      <x:c r="F181" s="43" t="n">
        <x:v>45.02</x:v>
      </x:c>
      <x:c r="G181" s="43" t="n">
        <x:f>F181-D181</x:f>
        <x:v>-0.00999999999999801</x:v>
      </x:c>
      <x:c r="H181" s="26" t="str">
        <x:v>运输费58.68
−折扣22.89
＋燃油9.04
＝承运净额44.83
账单实收49.313（按既有收费规则）</x:v>
      </x:c>
      <x:c r="I181" s="43" t="n">
        <x:v>44.83</x:v>
      </x:c>
      <x:c r="J181" s="43" t="n">
        <x:v>49.313</x:v>
      </x:c>
      <x:c r="K181" s="43" t="n">
        <x:f>J181-D181</x:f>
        <x:v>4.283000000000001</x:v>
      </x:c>
      <x:c r="L181" s="26" t="str">
        <x:v>未发现单一共同原因，需核验报价费率、原尺寸及原发票。</x:v>
      </x:c>
      <x:c r="M181" s="26" t="str">
        <x:v>账单已对账；预付试算接近（差≤0.15）</x:v>
      </x:c>
      <x:c r="N181" s="26" t="str">
        <x:v>20260702</x:v>
      </x:c>
      <x:c r="O181" s="26" t="n">
        <x:v>6</x:v>
      </x:c>
      <x:c r="P181" s="31" t="n">
        <x:v>37.98564777445441</x:v>
      </x:c>
      <x:c r="Q181" s="31" t="n">
        <x:v>41.3</x:v>
      </x:c>
      <x:c r="R181" s="26" t="n">
        <x:v>42</x:v>
      </x:c>
      <x:c r="S181" s="26" t="n">
        <x:v>166</x:v>
      </x:c>
      <x:c r="T181" s="43" t="n">
        <x:v>58.68</x:v>
      </x:c>
      <x:c r="U181" s="43" t="n">
        <x:v>-22.89</x:v>
      </x:c>
      <x:c r="V181" s="43" t="n">
        <x:v>0</x:v>
      </x:c>
      <x:c r="W181" s="43" t="n">
        <x:v>9.04</x:v>
      </x:c>
      <x:c r="X181" s="44" t="n">
        <x:v>0.2525</x:v>
      </x:c>
      <x:c r="Y181" s="30" t="b">
        <x:v>0</x:v>
      </x:c>
      <x:c r="Z181" s="26" t="n">
        <x:v>6</x:v>
      </x:c>
      <x:c r="AA181" s="26" t="n">
        <x:v>38</x:v>
      </x:c>
      <x:c r="AB181" s="26" t="n">
        <x:v>230</x:v>
      </x:c>
      <x:c r="AC181" s="43" t="n">
        <x:v>45.02</x:v>
      </x:c>
    </x:row>
    <x:row r="182" ht="135" customHeight="1">
      <x:c r="A182" s="26" t="n">
        <x:v>181</x:v>
      </x:c>
      <x:c r="B182" s="26" t="str">
        <x:v>874088892027</x:v>
      </x:c>
      <x:c r="C182" s="26" t="str">
        <x:v>EL300</x:v>
      </x:c>
      <x:c r="D182" s="43" t="n">
        <x:v>95.71</x:v>
      </x:c>
      <x:c r="E182" s="26" t="str">
        <x:v>反推假设：56lb、Zone6（账单Zone6）。
标准运费68.01×61%≈41.49
＋假设折后附加费28.13
＋燃油(41.49＋28.13)×25.00%≈17.41
＝预估承运成本87.03
按既有收费规则折算→预付95.73；与原预付差+0.02。</x:v>
      </x:c>
      <x:c r="F182" s="43" t="n">
        <x:v>95.73</x:v>
      </x:c>
      <x:c r="G182" s="43" t="n">
        <x:f>F182-D182</x:f>
        <x:v>0.020000000000010232</x:v>
      </x:c>
      <x:c r="H182" s="26" t="str">
        <x:v>运输费73.11
−折扣28.51
＋Add'l Handling-Weight 28.12
＋燃油18.18
＝承运净额90.90
账单实收99.990（按既有收费规则）</x:v>
      </x:c>
      <x:c r="I182" s="43" t="n">
        <x:v>90.9</x:v>
      </x:c>
      <x:c r="J182" s="43" t="n">
        <x:v>99.99</x:v>
      </x:c>
      <x:c r="K182" s="43" t="n">
        <x:f>J182-D182</x:f>
        <x:v>4.280000000000001</x:v>
      </x:c>
      <x:c r="L182" s="26" t="str">
        <x:v>实际比预估重10.20lb，需核对称重与申报。</x:v>
      </x:c>
      <x:c r="M182" s="26" t="str">
        <x:v>账单已对账；预付试算接近（差≤0.15）</x:v>
      </x:c>
      <x:c r="N182" s="26" t="str">
        <x:v>20260708</x:v>
      </x:c>
      <x:c r="O182" s="26" t="n">
        <x:v>6</x:v>
      </x:c>
      <x:c r="P182" s="31" t="n">
        <x:v>55.9974145949589</x:v>
      </x:c>
      <x:c r="Q182" s="31" t="n">
        <x:v>66.2</x:v>
      </x:c>
      <x:c r="R182" s="26" t="n">
        <x:v>67</x:v>
      </x:c>
      <x:c r="S182" s="26" t="n">
        <x:v>166</x:v>
      </x:c>
      <x:c r="T182" s="43" t="n">
        <x:v>73.11</x:v>
      </x:c>
      <x:c r="U182" s="43" t="n">
        <x:v>-28.51</x:v>
      </x:c>
      <x:c r="V182" s="43" t="n">
        <x:v>28.12</x:v>
      </x:c>
      <x:c r="W182" s="43" t="n">
        <x:v>18.18</x:v>
      </x:c>
      <x:c r="X182" s="44" t="n">
        <x:v>0.25</x:v>
      </x:c>
      <x:c r="Y182" s="30" t="b">
        <x:v>0</x:v>
      </x:c>
      <x:c r="Z182" s="26" t="n">
        <x:v>6</x:v>
      </x:c>
      <x:c r="AA182" s="26" t="n">
        <x:v>56</x:v>
      </x:c>
      <x:c r="AB182" s="26" t="n">
        <x:v>351</x:v>
      </x:c>
      <x:c r="AC182" s="43" t="n">
        <x:v>95.73</x:v>
      </x:c>
    </x:row>
    <x:row r="183" ht="135" customHeight="1">
      <x:c r="A183" s="26" t="n">
        <x:v>182</x:v>
      </x:c>
      <x:c r="B183" s="26" t="str">
        <x:v>873188705179</x:v>
      </x:c>
      <x:c r="C183" s="26" t="str">
        <x:v>EL100</x:v>
      </x:c>
      <x:c r="D183" s="43" t="n">
        <x:v>32.47</x:v>
      </x:c>
      <x:c r="E183" s="26" t="str">
        <x:v>反推假设：25lb、Zone6（账单Zone6）。
标准运费38.41×61%≈23.43
＋假设折后附加费0.00
＋燃油(23.43＋0.00)×26.00%≈6.09
＝预估承运成本29.52
按既有收费规则折算→预付32.47；与原预付差+0.00。</x:v>
      </x:c>
      <x:c r="F183" s="43" t="n">
        <x:v>32.47</x:v>
      </x:c>
      <x:c r="G183" s="43" t="n">
        <x:f>F183-D183</x:f>
        <x:v>0</x:v>
      </x:c>
      <x:c r="H183" s="26" t="str">
        <x:v>运输费43.44
−折扣16.94
＋燃油6.89
＝承运净额33.39
账单实收36.729（按既有收费规则）</x:v>
      </x:c>
      <x:c r="I183" s="43" t="n">
        <x:v>33.39</x:v>
      </x:c>
      <x:c r="J183" s="43" t="n">
        <x:v>36.729</x:v>
      </x:c>
      <x:c r="K183" s="43" t="n">
        <x:f>J183-D183</x:f>
        <x:v>4.259</x:v>
      </x:c>
      <x:c r="L183" s="26" t="str">
        <x:v>未发现单一共同原因，需核验报价费率、原尺寸及原发票。</x:v>
      </x:c>
      <x:c r="M183" s="26" t="str">
        <x:v>账单已对账；预付试算接近（差≤0.15）</x:v>
      </x:c>
      <x:c r="N183" s="26" t="str">
        <x:v>20260619</x:v>
      </x:c>
      <x:c r="O183" s="26" t="n">
        <x:v>6</x:v>
      </x:c>
      <x:c r="P183" s="31" t="n">
        <x:v>25.000420531765116</x:v>
      </x:c>
      <x:c r="Q183" s="31" t="n">
        <x:v>27.9</x:v>
      </x:c>
      <x:c r="R183" s="26" t="n">
        <x:v>28</x:v>
      </x:c>
      <x:c r="S183" s="26" t="n">
        <x:v>166</x:v>
      </x:c>
      <x:c r="T183" s="43" t="n">
        <x:v>43.44</x:v>
      </x:c>
      <x:c r="U183" s="43" t="n">
        <x:v>-16.94</x:v>
      </x:c>
      <x:c r="V183" s="43" t="n">
        <x:v>0</x:v>
      </x:c>
      <x:c r="W183" s="43" t="n">
        <x:v>6.89</x:v>
      </x:c>
      <x:c r="X183" s="44" t="n">
        <x:v>0.26</x:v>
      </x:c>
      <x:c r="Y183" s="30" t="b">
        <x:v>0</x:v>
      </x:c>
      <x:c r="Z183" s="26" t="n">
        <x:v>6</x:v>
      </x:c>
      <x:c r="AA183" s="26" t="n">
        <x:v>25</x:v>
      </x:c>
      <x:c r="AB183" s="26" t="n">
        <x:v>83</x:v>
      </x:c>
      <x:c r="AC183" s="43" t="n">
        <x:v>32.47</x:v>
      </x:c>
    </x:row>
    <x:row r="184" ht="135" customHeight="1">
      <x:c r="A184" s="26" t="n">
        <x:v>183</x:v>
      </x:c>
      <x:c r="B184" s="26" t="str">
        <x:v>874148614747</x:v>
      </x:c>
      <x:c r="C184" s="26" t="str">
        <x:v>BC200</x:v>
      </x:c>
      <x:c r="D184" s="43" t="n">
        <x:v>31.44</x:v>
      </x:c>
      <x:c r="E184" s="26" t="str">
        <x:v>反推假设：40lb、Zone4（账单Zone4）。
标准运费37.48×61%≈22.86
＋假设折后附加费0.00
＋燃油(22.86＋0.00)×25.25%≈5.77
＝预估承运成本28.63
按既有收费规则折算→预付31.49；与原预付差+0.05。</x:v>
      </x:c>
      <x:c r="F184" s="43" t="n">
        <x:v>31.49</x:v>
      </x:c>
      <x:c r="G184" s="43" t="n">
        <x:f>F184-D184</x:f>
        <x:v>0.04999999999999716</x:v>
      </x:c>
      <x:c r="H184" s="26" t="str">
        <x:v>运输费42.48
−折扣16.57
＋燃油6.54
＝承运净额32.45
账单实收35.695（按既有收费规则）</x:v>
      </x:c>
      <x:c r="I184" s="43" t="n">
        <x:v>32.45</x:v>
      </x:c>
      <x:c r="J184" s="43" t="n">
        <x:v>35.695</x:v>
      </x:c>
      <x:c r="K184" s="43" t="n">
        <x:f>J184-D184</x:f>
        <x:v>4.254999999999999</x:v>
      </x:c>
      <x:c r="L184" s="26" t="str">
        <x:v>实际比预估重6.22lb，需核对称重与申报。</x:v>
      </x:c>
      <x:c r="M184" s="26" t="str">
        <x:v>账单已对账；预付试算接近（差≤0.15）</x:v>
      </x:c>
      <x:c r="N184" s="26" t="str">
        <x:v>20260724</x:v>
      </x:c>
      <x:c r="O184" s="26" t="n">
        <x:v>4</x:v>
      </x:c>
      <x:c r="P184" s="31" t="n">
        <x:v>39.683207193277966</x:v>
      </x:c>
      <x:c r="Q184" s="31" t="n">
        <x:v>45.9</x:v>
      </x:c>
      <x:c r="R184" s="26" t="n">
        <x:v>46</x:v>
      </x:c>
      <x:c r="S184" s="26" t="n">
        <x:v>166</x:v>
      </x:c>
      <x:c r="T184" s="43" t="n">
        <x:v>42.48</x:v>
      </x:c>
      <x:c r="U184" s="43" t="n">
        <x:v>-16.57</x:v>
      </x:c>
      <x:c r="V184" s="43" t="n">
        <x:v>0</x:v>
      </x:c>
      <x:c r="W184" s="43" t="n">
        <x:v>6.54</x:v>
      </x:c>
      <x:c r="X184" s="44" t="n">
        <x:v>0.2525</x:v>
      </x:c>
      <x:c r="Y184" s="30" t="b">
        <x:v>0</x:v>
      </x:c>
      <x:c r="Z184" s="26" t="n">
        <x:v>4</x:v>
      </x:c>
      <x:c r="AA184" s="26" t="n">
        <x:v>40</x:v>
      </x:c>
      <x:c r="AB184" s="26" t="n">
        <x:v>515</x:v>
      </x:c>
      <x:c r="AC184" s="43" t="n">
        <x:v>31.49</x:v>
      </x:c>
    </x:row>
    <x:row r="185" ht="135" customHeight="1">
      <x:c r="A185" s="26" t="n">
        <x:v>184</x:v>
      </x:c>
      <x:c r="B185" s="26" t="str">
        <x:v>873747943918</x:v>
      </x:c>
      <x:c r="C185" s="26" t="str">
        <x:v>EL100V2</x:v>
      </x:c>
      <x:c r="D185" s="43" t="n">
        <x:v>32.28</x:v>
      </x:c>
      <x:c r="E185" s="26" t="str">
        <x:v>反推假设：25lb、Zone6（账单Zone6）。
标准运费38.41×61%≈23.43
＋假设折后附加费0.00
＋燃油(23.43＋0.00)×25.25%≈5.92
＝预估承运成本29.35
按既有收费规则折算→预付32.29；与原预付差+0.01。</x:v>
      </x:c>
      <x:c r="F185" s="43" t="n">
        <x:v>32.29</x:v>
      </x:c>
      <x:c r="G185" s="43" t="n">
        <x:f>F185-D185</x:f>
        <x:v>0.00999999999999801</x:v>
      </x:c>
      <x:c r="H185" s="26" t="str">
        <x:v>运输费43.44
−折扣16.94
＋燃油6.69
＝承运净额33.19
账单实收36.509（按既有收费规则）</x:v>
      </x:c>
      <x:c r="I185" s="43" t="n">
        <x:v>33.19</x:v>
      </x:c>
      <x:c r="J185" s="43" t="n">
        <x:v>36.509</x:v>
      </x:c>
      <x:c r="K185" s="43" t="n">
        <x:f>J185-D185</x:f>
        <x:v>4.228999999999999</x:v>
      </x:c>
      <x:c r="L185" s="26" t="str">
        <x:v>未发现单一共同原因，需核验报价费率、原尺寸及原发票。</x:v>
      </x:c>
      <x:c r="M185" s="26" t="str">
        <x:v>账单已对账；预付试算接近（差≤0.15）</x:v>
      </x:c>
      <x:c r="N185" s="26" t="str">
        <x:v>20260702</x:v>
      </x:c>
      <x:c r="O185" s="26" t="n">
        <x:v>6</x:v>
      </x:c>
      <x:c r="P185" s="31" t="n">
        <x:v>25.000420531765116</x:v>
      </x:c>
      <x:c r="Q185" s="31" t="n">
        <x:v>27.6</x:v>
      </x:c>
      <x:c r="R185" s="26" t="n">
        <x:v>28</x:v>
      </x:c>
      <x:c r="S185" s="26" t="n">
        <x:v>166</x:v>
      </x:c>
      <x:c r="T185" s="43" t="n">
        <x:v>43.44</x:v>
      </x:c>
      <x:c r="U185" s="43" t="n">
        <x:v>-16.94</x:v>
      </x:c>
      <x:c r="V185" s="43" t="n">
        <x:v>0</x:v>
      </x:c>
      <x:c r="W185" s="43" t="n">
        <x:v>6.69</x:v>
      </x:c>
      <x:c r="X185" s="44" t="n">
        <x:v>0.2525</x:v>
      </x:c>
      <x:c r="Y185" s="30" t="b">
        <x:v>0</x:v>
      </x:c>
      <x:c r="Z185" s="26" t="n">
        <x:v>6</x:v>
      </x:c>
      <x:c r="AA185" s="26" t="n">
        <x:v>25</x:v>
      </x:c>
      <x:c r="AB185" s="26" t="n">
        <x:v>229</x:v>
      </x:c>
      <x:c r="AC185" s="43" t="n">
        <x:v>32.29</x:v>
      </x:c>
    </x:row>
    <x:row r="186" ht="135" customHeight="1">
      <x:c r="A186" s="26" t="n">
        <x:v>185</x:v>
      </x:c>
      <x:c r="B186" s="26" t="str">
        <x:v>873941715541</x:v>
      </x:c>
      <x:c r="C186" s="26" t="str">
        <x:v>AC50B</x:v>
      </x:c>
      <x:c r="D186" s="43" t="n">
        <x:v>19.43</x:v>
      </x:c>
      <x:c r="E186" s="26" t="str">
        <x:v>反推假设：13lb、Zone6（账单Zone5）。
标准运费23.76×61%≈14.49
＋假设折后附加费0.00
＋燃油(14.49＋0.00)×25.00%≈3.62
＝预估承运成本18.11
按既有收费规则折算→预付19.92；与原预付差+0.49。</x:v>
      </x:c>
      <x:c r="F186" s="43" t="n">
        <x:v>19.92</x:v>
      </x:c>
      <x:c r="G186" s="43" t="n">
        <x:f>F186-D186</x:f>
        <x:v>0.490000000000002</x:v>
      </x:c>
      <x:c r="H186" s="26" t="str">
        <x:v>运输费26.42
−折扣9.25
＋燃油4.29
＝承运净额21.46
账单实收23.606（按既有收费规则）</x:v>
      </x:c>
      <x:c r="I186" s="43" t="n">
        <x:v>21.46</x:v>
      </x:c>
      <x:c r="J186" s="43" t="n">
        <x:v>23.606</x:v>
      </x:c>
      <x:c r="K186" s="43" t="n">
        <x:f>J186-D186</x:f>
        <x:v>4.176000000000002</x:v>
      </x:c>
      <x:c r="L186" s="26" t="str">
        <x:v>实际比预估重5.81lb，需核对称重与申报。
预付反推Zone6，最终Zone5；不代表分区错误，需查原邮编与合同。
试算偏差较大：缺原始报价/折扣/尺寸，不能强行归因。</x:v>
      </x:c>
      <x:c r="M186" s="26" t="str">
        <x:v>账单已对账；现有假设未还原预付</x:v>
      </x:c>
      <x:c r="N186" s="26" t="str">
        <x:v>20260709</x:v>
      </x:c>
      <x:c r="O186" s="26" t="n">
        <x:v>5</x:v>
      </x:c>
      <x:c r="P186" s="31" t="n">
        <x:v>12.985227242689287</x:v>
      </x:c>
      <x:c r="Q186" s="31" t="n">
        <x:v>18.8</x:v>
      </x:c>
      <x:c r="R186" s="26" t="n">
        <x:v>19</x:v>
      </x:c>
      <x:c r="S186" s="26" t="n">
        <x:v>166</x:v>
      </x:c>
      <x:c r="T186" s="43" t="n">
        <x:v>26.42</x:v>
      </x:c>
      <x:c r="U186" s="43" t="n">
        <x:v>-9.25</x:v>
      </x:c>
      <x:c r="V186" s="43" t="n">
        <x:v>0</x:v>
      </x:c>
      <x:c r="W186" s="43" t="n">
        <x:v>4.29</x:v>
      </x:c>
      <x:c r="X186" s="44" t="n">
        <x:v>0.25</x:v>
      </x:c>
      <x:c r="Y186" s="30" t="b">
        <x:v>0</x:v>
      </x:c>
      <x:c r="Z186" s="26" t="n">
        <x:v>6</x:v>
      </x:c>
      <x:c r="AA186" s="26" t="n">
        <x:v>13</x:v>
      </x:c>
      <x:c r="AB186" s="26" t="n">
        <x:v>331</x:v>
      </x:c>
      <x:c r="AC186" s="43" t="n">
        <x:v>18.19</x:v>
      </x:c>
    </x:row>
    <x:row r="187" ht="135" customHeight="1">
      <x:c r="A187" s="26" t="n">
        <x:v>186</x:v>
      </x:c>
      <x:c r="B187" s="26" t="str">
        <x:v>873424752756</x:v>
      </x:c>
      <x:c r="C187" s="26" t="str">
        <x:v>EL100V2</x:v>
      </x:c>
      <x:c r="D187" s="43" t="n">
        <x:v>32.34</x:v>
      </x:c>
      <x:c r="E187" s="26" t="str">
        <x:v>反推假设：25lb、Zone6（账单Zone6）。
标准运费38.41×61%≈23.43
＋假设折后附加费0.00
＋燃油(23.43＋0.00)×25.25%≈5.92
＝预估承运成本29.35
按既有收费规则折算→预付32.29；与原预付差-0.05。</x:v>
      </x:c>
      <x:c r="F187" s="43" t="n">
        <x:v>32.29</x:v>
      </x:c>
      <x:c r="G187" s="43" t="n">
        <x:f>F187-D187</x:f>
        <x:v>-0.05000000000000426</x:v>
      </x:c>
      <x:c r="H187" s="26" t="str">
        <x:v>运输费43.44
−折扣16.94
＋燃油6.69
＝承运净额33.19
账单实收36.509（按既有收费规则）</x:v>
      </x:c>
      <x:c r="I187" s="43" t="n">
        <x:v>33.19</x:v>
      </x:c>
      <x:c r="J187" s="43" t="n">
        <x:v>36.509</x:v>
      </x:c>
      <x:c r="K187" s="43" t="n">
        <x:f>J187-D187</x:f>
        <x:v>4.168999999999997</x:v>
      </x:c>
      <x:c r="L187" s="26" t="str">
        <x:v>未发现单一共同原因，需核验报价费率、原尺寸及原发票。</x:v>
      </x:c>
      <x:c r="M187" s="26" t="str">
        <x:v>账单已对账；预付试算接近（差≤0.15）</x:v>
      </x:c>
      <x:c r="N187" s="26" t="str">
        <x:v>20260629</x:v>
      </x:c>
      <x:c r="O187" s="26" t="n">
        <x:v>6</x:v>
      </x:c>
      <x:c r="P187" s="31" t="n">
        <x:v>25.000420531765116</x:v>
      </x:c>
      <x:c r="Q187" s="31" t="n">
        <x:v>27.7</x:v>
      </x:c>
      <x:c r="R187" s="26" t="n">
        <x:v>28</x:v>
      </x:c>
      <x:c r="S187" s="26" t="n">
        <x:v>166</x:v>
      </x:c>
      <x:c r="T187" s="43" t="n">
        <x:v>43.44</x:v>
      </x:c>
      <x:c r="U187" s="43" t="n">
        <x:v>-16.94</x:v>
      </x:c>
      <x:c r="V187" s="43" t="n">
        <x:v>0</x:v>
      </x:c>
      <x:c r="W187" s="43" t="n">
        <x:v>6.69</x:v>
      </x:c>
      <x:c r="X187" s="44" t="n">
        <x:v>0.2525</x:v>
      </x:c>
      <x:c r="Y187" s="30" t="b">
        <x:v>0</x:v>
      </x:c>
      <x:c r="Z187" s="26" t="n">
        <x:v>6</x:v>
      </x:c>
      <x:c r="AA187" s="26" t="n">
        <x:v>25</x:v>
      </x:c>
      <x:c r="AB187" s="26" t="n">
        <x:v>215</x:v>
      </x:c>
      <x:c r="AC187" s="43" t="n">
        <x:v>32.29</x:v>
      </x:c>
    </x:row>
    <x:row r="188" ht="135" customHeight="1">
      <x:c r="A188" s="26" t="n">
        <x:v>187</x:v>
      </x:c>
      <x:c r="B188" s="26" t="str">
        <x:v>875082163177</x:v>
      </x:c>
      <x:c r="C188" s="26" t="str">
        <x:v>EL100V2</x:v>
      </x:c>
      <x:c r="D188" s="43" t="n">
        <x:v>26.36</x:v>
      </x:c>
      <x:c r="E188" s="26" t="str">
        <x:v>缺核对明细，无法重建预付；原预付仅按基础表保留。</x:v>
      </x:c>
      <x:c r="F188" s="43"/>
      <x:c r="G188" s="43"/>
      <x:c r="H188" s="26" t="str">
        <x:v>缺原始核对明细，无法拆分。</x:v>
      </x:c>
      <x:c r="I188" s="43"/>
      <x:c r="J188" s="43" t="n">
        <x:v>30.525</x:v>
      </x:c>
      <x:c r="K188" s="43" t="n">
        <x:f>J188-D188</x:f>
        <x:v>4.164999999999999</x:v>
      </x:c>
      <x:c r="L188" s="26" t="str">
        <x:v>核对表无唯一匹配费用明细，无法确认差距原因；需补原始FedEx账单。</x:v>
      </x:c>
      <x:c r="M188" s="26" t="str">
        <x:v>缺核对明细，原因未确认</x:v>
      </x:c>
      <x:c r="N188" s="26"/>
      <x:c r="O188" s="26"/>
      <x:c r="P188" s="31"/>
      <x:c r="Q188" s="31"/>
      <x:c r="R188" s="26"/>
      <x:c r="S188" s="26"/>
      <x:c r="T188" s="43"/>
      <x:c r="U188" s="43"/>
      <x:c r="V188" s="43"/>
      <x:c r="W188" s="43"/>
      <x:c r="X188" s="44"/>
      <x:c r="Y188" s="26"/>
      <x:c r="Z188" s="26"/>
      <x:c r="AA188" s="26"/>
      <x:c r="AB188" s="26"/>
      <x:c r="AC188" s="43"/>
    </x:row>
    <x:row r="189" ht="135" customHeight="1">
      <x:c r="A189" s="26" t="n">
        <x:v>188</x:v>
      </x:c>
      <x:c r="B189" s="26" t="str">
        <x:v>873342102865</x:v>
      </x:c>
      <x:c r="C189" s="26" t="str">
        <x:v>EL100V2</x:v>
      </x:c>
      <x:c r="D189" s="43" t="n">
        <x:v>32.47</x:v>
      </x:c>
      <x:c r="E189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F189" s="43" t="n">
        <x:v>32.34</x:v>
      </x:c>
      <x:c r="G189" s="43" t="n">
        <x:f>F189-D189</x:f>
        <x:v>-0.12999999999999545</x:v>
      </x:c>
      <x:c r="H189" s="26" t="str">
        <x:v>运输费43.44
−折扣16.94
＋燃油6.76
＝承运净额33.26
账单实收36.586（按既有收费规则）</x:v>
      </x:c>
      <x:c r="I189" s="43" t="n">
        <x:v>33.26</x:v>
      </x:c>
      <x:c r="J189" s="43" t="n">
        <x:v>36.586</x:v>
      </x:c>
      <x:c r="K189" s="43" t="n">
        <x:f>J189-D189</x:f>
        <x:v>4.116</x:v>
      </x:c>
      <x:c r="L189" s="26" t="str">
        <x:v>未发现单一共同原因，需核验报价费率、原尺寸及原发票。</x:v>
      </x:c>
      <x:c r="M189" s="26" t="str">
        <x:v>账单已对账；预付试算接近（差≤0.15）</x:v>
      </x:c>
      <x:c r="N189" s="26" t="str">
        <x:v>20260626</x:v>
      </x:c>
      <x:c r="O189" s="26" t="n">
        <x:v>6</x:v>
      </x:c>
      <x:c r="P189" s="31" t="n">
        <x:v>25.000420531765116</x:v>
      </x:c>
      <x:c r="Q189" s="31" t="n">
        <x:v>27.1</x:v>
      </x:c>
      <x:c r="R189" s="26" t="n">
        <x:v>28</x:v>
      </x:c>
      <x:c r="S189" s="26" t="n">
        <x:v>166</x:v>
      </x:c>
      <x:c r="T189" s="43" t="n">
        <x:v>43.44</x:v>
      </x:c>
      <x:c r="U189" s="43" t="n">
        <x:v>-16.94</x:v>
      </x:c>
      <x:c r="V189" s="43" t="n">
        <x:v>0</x:v>
      </x:c>
      <x:c r="W189" s="43" t="n">
        <x:v>6.76</x:v>
      </x:c>
      <x:c r="X189" s="44" t="n">
        <x:v>0.255</x:v>
      </x:c>
      <x:c r="Y189" s="30" t="b">
        <x:v>0</x:v>
      </x:c>
      <x:c r="Z189" s="26" t="n">
        <x:v>6</x:v>
      </x:c>
      <x:c r="AA189" s="26" t="n">
        <x:v>25</x:v>
      </x:c>
      <x:c r="AB189" s="26" t="n">
        <x:v>145</x:v>
      </x:c>
      <x:c r="AC189" s="43" t="n">
        <x:v>32.34</x:v>
      </x:c>
    </x:row>
    <x:row r="190" ht="135" customHeight="1">
      <x:c r="A190" s="26" t="n">
        <x:v>189</x:v>
      </x:c>
      <x:c r="B190" s="26" t="str">
        <x:v>873341905734</x:v>
      </x:c>
      <x:c r="C190" s="26" t="str">
        <x:v>EL100V2</x:v>
      </x:c>
      <x:c r="D190" s="43" t="n">
        <x:v>32.47</x:v>
      </x:c>
      <x:c r="E190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F190" s="43" t="n">
        <x:v>32.34</x:v>
      </x:c>
      <x:c r="G190" s="43" t="n">
        <x:f>F190-D190</x:f>
        <x:v>-0.12999999999999545</x:v>
      </x:c>
      <x:c r="H190" s="26" t="str">
        <x:v>运输费43.44
−折扣16.94
＋燃油6.76
＝承运净额33.26
账单实收36.586（按既有收费规则）</x:v>
      </x:c>
      <x:c r="I190" s="43" t="n">
        <x:v>33.26</x:v>
      </x:c>
      <x:c r="J190" s="43" t="n">
        <x:v>36.586</x:v>
      </x:c>
      <x:c r="K190" s="43" t="n">
        <x:f>J190-D190</x:f>
        <x:v>4.116</x:v>
      </x:c>
      <x:c r="L190" s="26" t="str">
        <x:v>未发现单一共同原因，需核验报价费率、原尺寸及原发票。</x:v>
      </x:c>
      <x:c r="M190" s="26" t="str">
        <x:v>账单已对账；预付试算接近（差≤0.15）</x:v>
      </x:c>
      <x:c r="N190" s="26" t="str">
        <x:v>20260623</x:v>
      </x:c>
      <x:c r="O190" s="26" t="n">
        <x:v>6</x:v>
      </x:c>
      <x:c r="P190" s="31" t="n">
        <x:v>25.000420531765116</x:v>
      </x:c>
      <x:c r="Q190" s="31" t="n">
        <x:v>27.4</x:v>
      </x:c>
      <x:c r="R190" s="26" t="n">
        <x:v>28</x:v>
      </x:c>
      <x:c r="S190" s="26" t="n">
        <x:v>166</x:v>
      </x:c>
      <x:c r="T190" s="43" t="n">
        <x:v>43.44</x:v>
      </x:c>
      <x:c r="U190" s="43" t="n">
        <x:v>-16.94</x:v>
      </x:c>
      <x:c r="V190" s="43" t="n">
        <x:v>0</x:v>
      </x:c>
      <x:c r="W190" s="43" t="n">
        <x:v>6.76</x:v>
      </x:c>
      <x:c r="X190" s="44" t="n">
        <x:v>0.255</x:v>
      </x:c>
      <x:c r="Y190" s="30" t="b">
        <x:v>0</x:v>
      </x:c>
      <x:c r="Z190" s="26" t="n">
        <x:v>6</x:v>
      </x:c>
      <x:c r="AA190" s="26" t="n">
        <x:v>25</x:v>
      </x:c>
      <x:c r="AB190" s="26" t="n">
        <x:v>119</x:v>
      </x:c>
      <x:c r="AC190" s="43" t="n">
        <x:v>32.34</x:v>
      </x:c>
    </x:row>
    <x:row r="191" ht="135" customHeight="1">
      <x:c r="A191" s="26" t="n">
        <x:v>190</x:v>
      </x:c>
      <x:c r="B191" s="26" t="str">
        <x:v>873062619570</x:v>
      </x:c>
      <x:c r="C191" s="26" t="str">
        <x:v>EL100V2</x:v>
      </x:c>
      <x:c r="D191" s="43" t="n">
        <x:v>32.47</x:v>
      </x:c>
      <x:c r="E191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F191" s="43" t="n">
        <x:v>32.34</x:v>
      </x:c>
      <x:c r="G191" s="43" t="n">
        <x:f>F191-D191</x:f>
        <x:v>-0.12999999999999545</x:v>
      </x:c>
      <x:c r="H191" s="26" t="str">
        <x:v>运输费43.44
−折扣16.94
＋燃油6.76
＝承运净额33.26
账单实收36.586（按既有收费规则）</x:v>
      </x:c>
      <x:c r="I191" s="43" t="n">
        <x:v>33.26</x:v>
      </x:c>
      <x:c r="J191" s="43" t="n">
        <x:v>36.586</x:v>
      </x:c>
      <x:c r="K191" s="43" t="n">
        <x:f>J191-D191</x:f>
        <x:v>4.116</x:v>
      </x:c>
      <x:c r="L191" s="26" t="str">
        <x:v>未发现单一共同原因，需核验报价费率、原尺寸及原发票。</x:v>
      </x:c>
      <x:c r="M191" s="26" t="str">
        <x:v>账单已对账；预付试算接近（差≤0.15）</x:v>
      </x:c>
      <x:c r="N191" s="26" t="str">
        <x:v>20260626</x:v>
      </x:c>
      <x:c r="O191" s="26" t="n">
        <x:v>6</x:v>
      </x:c>
      <x:c r="P191" s="31" t="n">
        <x:v>25.000420531765116</x:v>
      </x:c>
      <x:c r="Q191" s="31" t="n">
        <x:v>27.3</x:v>
      </x:c>
      <x:c r="R191" s="26" t="n">
        <x:v>28</x:v>
      </x:c>
      <x:c r="S191" s="26" t="n">
        <x:v>166</x:v>
      </x:c>
      <x:c r="T191" s="43" t="n">
        <x:v>43.44</x:v>
      </x:c>
      <x:c r="U191" s="43" t="n">
        <x:v>-16.94</x:v>
      </x:c>
      <x:c r="V191" s="43" t="n">
        <x:v>0</x:v>
      </x:c>
      <x:c r="W191" s="43" t="n">
        <x:v>6.76</x:v>
      </x:c>
      <x:c r="X191" s="44" t="n">
        <x:v>0.255</x:v>
      </x:c>
      <x:c r="Y191" s="30" t="b">
        <x:v>0</x:v>
      </x:c>
      <x:c r="Z191" s="26" t="n">
        <x:v>6</x:v>
      </x:c>
      <x:c r="AA191" s="26" t="n">
        <x:v>25</x:v>
      </x:c>
      <x:c r="AB191" s="26" t="n">
        <x:v>135</x:v>
      </x:c>
      <x:c r="AC191" s="43" t="n">
        <x:v>32.34</x:v>
      </x:c>
    </x:row>
    <x:row r="192" ht="135" customHeight="1">
      <x:c r="A192" s="26" t="n">
        <x:v>191</x:v>
      </x:c>
      <x:c r="B192" s="26" t="str">
        <x:v>873122402042</x:v>
      </x:c>
      <x:c r="C192" s="26" t="str">
        <x:v>AC180</x:v>
      </x:c>
      <x:c r="D192" s="43" t="n">
        <x:v>45.3</x:v>
      </x:c>
      <x:c r="E192" s="26" t="str">
        <x:v>反推假设：38lb、Zone6（账单Zone6）。
标准运费53.57×61%≈32.68
＋假设折后附加费0.00
＋燃油(32.68＋0.00)×26.00%≈8.50
＝预估承运成本41.18
按既有收费规则折算→预付45.30；与原预付差+0.00。</x:v>
      </x:c>
      <x:c r="F192" s="43" t="n">
        <x:v>45.3</x:v>
      </x:c>
      <x:c r="G192" s="43" t="n">
        <x:f>F192-D192</x:f>
        <x:v>0</x:v>
      </x:c>
      <x:c r="H192" s="26" t="str">
        <x:v>运输费58.42
−折扣22.78
＋燃油9.27
＝承运净额44.91
账单实收49.401（按既有收费规则）</x:v>
      </x:c>
      <x:c r="I192" s="43" t="n">
        <x:v>44.91</x:v>
      </x:c>
      <x:c r="J192" s="43" t="n">
        <x:v>49.401</x:v>
      </x:c>
      <x:c r="K192" s="43" t="n">
        <x:f>J192-D192</x:f>
        <x:v>4.101000000000006</x:v>
      </x:c>
      <x:c r="L192" s="26" t="str">
        <x:v>未发现单一共同原因，需核验报价费率、原尺寸及原发票。</x:v>
      </x:c>
      <x:c r="M192" s="26" t="str">
        <x:v>账单已对账；预付试算接近（差≤0.15）</x:v>
      </x:c>
      <x:c r="N192" s="26" t="str">
        <x:v>20260619</x:v>
      </x:c>
      <x:c r="O192" s="26" t="n">
        <x:v>6</x:v>
      </x:c>
      <x:c r="P192" s="31" t="n">
        <x:v>37.98564777445441</x:v>
      </x:c>
      <x:c r="Q192" s="31" t="n">
        <x:v>41</x:v>
      </x:c>
      <x:c r="R192" s="26" t="n">
        <x:v>41</x:v>
      </x:c>
      <x:c r="S192" s="26" t="n">
        <x:v>166</x:v>
      </x:c>
      <x:c r="T192" s="43" t="n">
        <x:v>58.42</x:v>
      </x:c>
      <x:c r="U192" s="43" t="n">
        <x:v>-22.78</x:v>
      </x:c>
      <x:c r="V192" s="43" t="n">
        <x:v>0</x:v>
      </x:c>
      <x:c r="W192" s="43" t="n">
        <x:v>9.27</x:v>
      </x:c>
      <x:c r="X192" s="44" t="n">
        <x:v>0.26</x:v>
      </x:c>
      <x:c r="Y192" s="30" t="b">
        <x:v>0</x:v>
      </x:c>
      <x:c r="Z192" s="26" t="n">
        <x:v>6</x:v>
      </x:c>
      <x:c r="AA192" s="26" t="n">
        <x:v>38</x:v>
      </x:c>
      <x:c r="AB192" s="26" t="n">
        <x:v>76</x:v>
      </x:c>
      <x:c r="AC192" s="43" t="n">
        <x:v>45.3</x:v>
      </x:c>
    </x:row>
    <x:row r="193" ht="135" customHeight="1">
      <x:c r="A193" s="26" t="n">
        <x:v>192</x:v>
      </x:c>
      <x:c r="B193" s="26" t="str">
        <x:v>874757565183</x:v>
      </x:c>
      <x:c r="C193" s="26" t="str">
        <x:v>SolarX 4K</x:v>
      </x:c>
      <x:c r="D193" s="43" t="n">
        <x:v>19.04</x:v>
      </x:c>
      <x:c r="E193" s="26" t="str">
        <x:v>反推假设：6lb、Zone8（账单Zone5）。
标准运费21.70×61%≈13.24
＋假设折后附加费0.00
＋燃油(13.24＋0.00)×25.25%≈3.34
＝预估承运成本16.58
按既有收费规则折算→预付18.24；与原预付差-0.80。</x:v>
      </x:c>
      <x:c r="F193" s="43" t="n">
        <x:v>18.24</x:v>
      </x:c>
      <x:c r="G193" s="43" t="n">
        <x:f>F193-D193</x:f>
        <x:v>-0.8000000000000007</x:v>
      </x:c>
      <x:c r="H193" s="26" t="str">
        <x:v>运输费27.52
−折扣10.73
＋燃油4.24
＝承运净额21.03
账单实收23.133（按既有收费规则）</x:v>
      </x:c>
      <x:c r="I193" s="43" t="n">
        <x:v>21.03</x:v>
      </x:c>
      <x:c r="J193" s="43" t="n">
        <x:v>23.133</x:v>
      </x:c>
      <x:c r="K193" s="43" t="n">
        <x:f>J193-D193</x:f>
        <x:v>4.093</x:v>
      </x:c>
      <x:c r="L193" s="26" t="str">
        <x:v>实际比预估重14.20lb，需核对称重与申报。
预付反推Zone8，最终Zone5；不代表分区错误，需查原邮编与合同。
试算偏差较大：缺原始报价/折扣/尺寸，不能强行归因。</x:v>
      </x:c>
      <x:c r="M193" s="26" t="str">
        <x:v>账单已对账；现有假设未还原预付</x:v>
      </x:c>
      <x:c r="N193" s="26" t="str">
        <x:v>20260723</x:v>
      </x:c>
      <x:c r="O193" s="26" t="n">
        <x:v>5</x:v>
      </x:c>
      <x:c r="P193" s="31" t="n">
        <x:v>5.996573531428671</x:v>
      </x:c>
      <x:c r="Q193" s="31" t="n">
        <x:v>20.2</x:v>
      </x:c>
      <x:c r="R193" s="26" t="n">
        <x:v>21</x:v>
      </x:c>
      <x:c r="S193" s="26" t="n">
        <x:v>166</x:v>
      </x:c>
      <x:c r="T193" s="43" t="n">
        <x:v>27.52</x:v>
      </x:c>
      <x:c r="U193" s="43" t="n">
        <x:v>-10.73</x:v>
      </x:c>
      <x:c r="V193" s="43" t="n">
        <x:v>0</x:v>
      </x:c>
      <x:c r="W193" s="43" t="n">
        <x:v>4.24</x:v>
      </x:c>
      <x:c r="X193" s="44" t="n">
        <x:v>0.2525</x:v>
      </x:c>
      <x:c r="Y193" s="30" t="b">
        <x:v>0</x:v>
      </x:c>
      <x:c r="Z193" s="26" t="n">
        <x:v>8</x:v>
      </x:c>
      <x:c r="AA193" s="26" t="n">
        <x:v>6</x:v>
      </x:c>
      <x:c r="AB193" s="26" t="n">
        <x:v>561</x:v>
      </x:c>
      <x:c r="AC193" s="43" t="n">
        <x:v>15.64</x:v>
      </x:c>
    </x:row>
    <x:row r="194" ht="135" customHeight="1">
      <x:c r="A194" s="26" t="n">
        <x:v>193</x:v>
      </x:c>
      <x:c r="B194" s="26" t="str">
        <x:v>875028961352</x:v>
      </x:c>
      <x:c r="C194" s="26" t="str">
        <x:v>AC180</x:v>
      </x:c>
      <x:c r="D194" s="43" t="n">
        <x:v>45.21</x:v>
      </x:c>
      <x:c r="E194" s="26" t="str">
        <x:v>缺核对明细，无法重建预付；原预付仅按基础表保留。</x:v>
      </x:c>
      <x:c r="F194" s="43"/>
      <x:c r="G194" s="43"/>
      <x:c r="H194" s="26" t="str">
        <x:v>缺原始核对明细，无法拆分。</x:v>
      </x:c>
      <x:c r="I194" s="43"/>
      <x:c r="J194" s="43" t="n">
        <x:v>49.302</x:v>
      </x:c>
      <x:c r="K194" s="43" t="n">
        <x:f>J194-D194</x:f>
        <x:v>4.091999999999999</x:v>
      </x:c>
      <x:c r="L194" s="26" t="str">
        <x:v>核对表无唯一匹配费用明细，无法确认差距原因；需补原始FedEx账单。</x:v>
      </x:c>
      <x:c r="M194" s="26" t="str">
        <x:v>缺核对明细，原因未确认</x:v>
      </x:c>
      <x:c r="N194" s="26"/>
      <x:c r="O194" s="26"/>
      <x:c r="P194" s="31"/>
      <x:c r="Q194" s="31"/>
      <x:c r="R194" s="26"/>
      <x:c r="S194" s="26"/>
      <x:c r="T194" s="43"/>
      <x:c r="U194" s="43"/>
      <x:c r="V194" s="43"/>
      <x:c r="W194" s="43"/>
      <x:c r="X194" s="44"/>
      <x:c r="Y194" s="26"/>
      <x:c r="Z194" s="26"/>
      <x:c r="AA194" s="26"/>
      <x:c r="AB194" s="26"/>
      <x:c r="AC194" s="43"/>
    </x:row>
    <x:row r="195" ht="135" customHeight="1">
      <x:c r="A195" s="26" t="n">
        <x:v>194</x:v>
      </x:c>
      <x:c r="B195" s="26" t="str">
        <x:v>874764947246</x:v>
      </x:c>
      <x:c r="C195" s="26"/>
      <x:c r="D195" s="43" t="n">
        <x:v>21.72</x:v>
      </x:c>
      <x:c r="E195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195" s="43" t="n">
        <x:v>21.71</x:v>
      </x:c>
      <x:c r="G195" s="43" t="n">
        <x:f>F195-D195</x:f>
        <x:v>-0.00999999999999801</x:v>
      </x:c>
      <x:c r="H195" s="26" t="str">
        <x:v>运输费30.69
−折扣11.97
＋燃油4.73
＝承运净额23.45
账单实收25.795（按既有收费规则）</x:v>
      </x:c>
      <x:c r="I195" s="43" t="n">
        <x:v>23.45</x:v>
      </x:c>
      <x:c r="J195" s="43" t="n">
        <x:v>25.795</x:v>
      </x:c>
      <x:c r="K195" s="43" t="n">
        <x:f>J195-D195</x:f>
        <x:v>4.075000000000003</x:v>
      </x:c>
      <x:c r="L195" s="26" t="str">
        <x:v>实际比预估重5.10lb，需核对称重与申报。</x:v>
      </x:c>
      <x:c r="M195" s="26" t="str">
        <x:v>账单已对账；预付试算接近（差≤0.15）</x:v>
      </x:c>
      <x:c r="N195" s="26" t="str">
        <x:v>20260723</x:v>
      </x:c>
      <x:c r="O195" s="26" t="n">
        <x:v>4</x:v>
      </x:c>
      <x:c r="P195" s="31" t="n">
        <x:v>25.000420531765116</x:v>
      </x:c>
      <x:c r="Q195" s="31" t="n">
        <x:v>30.1</x:v>
      </x:c>
      <x:c r="R195" s="26" t="n">
        <x:v>31</x:v>
      </x:c>
      <x:c r="S195" s="26" t="n">
        <x:v>166</x:v>
      </x:c>
      <x:c r="T195" s="43" t="n">
        <x:v>30.69</x:v>
      </x:c>
      <x:c r="U195" s="43" t="n">
        <x:v>-11.97</x:v>
      </x:c>
      <x:c r="V195" s="43" t="n">
        <x:v>0</x:v>
      </x:c>
      <x:c r="W195" s="43" t="n">
        <x:v>4.73</x:v>
      </x:c>
      <x:c r="X195" s="44" t="n">
        <x:v>0.2525</x:v>
      </x:c>
      <x:c r="Y195" s="30" t="b">
        <x:v>0</x:v>
      </x:c>
      <x:c r="Z195" s="26" t="n">
        <x:v>4</x:v>
      </x:c>
      <x:c r="AA195" s="26" t="n">
        <x:v>25</x:v>
      </x:c>
      <x:c r="AB195" s="26" t="n">
        <x:v>540</x:v>
      </x:c>
      <x:c r="AC195" s="43" t="n">
        <x:v>21.71</x:v>
      </x:c>
    </x:row>
    <x:row r="196" ht="135" customHeight="1">
      <x:c r="A196" s="26" t="n">
        <x:v>195</x:v>
      </x:c>
      <x:c r="B196" s="26" t="str">
        <x:v>873804075069</x:v>
      </x:c>
      <x:c r="C196" s="26" t="str">
        <x:v>AC180</x:v>
      </x:c>
      <x:c r="D196" s="43" t="n">
        <x:v>45.03</x:v>
      </x:c>
      <x:c r="E196" s="26" t="str">
        <x:v>反推假设：38lb、Zone6（账单Zone6）。
标准运费53.57×61%≈32.68
＋假设折后附加费0.00
＋燃油(32.68＋0.00)×25.25%≈8.25
＝预估承运成本40.93
按既有收费规则折算→预付45.02；与原预付差-0.01。</x:v>
      </x:c>
      <x:c r="F196" s="43" t="n">
        <x:v>45.02</x:v>
      </x:c>
      <x:c r="G196" s="43" t="n">
        <x:f>F196-D196</x:f>
        <x:v>-0.00999999999999801</x:v>
      </x:c>
      <x:c r="H196" s="26" t="str">
        <x:v>运输费58.42
−折扣22.78
＋燃油9.00
＝承运净额44.64
账单实收49.104（按既有收费规则）</x:v>
      </x:c>
      <x:c r="I196" s="43" t="n">
        <x:v>44.64</x:v>
      </x:c>
      <x:c r="J196" s="43" t="n">
        <x:v>49.104</x:v>
      </x:c>
      <x:c r="K196" s="43" t="n">
        <x:f>J196-D196</x:f>
        <x:v>4.073999999999998</x:v>
      </x:c>
      <x:c r="L196" s="26" t="str">
        <x:v>未发现单一共同原因，需核验报价费率、原尺寸及原发票。</x:v>
      </x:c>
      <x:c r="M196" s="26" t="str">
        <x:v>账单已对账；预付试算接近（差≤0.15）</x:v>
      </x:c>
      <x:c r="N196" s="26" t="str">
        <x:v>20260701</x:v>
      </x:c>
      <x:c r="O196" s="26" t="n">
        <x:v>6</x:v>
      </x:c>
      <x:c r="P196" s="31" t="n">
        <x:v>37.98564777445441</x:v>
      </x:c>
      <x:c r="Q196" s="31" t="n">
        <x:v>41.1</x:v>
      </x:c>
      <x:c r="R196" s="26" t="n">
        <x:v>41</x:v>
      </x:c>
      <x:c r="S196" s="26" t="n">
        <x:v>166</x:v>
      </x:c>
      <x:c r="T196" s="43" t="n">
        <x:v>58.42</x:v>
      </x:c>
      <x:c r="U196" s="43" t="n">
        <x:v>-22.78</x:v>
      </x:c>
      <x:c r="V196" s="43" t="n">
        <x:v>0</x:v>
      </x:c>
      <x:c r="W196" s="43" t="n">
        <x:v>9</x:v>
      </x:c>
      <x:c r="X196" s="44" t="n">
        <x:v>0.2525</x:v>
      </x:c>
      <x:c r="Y196" s="30" t="b">
        <x:v>0</x:v>
      </x:c>
      <x:c r="Z196" s="26" t="n">
        <x:v>6</x:v>
      </x:c>
      <x:c r="AA196" s="26" t="n">
        <x:v>38</x:v>
      </x:c>
      <x:c r="AB196" s="26" t="n">
        <x:v>233</x:v>
      </x:c>
      <x:c r="AC196" s="43" t="n">
        <x:v>45.02</x:v>
      </x:c>
    </x:row>
    <x:row r="197" ht="135" customHeight="1">
      <x:c r="A197" s="26" t="n">
        <x:v>196</x:v>
      </x:c>
      <x:c r="B197" s="26" t="str">
        <x:v>873129844982</x:v>
      </x:c>
      <x:c r="C197" s="26" t="str">
        <x:v>EL100V2</x:v>
      </x:c>
      <x:c r="D197" s="43" t="n">
        <x:v>26.41</x:v>
      </x:c>
      <x:c r="E197" s="26" t="str">
        <x:v>反推假设：25lb、Zone5（账单Zone5）。
标准运费31.23×61%≈19.05
＋假设折后附加费0.00
＋燃油(19.05＋0.00)×26.00%≈4.95
＝预估承运成本24.00
按既有收费规则折算→预付26.40；与原预付差-0.01。</x:v>
      </x:c>
      <x:c r="F197" s="43" t="n">
        <x:v>26.4</x:v>
      </x:c>
      <x:c r="G197" s="43" t="n">
        <x:f>F197-D197</x:f>
        <x:v>-0.010000000000001563</x:v>
      </x:c>
      <x:c r="H197" s="26" t="str">
        <x:v>运输费36.03
−折扣14.05
＋燃油5.71
＝承运净额27.69
账单实收30.459（按既有收费规则）</x:v>
      </x:c>
      <x:c r="I197" s="43" t="n">
        <x:v>27.69</x:v>
      </x:c>
      <x:c r="J197" s="43" t="n">
        <x:v>30.459</x:v>
      </x:c>
      <x:c r="K197" s="43" t="n">
        <x:f>J197-D197</x:f>
        <x:v>4.0489999999999995</x:v>
      </x:c>
      <x:c r="L197" s="26" t="str">
        <x:v>未发现单一共同原因，需核验报价费率、原尺寸及原发票。</x:v>
      </x:c>
      <x:c r="M197" s="26" t="str">
        <x:v>账单已对账；预付试算接近（差≤0.15）</x:v>
      </x:c>
      <x:c r="N197" s="26" t="str">
        <x:v>20260618</x:v>
      </x:c>
      <x:c r="O197" s="26" t="n">
        <x:v>5</x:v>
      </x:c>
      <x:c r="P197" s="31" t="n">
        <x:v>25.000420531765116</x:v>
      </x:c>
      <x:c r="Q197" s="31" t="n">
        <x:v>30</x:v>
      </x:c>
      <x:c r="R197" s="26" t="n">
        <x:v>30</x:v>
      </x:c>
      <x:c r="S197" s="26" t="n">
        <x:v>166</x:v>
      </x:c>
      <x:c r="T197" s="43" t="n">
        <x:v>36.03</x:v>
      </x:c>
      <x:c r="U197" s="43" t="n">
        <x:v>-14.05</x:v>
      </x:c>
      <x:c r="V197" s="43" t="n">
        <x:v>0</x:v>
      </x:c>
      <x:c r="W197" s="43" t="n">
        <x:v>5.71</x:v>
      </x:c>
      <x:c r="X197" s="44" t="n">
        <x:v>0.26</x:v>
      </x:c>
      <x:c r="Y197" s="30" t="b">
        <x:v>0</x:v>
      </x:c>
      <x:c r="Z197" s="26" t="n">
        <x:v>5</x:v>
      </x:c>
      <x:c r="AA197" s="26" t="n">
        <x:v>25</x:v>
      </x:c>
      <x:c r="AB197" s="26" t="n">
        <x:v>114</x:v>
      </x:c>
      <x:c r="AC197" s="43" t="n">
        <x:v>26.4</x:v>
      </x:c>
    </x:row>
    <x:row r="198" ht="135" customHeight="1">
      <x:c r="A198" s="26" t="n">
        <x:v>197</x:v>
      </x:c>
      <x:c r="B198" s="26" t="str">
        <x:v>873598300616</x:v>
      </x:c>
      <x:c r="C198" s="26" t="str">
        <x:v>EL100V2</x:v>
      </x:c>
      <x:c r="D198" s="43" t="n">
        <x:v>26.31</x:v>
      </x:c>
      <x:c r="E198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F198" s="43" t="n">
        <x:v>26.3</x:v>
      </x:c>
      <x:c r="G198" s="43" t="n">
        <x:f>F198-D198</x:f>
        <x:v>-0.00999999999999801</x:v>
      </x:c>
      <x:c r="H198" s="26" t="str">
        <x:v>运输费36.03
−折扣14.05
＋燃油5.60
＝承运净额27.58
账单实收30.338（按既有收费规则）</x:v>
      </x:c>
      <x:c r="I198" s="43" t="n">
        <x:v>27.58</x:v>
      </x:c>
      <x:c r="J198" s="43" t="n">
        <x:v>30.338</x:v>
      </x:c>
      <x:c r="K198" s="43" t="n">
        <x:f>J198-D198</x:f>
        <x:v>4.028000000000002</x:v>
      </x:c>
      <x:c r="L198" s="26" t="str">
        <x:v>未发现单一共同原因，需核验报价费率、原尺寸及原发票。</x:v>
      </x:c>
      <x:c r="M198" s="26" t="str">
        <x:v>账单已对账；预付试算接近（差≤0.15）</x:v>
      </x:c>
      <x:c r="N198" s="26" t="str">
        <x:v>20260626</x:v>
      </x:c>
      <x:c r="O198" s="26" t="n">
        <x:v>5</x:v>
      </x:c>
      <x:c r="P198" s="31" t="n">
        <x:v>25.000420531765116</x:v>
      </x:c>
      <x:c r="Q198" s="31" t="n">
        <x:v>29.7</x:v>
      </x:c>
      <x:c r="R198" s="26" t="n">
        <x:v>30</x:v>
      </x:c>
      <x:c r="S198" s="26" t="n">
        <x:v>166</x:v>
      </x:c>
      <x:c r="T198" s="43" t="n">
        <x:v>36.03</x:v>
      </x:c>
      <x:c r="U198" s="43" t="n">
        <x:v>-14.05</x:v>
      </x:c>
      <x:c r="V198" s="43" t="n">
        <x:v>0</x:v>
      </x:c>
      <x:c r="W198" s="43" t="n">
        <x:v>5.6</x:v>
      </x:c>
      <x:c r="X198" s="44" t="n">
        <x:v>0.255</x:v>
      </x:c>
      <x:c r="Y198" s="30" t="b">
        <x:v>0</x:v>
      </x:c>
      <x:c r="Z198" s="26" t="n">
        <x:v>5</x:v>
      </x:c>
      <x:c r="AA198" s="26" t="n">
        <x:v>25</x:v>
      </x:c>
      <x:c r="AB198" s="26" t="n">
        <x:v>166</x:v>
      </x:c>
      <x:c r="AC198" s="43" t="n">
        <x:v>26.3</x:v>
      </x:c>
    </x:row>
    <x:row r="199" ht="135" customHeight="1">
      <x:c r="A199" s="26" t="n">
        <x:v>198</x:v>
      </x:c>
      <x:c r="B199" s="26" t="str">
        <x:v>873544383510</x:v>
      </x:c>
      <x:c r="C199" s="26" t="str">
        <x:v>EL100V2</x:v>
      </x:c>
      <x:c r="D199" s="43" t="n">
        <x:v>26.31</x:v>
      </x:c>
      <x:c r="E199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F199" s="43" t="n">
        <x:v>26.3</x:v>
      </x:c>
      <x:c r="G199" s="43" t="n">
        <x:f>F199-D199</x:f>
        <x:v>-0.00999999999999801</x:v>
      </x:c>
      <x:c r="H199" s="26" t="str">
        <x:v>运输费36.03
−折扣14.05
＋燃油5.60
＝承运净额27.58
账单实收30.338（按既有收费规则）</x:v>
      </x:c>
      <x:c r="I199" s="43" t="n">
        <x:v>27.58</x:v>
      </x:c>
      <x:c r="J199" s="43" t="n">
        <x:v>30.338</x:v>
      </x:c>
      <x:c r="K199" s="43" t="n">
        <x:f>J199-D199</x:f>
        <x:v>4.028000000000002</x:v>
      </x:c>
      <x:c r="L199" s="26" t="str">
        <x:v>未发现单一共同原因，需核验报价费率、原尺寸及原发票。</x:v>
      </x:c>
      <x:c r="M199" s="26" t="str">
        <x:v>账单已对账；预付试算接近（差≤0.15）</x:v>
      </x:c>
      <x:c r="N199" s="26" t="str">
        <x:v>20260625</x:v>
      </x:c>
      <x:c r="O199" s="26" t="n">
        <x:v>5</x:v>
      </x:c>
      <x:c r="P199" s="31" t="n">
        <x:v>25.000420531765116</x:v>
      </x:c>
      <x:c r="Q199" s="31" t="n">
        <x:v>29.5</x:v>
      </x:c>
      <x:c r="R199" s="26" t="n">
        <x:v>30</x:v>
      </x:c>
      <x:c r="S199" s="26" t="n">
        <x:v>166</x:v>
      </x:c>
      <x:c r="T199" s="43" t="n">
        <x:v>36.03</x:v>
      </x:c>
      <x:c r="U199" s="43" t="n">
        <x:v>-14.05</x:v>
      </x:c>
      <x:c r="V199" s="43" t="n">
        <x:v>0</x:v>
      </x:c>
      <x:c r="W199" s="43" t="n">
        <x:v>5.6</x:v>
      </x:c>
      <x:c r="X199" s="44" t="n">
        <x:v>0.255</x:v>
      </x:c>
      <x:c r="Y199" s="30" t="b">
        <x:v>0</x:v>
      </x:c>
      <x:c r="Z199" s="26" t="n">
        <x:v>5</x:v>
      </x:c>
      <x:c r="AA199" s="26" t="n">
        <x:v>25</x:v>
      </x:c>
      <x:c r="AB199" s="26" t="n">
        <x:v>162</x:v>
      </x:c>
      <x:c r="AC199" s="43" t="n">
        <x:v>26.3</x:v>
      </x:c>
    </x:row>
    <x:row r="200" ht="135" customHeight="1">
      <x:c r="A200" s="26" t="n">
        <x:v>199</x:v>
      </x:c>
      <x:c r="B200" s="26" t="str">
        <x:v>874087509761</x:v>
      </x:c>
      <x:c r="C200" s="26" t="str">
        <x:v>EL100V2</x:v>
      </x:c>
      <x:c r="D200" s="43" t="n">
        <x:v>26.2</x:v>
      </x:c>
      <x:c r="E200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00" s="43" t="n">
        <x:v>26.19</x:v>
      </x:c>
      <x:c r="G200" s="43" t="n">
        <x:f>F200-D200</x:f>
        <x:v>-0.00999999999999801</x:v>
      </x:c>
      <x:c r="H200" s="26" t="str">
        <x:v>运输费36.03
−折扣14.05
＋燃油5.50
＝承运净额27.48
账单实收30.228（按既有收费规则）</x:v>
      </x:c>
      <x:c r="I200" s="43" t="n">
        <x:v>27.48</x:v>
      </x:c>
      <x:c r="J200" s="43" t="n">
        <x:v>30.228</x:v>
      </x:c>
      <x:c r="K200" s="43" t="n">
        <x:f>J200-D200</x:f>
        <x:v>4.028000000000002</x:v>
      </x:c>
      <x:c r="L200" s="26" t="str">
        <x:v>未发现单一共同原因，需核验报价费率、原尺寸及原发票。</x:v>
      </x:c>
      <x:c r="M200" s="26" t="str">
        <x:v>账单已对账；预付试算接近（差≤0.15）</x:v>
      </x:c>
      <x:c r="N200" s="26" t="str">
        <x:v>20260709</x:v>
      </x:c>
      <x:c r="O200" s="26" t="n">
        <x:v>5</x:v>
      </x:c>
      <x:c r="P200" s="31" t="n">
        <x:v>25.000420531765116</x:v>
      </x:c>
      <x:c r="Q200" s="31" t="n">
        <x:v>29.8</x:v>
      </x:c>
      <x:c r="R200" s="26" t="n">
        <x:v>30</x:v>
      </x:c>
      <x:c r="S200" s="26" t="n">
        <x:v>166</x:v>
      </x:c>
      <x:c r="T200" s="43" t="n">
        <x:v>36.03</x:v>
      </x:c>
      <x:c r="U200" s="43" t="n">
        <x:v>-14.05</x:v>
      </x:c>
      <x:c r="V200" s="43" t="n">
        <x:v>0</x:v>
      </x:c>
      <x:c r="W200" s="43" t="n">
        <x:v>5.5</x:v>
      </x:c>
      <x:c r="X200" s="44" t="n">
        <x:v>0.25</x:v>
      </x:c>
      <x:c r="Y200" s="30" t="b">
        <x:v>0</x:v>
      </x:c>
      <x:c r="Z200" s="26" t="n">
        <x:v>5</x:v>
      </x:c>
      <x:c r="AA200" s="26" t="n">
        <x:v>25</x:v>
      </x:c>
      <x:c r="AB200" s="26" t="n">
        <x:v>349</x:v>
      </x:c>
      <x:c r="AC200" s="43" t="n">
        <x:v>26.19</x:v>
      </x:c>
    </x:row>
    <x:row r="201" ht="135" customHeight="1">
      <x:c r="A201" s="26" t="n">
        <x:v>200</x:v>
      </x:c>
      <x:c r="B201" s="26" t="str">
        <x:v>874086007450</x:v>
      </x:c>
      <x:c r="C201" s="26" t="str">
        <x:v>EL100V2</x:v>
      </x:c>
      <x:c r="D201" s="43" t="n">
        <x:v>26.2</x:v>
      </x:c>
      <x:c r="E201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01" s="43" t="n">
        <x:v>26.19</x:v>
      </x:c>
      <x:c r="G201" s="43" t="n">
        <x:f>F201-D201</x:f>
        <x:v>-0.00999999999999801</x:v>
      </x:c>
      <x:c r="H201" s="26" t="str">
        <x:v>运输费36.03
−折扣14.05
＋燃油5.50
＝承运净额27.48
账单实收30.228（按既有收费规则）</x:v>
      </x:c>
      <x:c r="I201" s="43" t="n">
        <x:v>27.48</x:v>
      </x:c>
      <x:c r="J201" s="43" t="n">
        <x:v>30.228</x:v>
      </x:c>
      <x:c r="K201" s="43" t="n">
        <x:f>J201-D201</x:f>
        <x:v>4.028000000000002</x:v>
      </x:c>
      <x:c r="L201" s="26" t="str">
        <x:v>未发现单一共同原因，需核验报价费率、原尺寸及原发票。</x:v>
      </x:c>
      <x:c r="M201" s="26" t="str">
        <x:v>账单已对账；预付试算接近（差≤0.15）</x:v>
      </x:c>
      <x:c r="N201" s="26" t="str">
        <x:v>20260709</x:v>
      </x:c>
      <x:c r="O201" s="26" t="n">
        <x:v>5</x:v>
      </x:c>
      <x:c r="P201" s="31" t="n">
        <x:v>25.000420531765116</x:v>
      </x:c>
      <x:c r="Q201" s="31" t="n">
        <x:v>29.6</x:v>
      </x:c>
      <x:c r="R201" s="26" t="n">
        <x:v>30</x:v>
      </x:c>
      <x:c r="S201" s="26" t="n">
        <x:v>166</x:v>
      </x:c>
      <x:c r="T201" s="43" t="n">
        <x:v>36.03</x:v>
      </x:c>
      <x:c r="U201" s="43" t="n">
        <x:v>-14.05</x:v>
      </x:c>
      <x:c r="V201" s="43" t="n">
        <x:v>0</x:v>
      </x:c>
      <x:c r="W201" s="43" t="n">
        <x:v>5.5</x:v>
      </x:c>
      <x:c r="X201" s="44" t="n">
        <x:v>0.25</x:v>
      </x:c>
      <x:c r="Y201" s="30" t="b">
        <x:v>0</x:v>
      </x:c>
      <x:c r="Z201" s="26" t="n">
        <x:v>5</x:v>
      </x:c>
      <x:c r="AA201" s="26" t="n">
        <x:v>25</x:v>
      </x:c>
      <x:c r="AB201" s="26" t="n">
        <x:v>348</x:v>
      </x:c>
      <x:c r="AC201" s="43" t="n">
        <x:v>26.19</x:v>
      </x:c>
    </x:row>
    <x:row r="202" ht="135" customHeight="1">
      <x:c r="A202" s="26" t="n">
        <x:v>201</x:v>
      </x:c>
      <x:c r="B202" s="26" t="str">
        <x:v>874515197234</x:v>
      </x:c>
      <x:c r="C202" s="26" t="str">
        <x:v>EL300</x:v>
      </x:c>
      <x:c r="D202" s="43" t="n">
        <x:v>95.71</x:v>
      </x:c>
      <x:c r="E202" s="26" t="str">
        <x:v>反推假设：56lb、Zone6（账单Zone6）。
标准运费68.01×61%≈41.49
＋假设折后附加费28.13
＋燃油(41.49＋28.13)×25.25%≈17.58
＝预估承运成本87.20
按既有收费规则折算→预付95.92；与原预付差+0.21。</x:v>
      </x:c>
      <x:c r="F202" s="43" t="n">
        <x:v>95.92</x:v>
      </x:c>
      <x:c r="G202" s="43" t="n">
        <x:f>F202-D202</x:f>
        <x:v>0.21000000000000796</x:v>
      </x:c>
      <x:c r="H202" s="26" t="str">
        <x:v>运输费72.55
−折扣28.29
＋Add'l Handling-Weight 28.12
＋燃油18.28
＝承运净额90.66
账单实收99.726（按既有收费规则）</x:v>
      </x:c>
      <x:c r="I202" s="43" t="n">
        <x:v>90.66</x:v>
      </x:c>
      <x:c r="J202" s="43" t="n">
        <x:v>99.726</x:v>
      </x:c>
      <x:c r="K202" s="43" t="n">
        <x:f>J202-D202</x:f>
        <x:v>4.016000000000005</x:v>
      </x:c>
      <x:c r="L202" s="26" t="str">
        <x:v>实际比预估重9.70lb，需核对称重与申报。
试算偏差较大：缺原始报价/折扣/尺寸，不能强行归因。</x:v>
      </x:c>
      <x:c r="M202" s="26" t="str">
        <x:v>账单已对账；现有假设未还原预付</x:v>
      </x:c>
      <x:c r="N202" s="26" t="str">
        <x:v>20260721</x:v>
      </x:c>
      <x:c r="O202" s="26" t="n">
        <x:v>6</x:v>
      </x:c>
      <x:c r="P202" s="31" t="n">
        <x:v>55.9974145949589</x:v>
      </x:c>
      <x:c r="Q202" s="31" t="n">
        <x:v>65.7</x:v>
      </x:c>
      <x:c r="R202" s="26" t="n">
        <x:v>66</x:v>
      </x:c>
      <x:c r="S202" s="26" t="n">
        <x:v>166</x:v>
      </x:c>
      <x:c r="T202" s="43" t="n">
        <x:v>72.55</x:v>
      </x:c>
      <x:c r="U202" s="43" t="n">
        <x:v>-28.29</x:v>
      </x:c>
      <x:c r="V202" s="43" t="n">
        <x:v>28.12</x:v>
      </x:c>
      <x:c r="W202" s="43" t="n">
        <x:v>18.28</x:v>
      </x:c>
      <x:c r="X202" s="44" t="n">
        <x:v>0.2525</x:v>
      </x:c>
      <x:c r="Y202" s="30" t="b">
        <x:v>0</x:v>
      </x:c>
      <x:c r="Z202" s="26" t="n">
        <x:v>6</x:v>
      </x:c>
      <x:c r="AA202" s="26" t="n">
        <x:v>56</x:v>
      </x:c>
      <x:c r="AB202" s="26" t="n">
        <x:v>498</x:v>
      </x:c>
      <x:c r="AC202" s="43" t="n">
        <x:v>95.92</x:v>
      </x:c>
    </x:row>
    <x:row r="203" ht="135" customHeight="1">
      <x:c r="A203" s="26" t="n">
        <x:v>202</x:v>
      </x:c>
      <x:c r="B203" s="26" t="str">
        <x:v>873807141577</x:v>
      </x:c>
      <x:c r="C203" s="26" t="str">
        <x:v>EL100V2</x:v>
      </x:c>
      <x:c r="D203" s="43" t="n">
        <x:v>26.25</x:v>
      </x:c>
      <x:c r="E203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F203" s="43" t="n">
        <x:v>26.19</x:v>
      </x:c>
      <x:c r="G203" s="43" t="n">
        <x:f>F203-D203</x:f>
        <x:v>-0.05999999999999872</x:v>
      </x:c>
      <x:c r="H203" s="26" t="str">
        <x:v>运输费36.03
−折扣14.05
＋燃油5.50
＝承运净额27.48
账单实收30.228（按既有收费规则）</x:v>
      </x:c>
      <x:c r="I203" s="43" t="n">
        <x:v>27.48</x:v>
      </x:c>
      <x:c r="J203" s="43" t="n">
        <x:v>30.228</x:v>
      </x:c>
      <x:c r="K203" s="43" t="n">
        <x:f>J203-D203</x:f>
        <x:v>3.9780000000000015</x:v>
      </x:c>
      <x:c r="L203" s="26" t="str">
        <x:v>未发现单一共同原因，需核验报价费率、原尺寸及原发票。</x:v>
      </x:c>
      <x:c r="M203" s="26" t="str">
        <x:v>账单已对账；预付试算接近（差≤0.15）</x:v>
      </x:c>
      <x:c r="N203" s="26" t="str">
        <x:v>20260710</x:v>
      </x:c>
      <x:c r="O203" s="26" t="n">
        <x:v>5</x:v>
      </x:c>
      <x:c r="P203" s="31" t="n">
        <x:v>25.000420531765116</x:v>
      </x:c>
      <x:c r="Q203" s="31" t="n">
        <x:v>29.8</x:v>
      </x:c>
      <x:c r="R203" s="26" t="n">
        <x:v>30</x:v>
      </x:c>
      <x:c r="S203" s="26" t="n">
        <x:v>166</x:v>
      </x:c>
      <x:c r="T203" s="43" t="n">
        <x:v>36.03</x:v>
      </x:c>
      <x:c r="U203" s="43" t="n">
        <x:v>-14.05</x:v>
      </x:c>
      <x:c r="V203" s="43" t="n">
        <x:v>0</x:v>
      </x:c>
      <x:c r="W203" s="43" t="n">
        <x:v>5.5</x:v>
      </x:c>
      <x:c r="X203" s="44" t="n">
        <x:v>0.25</x:v>
      </x:c>
      <x:c r="Y203" s="30" t="b">
        <x:v>0</x:v>
      </x:c>
      <x:c r="Z203" s="26" t="n">
        <x:v>5</x:v>
      </x:c>
      <x:c r="AA203" s="26" t="n">
        <x:v>25</x:v>
      </x:c>
      <x:c r="AB203" s="26" t="n">
        <x:v>321</x:v>
      </x:c>
      <x:c r="AC203" s="43" t="n">
        <x:v>26.19</x:v>
      </x:c>
    </x:row>
    <x:row r="204" ht="135" customHeight="1">
      <x:c r="A204" s="26" t="n">
        <x:v>203</x:v>
      </x:c>
      <x:c r="B204" s="26" t="str">
        <x:v>874712418775</x:v>
      </x:c>
      <x:c r="C204" s="26" t="str">
        <x:v>EL100V</x:v>
      </x:c>
      <x:c r="D204" s="43" t="n">
        <x:v>17.5</x:v>
      </x:c>
      <x:c r="E204" s="26" t="str">
        <x:v>反推假设：25lb、Zone2（账单Zone3）。
标准运费20.82×61%≈12.70
＋假设折后附加费0.00
＋燃油(12.70＋0.00)×25.25%≈3.21
＝预估承运成本15.91
按既有收费规则折算→预付17.50；与原预付差+0.00。</x:v>
      </x:c>
      <x:c r="F204" s="43" t="n">
        <x:v>17.5</x:v>
      </x:c>
      <x:c r="G204" s="43" t="n">
        <x:f>F204-D204</x:f>
        <x:v>0</x:v>
      </x:c>
      <x:c r="H204" s="26" t="str">
        <x:v>运输费25.51
−折扣9.95
＋燃油3.93
＝承运净额19.49
账单实收21.439（按既有收费规则）</x:v>
      </x:c>
      <x:c r="I204" s="43" t="n">
        <x:v>19.49</x:v>
      </x:c>
      <x:c r="J204" s="43" t="n">
        <x:v>21.439</x:v>
      </x:c>
      <x:c r="K204" s="43" t="n">
        <x:f>J204-D204</x:f>
        <x:v>3.939</x:v>
      </x:c>
      <x:c r="L204" s="26" t="str">
        <x:v>预付反推Zone2，最终Zone3；不代表分区错误，需查原邮编与合同。</x:v>
      </x:c>
      <x:c r="M204" s="26" t="str">
        <x:v>账单已对账；预付试算接近（差≤0.15）</x:v>
      </x:c>
      <x:c r="N204" s="26" t="str">
        <x:v>20260724</x:v>
      </x:c>
      <x:c r="O204" s="26" t="n">
        <x:v>3</x:v>
      </x:c>
      <x:c r="P204" s="31" t="n">
        <x:v>25.000420531765116</x:v>
      </x:c>
      <x:c r="Q204" s="31" t="n">
        <x:v>26.9</x:v>
      </x:c>
      <x:c r="R204" s="26" t="n">
        <x:v>27</x:v>
      </x:c>
      <x:c r="S204" s="26" t="n">
        <x:v>166</x:v>
      </x:c>
      <x:c r="T204" s="43" t="n">
        <x:v>25.51</x:v>
      </x:c>
      <x:c r="U204" s="43" t="n">
        <x:v>-9.95</x:v>
      </x:c>
      <x:c r="V204" s="43" t="n">
        <x:v>0</x:v>
      </x:c>
      <x:c r="W204" s="43" t="n">
        <x:v>3.93</x:v>
      </x:c>
      <x:c r="X204" s="44" t="n">
        <x:v>0.2525</x:v>
      </x:c>
      <x:c r="Y204" s="30" t="b">
        <x:v>0</x:v>
      </x:c>
      <x:c r="Z204" s="26" t="n">
        <x:v>2</x:v>
      </x:c>
      <x:c r="AA204" s="26" t="n">
        <x:v>25</x:v>
      </x:c>
      <x:c r="AB204" s="26" t="n">
        <x:v>536</x:v>
      </x:c>
      <x:c r="AC204" s="43" t="n">
        <x:v>20.24</x:v>
      </x:c>
    </x:row>
    <x:row r="205" ht="135" customHeight="1">
      <x:c r="A205" s="26" t="n">
        <x:v>204</x:v>
      </x:c>
      <x:c r="B205" s="26" t="str">
        <x:v>874647411990</x:v>
      </x:c>
      <x:c r="C205" s="26" t="str">
        <x:v>AC300</x:v>
      </x:c>
      <x:c r="D205" s="43" t="n">
        <x:v>125.38</x:v>
      </x:c>
      <x:c r="E205" s="26" t="str">
        <x:v>缺核对明细，无法重建预付；原预付仅按基础表保留。</x:v>
      </x:c>
      <x:c r="F205" s="43"/>
      <x:c r="G205" s="43"/>
      <x:c r="H205" s="26" t="str">
        <x:v>缺原始核对明细，无法拆分。</x:v>
      </x:c>
      <x:c r="I205" s="43"/>
      <x:c r="J205" s="43" t="n">
        <x:v>129.294</x:v>
      </x:c>
      <x:c r="K205" s="43" t="n">
        <x:f>J205-D205</x:f>
        <x:v>3.9140000000000157</x:v>
      </x:c>
      <x:c r="L205" s="26" t="str">
        <x:v>核对表无唯一匹配费用明细，无法确认差距原因；需补原始FedEx账单。</x:v>
      </x:c>
      <x:c r="M205" s="26" t="str">
        <x:v>缺核对明细，原因未确认</x:v>
      </x:c>
      <x:c r="N205" s="26"/>
      <x:c r="O205" s="26"/>
      <x:c r="P205" s="31"/>
      <x:c r="Q205" s="31"/>
      <x:c r="R205" s="26"/>
      <x:c r="S205" s="26"/>
      <x:c r="T205" s="43"/>
      <x:c r="U205" s="43"/>
      <x:c r="V205" s="43"/>
      <x:c r="W205" s="43"/>
      <x:c r="X205" s="44"/>
      <x:c r="Y205" s="26"/>
      <x:c r="Z205" s="26"/>
      <x:c r="AA205" s="26"/>
      <x:c r="AB205" s="26"/>
      <x:c r="AC205" s="43"/>
    </x:row>
    <x:row r="206" ht="135" customHeight="1">
      <x:c r="A206" s="26" t="n">
        <x:v>205</x:v>
      </x:c>
      <x:c r="B206" s="26" t="str">
        <x:v>874199056704</x:v>
      </x:c>
      <x:c r="C206" s="26" t="str">
        <x:v>AC200L</x:v>
      </x:c>
      <x:c r="D206" s="43" t="n">
        <x:v>65.37</x:v>
      </x:c>
      <x:c r="E206" s="26" t="str">
        <x:v>反推假设：56lb、Zone3（账单Zone3）。
标准运费36.76×61%≈22.42
＋假设折后附加费25.13
＋燃油(22.42＋25.13)×25.00%≈11.89
＝预估承运成本59.44
按既有收费规则折算→预付65.38；与原预付差+0.01。</x:v>
      </x:c>
      <x:c r="F206" s="43" t="n">
        <x:v>65.38</x:v>
      </x:c>
      <x:c r="G206" s="43" t="n">
        <x:f>F206-D206</x:f>
        <x:v>0.009999999999990905</x:v>
      </x:c>
      <x:c r="H206" s="26" t="str">
        <x:v>运输费41.29
−折扣16.10
＋Add'l Handling-Weight 25.12
＋燃油12.58
＝承运净额62.89
账单实收69.179（按既有收费规则）</x:v>
      </x:c>
      <x:c r="I206" s="43" t="n">
        <x:v>62.89</x:v>
      </x:c>
      <x:c r="J206" s="43" t="n">
        <x:v>69.179</x:v>
      </x:c>
      <x:c r="K206" s="43" t="n">
        <x:f>J206-D206</x:f>
        <x:v>3.8089999999999975</x:v>
      </x:c>
      <x:c r="L206" s="26" t="str">
        <x:v>实际比预估重6.80lb，需核对称重与申报。</x:v>
      </x:c>
      <x:c r="M206" s="26" t="str">
        <x:v>账单已对账；预付试算接近（差≤0.15）</x:v>
      </x:c>
      <x:c r="N206" s="26" t="str">
        <x:v>20260717</x:v>
      </x:c>
      <x:c r="O206" s="26" t="n">
        <x:v>3</x:v>
      </x:c>
      <x:c r="P206" s="31" t="n">
        <x:v>55.9974145949589</x:v>
      </x:c>
      <x:c r="Q206" s="31" t="n">
        <x:v>62.8</x:v>
      </x:c>
      <x:c r="R206" s="26" t="n">
        <x:v>63</x:v>
      </x:c>
      <x:c r="S206" s="26" t="n">
        <x:v>166</x:v>
      </x:c>
      <x:c r="T206" s="43" t="n">
        <x:v>41.29</x:v>
      </x:c>
      <x:c r="U206" s="43" t="n">
        <x:v>-16.1</x:v>
      </x:c>
      <x:c r="V206" s="43" t="n">
        <x:v>25.12</x:v>
      </x:c>
      <x:c r="W206" s="43" t="n">
        <x:v>12.58</x:v>
      </x:c>
      <x:c r="X206" s="44" t="n">
        <x:v>0.25</x:v>
      </x:c>
      <x:c r="Y206" s="30" t="b">
        <x:v>0</x:v>
      </x:c>
      <x:c r="Z206" s="26" t="n">
        <x:v>3</x:v>
      </x:c>
      <x:c r="AA206" s="26" t="n">
        <x:v>56</x:v>
      </x:c>
      <x:c r="AB206" s="26" t="n">
        <x:v>435</x:v>
      </x:c>
      <x:c r="AC206" s="43" t="n">
        <x:v>65.38</x:v>
      </x:c>
    </x:row>
    <x:row r="207" ht="135" customHeight="1">
      <x:c r="A207" s="26" t="n">
        <x:v>206</x:v>
      </x:c>
      <x:c r="B207" s="26" t="str">
        <x:v>874454129625</x:v>
      </x:c>
      <x:c r="C207" s="26" t="str">
        <x:v>EL300</x:v>
      </x:c>
      <x:c r="D207" s="43" t="n">
        <x:v>95.73</x:v>
      </x:c>
      <x:c r="E207" s="26" t="str">
        <x:v>反推假设：58lb、Zone6（账单Zone6）。
标准运费68.04×61%≈41.50
＋假设折后附加费28.13
＋燃油(41.50＋28.13)×25.00%≈17.41
＝预估承运成本87.04
按既有收费规则折算→预付95.74；与原预付差+0.01。</x:v>
      </x:c>
      <x:c r="F207" s="43" t="n">
        <x:v>95.74</x:v>
      </x:c>
      <x:c r="G207" s="43" t="n">
        <x:f>F207-D207</x:f>
        <x:v>0.009999999999990905</x:v>
      </x:c>
      <x:c r="H207" s="26" t="str">
        <x:v>运输费72.55
−折扣28.29
＋Add'l Handling-Weight 28.12
＋燃油18.10
＝承运净额90.48
账单实收99.528（按既有收费规则）</x:v>
      </x:c>
      <x:c r="I207" s="43" t="n">
        <x:v>90.48</x:v>
      </x:c>
      <x:c r="J207" s="43" t="n">
        <x:v>99.528</x:v>
      </x:c>
      <x:c r="K207" s="43" t="n">
        <x:f>J207-D207</x:f>
        <x:v>3.798000000000002</x:v>
      </x:c>
      <x:c r="L207" s="26" t="str">
        <x:v>实际比预估重7.72lb，需核对称重与申报。</x:v>
      </x:c>
      <x:c r="M207" s="26" t="str">
        <x:v>账单已对账；预付试算接近（差≤0.15）</x:v>
      </x:c>
      <x:c r="N207" s="26" t="str">
        <x:v>20260716</x:v>
      </x:c>
      <x:c r="O207" s="26" t="n">
        <x:v>6</x:v>
      </x:c>
      <x:c r="P207" s="31" t="n">
        <x:v>57.9815749546228</x:v>
      </x:c>
      <x:c r="Q207" s="31" t="n">
        <x:v>65.7</x:v>
      </x:c>
      <x:c r="R207" s="26" t="n">
        <x:v>66</x:v>
      </x:c>
      <x:c r="S207" s="26" t="n">
        <x:v>166</x:v>
      </x:c>
      <x:c r="T207" s="43" t="n">
        <x:v>72.55</x:v>
      </x:c>
      <x:c r="U207" s="43" t="n">
        <x:v>-28.29</x:v>
      </x:c>
      <x:c r="V207" s="43" t="n">
        <x:v>28.12</x:v>
      </x:c>
      <x:c r="W207" s="43" t="n">
        <x:v>18.1</x:v>
      </x:c>
      <x:c r="X207" s="44" t="n">
        <x:v>0.25</x:v>
      </x:c>
      <x:c r="Y207" s="30" t="b">
        <x:v>0</x:v>
      </x:c>
      <x:c r="Z207" s="26" t="n">
        <x:v>6</x:v>
      </x:c>
      <x:c r="AA207" s="26" t="n">
        <x:v>58</x:v>
      </x:c>
      <x:c r="AB207" s="26" t="n">
        <x:v>450</x:v>
      </x:c>
      <x:c r="AC207" s="43" t="n">
        <x:v>95.74</x:v>
      </x:c>
    </x:row>
    <x:row r="208" ht="135" customHeight="1">
      <x:c r="A208" s="26" t="n">
        <x:v>207</x:v>
      </x:c>
      <x:c r="B208" s="26" t="str">
        <x:v>874461667390</x:v>
      </x:c>
      <x:c r="C208" s="26" t="str">
        <x:v>EL300</x:v>
      </x:c>
      <x:c r="D208" s="43" t="n">
        <x:v>66.86</x:v>
      </x:c>
      <x:c r="E208" s="26" t="str">
        <x:v>反推假设：61lb、Zone3（账单Zone3）。
标准运费38.53×61%≈23.50
＋假设折后附加费25.13
＋燃油(23.50＋25.13)×25.25%≈12.28
＝预估承运成本60.91
按既有收费规则折算→预付67.00；与原预付差+0.14。</x:v>
      </x:c>
      <x:c r="F208" s="43" t="n">
        <x:v>67</x:v>
      </x:c>
      <x:c r="G208" s="43" t="n">
        <x:f>F208-D208</x:f>
        <x:v>0.14000000000000057</x:v>
      </x:c>
      <x:c r="H208" s="26" t="str">
        <x:v>运输费42.82
−折扣16.70
＋Add'l Handling-Weight 25.12
＋燃油12.94
＝承运净额64.18
账单实收70.598（按既有收费规则）</x:v>
      </x:c>
      <x:c r="I208" s="43" t="n">
        <x:v>64.18</x:v>
      </x:c>
      <x:c r="J208" s="43" t="n">
        <x:v>70.598</x:v>
      </x:c>
      <x:c r="K208" s="43" t="n">
        <x:f>J208-D208</x:f>
        <x:v>3.7379999999999995</x:v>
      </x:c>
      <x:c r="L208" s="26" t="str">
        <x:v>未发现单一共同原因，需核验报价费率、原尺寸及原发票。</x:v>
      </x:c>
      <x:c r="M208" s="26" t="str">
        <x:v>账单已对账；预付试算接近（差≤0.15）</x:v>
      </x:c>
      <x:c r="N208" s="26" t="str">
        <x:v>20260720</x:v>
      </x:c>
      <x:c r="O208" s="26" t="n">
        <x:v>3</x:v>
      </x:c>
      <x:c r="P208" s="31" t="n">
        <x:v>60.49484474353041</x:v>
      </x:c>
      <x:c r="Q208" s="31" t="n">
        <x:v>65.4</x:v>
      </x:c>
      <x:c r="R208" s="26" t="n">
        <x:v>66</x:v>
      </x:c>
      <x:c r="S208" s="26" t="n">
        <x:v>166</x:v>
      </x:c>
      <x:c r="T208" s="43" t="n">
        <x:v>42.82</x:v>
      </x:c>
      <x:c r="U208" s="43" t="n">
        <x:v>-16.7</x:v>
      </x:c>
      <x:c r="V208" s="43" t="n">
        <x:v>25.12</x:v>
      </x:c>
      <x:c r="W208" s="43" t="n">
        <x:v>12.94</x:v>
      </x:c>
      <x:c r="X208" s="44" t="n">
        <x:v>0.2525</x:v>
      </x:c>
      <x:c r="Y208" s="30" t="b">
        <x:v>0</x:v>
      </x:c>
      <x:c r="Z208" s="26" t="n">
        <x:v>3</x:v>
      </x:c>
      <x:c r="AA208" s="26" t="n">
        <x:v>61</x:v>
      </x:c>
      <x:c r="AB208" s="26" t="n">
        <x:v>459</x:v>
      </x:c>
      <x:c r="AC208" s="43" t="n">
        <x:v>67</x:v>
      </x:c>
    </x:row>
    <x:row r="209" ht="135" customHeight="1">
      <x:c r="A209" s="26" t="n">
        <x:v>208</x:v>
      </x:c>
      <x:c r="B209" s="26" t="str">
        <x:v>873857958281</x:v>
      </x:c>
      <x:c r="C209" s="26" t="str">
        <x:v>EL100V2</x:v>
      </x:c>
      <x:c r="D209" s="43" t="n">
        <x:v>21.72</x:v>
      </x:c>
      <x:c r="E209" s="26" t="str">
        <x:v>缺核对明细，无法重建预付；原预付仅按基础表保留。</x:v>
      </x:c>
      <x:c r="F209" s="43"/>
      <x:c r="G209" s="43"/>
      <x:c r="H209" s="26" t="str">
        <x:v>缺原始核对明细，无法拆分。</x:v>
      </x:c>
      <x:c r="I209" s="43"/>
      <x:c r="J209" s="43" t="n">
        <x:v>25.388</x:v>
      </x:c>
      <x:c r="K209" s="43" t="n">
        <x:f>J209-D209</x:f>
        <x:v>3.668000000000003</x:v>
      </x:c>
      <x:c r="L209" s="26" t="str">
        <x:v>核对表无唯一匹配费用明细，无法确认差距原因；需补原始FedEx账单。</x:v>
      </x:c>
      <x:c r="M209" s="26" t="str">
        <x:v>缺核对明细，原因未确认</x:v>
      </x:c>
      <x:c r="N209" s="26"/>
      <x:c r="O209" s="26"/>
      <x:c r="P209" s="31"/>
      <x:c r="Q209" s="31"/>
      <x:c r="R209" s="26"/>
      <x:c r="S209" s="26"/>
      <x:c r="T209" s="43"/>
      <x:c r="U209" s="43"/>
      <x:c r="V209" s="43"/>
      <x:c r="W209" s="43"/>
      <x:c r="X209" s="44"/>
      <x:c r="Y209" s="26"/>
      <x:c r="Z209" s="26"/>
      <x:c r="AA209" s="26"/>
      <x:c r="AB209" s="26"/>
      <x:c r="AC209" s="43"/>
    </x:row>
    <x:row r="210" ht="135" customHeight="1">
      <x:c r="A210" s="26" t="n">
        <x:v>209</x:v>
      </x:c>
      <x:c r="B210" s="26" t="str">
        <x:v>875136838411</x:v>
      </x:c>
      <x:c r="C210" s="26" t="str">
        <x:v>AC2A</x:v>
      </x:c>
      <x:c r="D210" s="43" t="n">
        <x:v>19.12</x:v>
      </x:c>
      <x:c r="E210" s="26" t="str">
        <x:v>缺核对明细，无法重建预付；原预付仅按基础表保留。</x:v>
      </x:c>
      <x:c r="F210" s="43"/>
      <x:c r="G210" s="43"/>
      <x:c r="H210" s="26" t="str">
        <x:v>缺原始核对明细，无法拆分。</x:v>
      </x:c>
      <x:c r="I210" s="43"/>
      <x:c r="J210" s="43" t="n">
        <x:v>22.781</x:v>
      </x:c>
      <x:c r="K210" s="43" t="n">
        <x:f>J210-D210</x:f>
        <x:v>3.660999999999998</x:v>
      </x:c>
      <x:c r="L210" s="26" t="str">
        <x:v>核对表无唯一匹配费用明细，无法确认差距原因；需补原始FedEx账单。</x:v>
      </x:c>
      <x:c r="M210" s="26" t="str">
        <x:v>缺核对明细，原因未确认</x:v>
      </x:c>
      <x:c r="N210" s="26"/>
      <x:c r="O210" s="26"/>
      <x:c r="P210" s="31"/>
      <x:c r="Q210" s="31"/>
      <x:c r="R210" s="26"/>
      <x:c r="S210" s="26"/>
      <x:c r="T210" s="43"/>
      <x:c r="U210" s="43"/>
      <x:c r="V210" s="43"/>
      <x:c r="W210" s="43"/>
      <x:c r="X210" s="44"/>
      <x:c r="Y210" s="26"/>
      <x:c r="Z210" s="26"/>
      <x:c r="AA210" s="26"/>
      <x:c r="AB210" s="26"/>
      <x:c r="AC210" s="43"/>
    </x:row>
    <x:row r="211" ht="135" customHeight="1">
      <x:c r="A211" s="26" t="n">
        <x:v>210</x:v>
      </x:c>
      <x:c r="B211" s="26" t="str">
        <x:v>874457397667</x:v>
      </x:c>
      <x:c r="C211" s="26"/>
      <x:c r="D211" s="43" t="n">
        <x:v>21.67</x:v>
      </x:c>
      <x:c r="E211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F211" s="43" t="n">
        <x:v>21.71</x:v>
      </x:c>
      <x:c r="G211" s="43" t="n">
        <x:f>F211-D211</x:f>
        <x:v>0.03999999999999915</x:v>
      </x:c>
      <x:c r="H211" s="26" t="str">
        <x:v>运输费30.08
−折扣11.73
＋燃油4.63
＝承运净额22.98
账单实收25.278（按既有收费规则）</x:v>
      </x:c>
      <x:c r="I211" s="43" t="n">
        <x:v>22.98</x:v>
      </x:c>
      <x:c r="J211" s="43" t="n">
        <x:v>25.278</x:v>
      </x:c>
      <x:c r="K211" s="43" t="n">
        <x:f>J211-D211</x:f>
        <x:v>3.607999999999997</x:v>
      </x:c>
      <x:c r="L211" s="26" t="str">
        <x:v>未发现单一共同原因，需核验报价费率、原尺寸及原发票。</x:v>
      </x:c>
      <x:c r="M211" s="26" t="str">
        <x:v>账单已对账；预付试算接近（差≤0.15）</x:v>
      </x:c>
      <x:c r="N211" s="26" t="str">
        <x:v>20260722</x:v>
      </x:c>
      <x:c r="O211" s="26" t="n">
        <x:v>4</x:v>
      </x:c>
      <x:c r="P211" s="31" t="n">
        <x:v>25.000420531765116</x:v>
      </x:c>
      <x:c r="Q211" s="31" t="n">
        <x:v>29.2</x:v>
      </x:c>
      <x:c r="R211" s="26" t="n">
        <x:v>30</x:v>
      </x:c>
      <x:c r="S211" s="26" t="n">
        <x:v>166</x:v>
      </x:c>
      <x:c r="T211" s="43" t="n">
        <x:v>30.08</x:v>
      </x:c>
      <x:c r="U211" s="43" t="n">
        <x:v>-11.73</x:v>
      </x:c>
      <x:c r="V211" s="43" t="n">
        <x:v>0</x:v>
      </x:c>
      <x:c r="W211" s="43" t="n">
        <x:v>4.63</x:v>
      </x:c>
      <x:c r="X211" s="44" t="n">
        <x:v>0.2525</x:v>
      </x:c>
      <x:c r="Y211" s="30" t="b">
        <x:v>0</x:v>
      </x:c>
      <x:c r="Z211" s="26" t="n">
        <x:v>4</x:v>
      </x:c>
      <x:c r="AA211" s="26" t="n">
        <x:v>25</x:v>
      </x:c>
      <x:c r="AB211" s="26" t="n">
        <x:v>490</x:v>
      </x:c>
      <x:c r="AC211" s="43" t="n">
        <x:v>21.71</x:v>
      </x:c>
    </x:row>
    <x:row r="212" ht="135" customHeight="1">
      <x:c r="A212" s="26" t="n">
        <x:v>211</x:v>
      </x:c>
      <x:c r="B212" s="26" t="str">
        <x:v>874405572227</x:v>
      </x:c>
      <x:c r="C212" s="26" t="str">
        <x:v>EL100V2</x:v>
      </x:c>
      <x:c r="D212" s="43" t="n">
        <x:v>21.67</x:v>
      </x:c>
      <x:c r="E212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F212" s="43" t="n">
        <x:v>21.71</x:v>
      </x:c>
      <x:c r="G212" s="43" t="n">
        <x:f>F212-D212</x:f>
        <x:v>0.03999999999999915</x:v>
      </x:c>
      <x:c r="H212" s="26" t="str">
        <x:v>运输费30.08
−折扣11.73
＋燃油4.63
＝承运净额22.98
账单实收25.278（按既有收费规则）</x:v>
      </x:c>
      <x:c r="I212" s="43" t="n">
        <x:v>22.98</x:v>
      </x:c>
      <x:c r="J212" s="43" t="n">
        <x:v>25.278</x:v>
      </x:c>
      <x:c r="K212" s="43" t="n">
        <x:f>J212-D212</x:f>
        <x:v>3.607999999999997</x:v>
      </x:c>
      <x:c r="L212" s="26" t="str">
        <x:v>未发现单一共同原因，需核验报价费率、原尺寸及原发票。</x:v>
      </x:c>
      <x:c r="M212" s="26" t="str">
        <x:v>账单已对账；预付试算接近（差≤0.15）</x:v>
      </x:c>
      <x:c r="N212" s="26" t="str">
        <x:v>20260720</x:v>
      </x:c>
      <x:c r="O212" s="26" t="n">
        <x:v>4</x:v>
      </x:c>
      <x:c r="P212" s="31" t="n">
        <x:v>25.000420531765116</x:v>
      </x:c>
      <x:c r="Q212" s="31" t="n">
        <x:v>29.1</x:v>
      </x:c>
      <x:c r="R212" s="26" t="n">
        <x:v>30</x:v>
      </x:c>
      <x:c r="S212" s="26" t="n">
        <x:v>166</x:v>
      </x:c>
      <x:c r="T212" s="43" t="n">
        <x:v>30.08</x:v>
      </x:c>
      <x:c r="U212" s="43" t="n">
        <x:v>-11.73</x:v>
      </x:c>
      <x:c r="V212" s="43" t="n">
        <x:v>0</x:v>
      </x:c>
      <x:c r="W212" s="43" t="n">
        <x:v>4.63</x:v>
      </x:c>
      <x:c r="X212" s="44" t="n">
        <x:v>0.2525</x:v>
      </x:c>
      <x:c r="Y212" s="30" t="b">
        <x:v>0</x:v>
      </x:c>
      <x:c r="Z212" s="26" t="n">
        <x:v>4</x:v>
      </x:c>
      <x:c r="AA212" s="26" t="n">
        <x:v>25</x:v>
      </x:c>
      <x:c r="AB212" s="26" t="n">
        <x:v>468</x:v>
      </x:c>
      <x:c r="AC212" s="43" t="n">
        <x:v>21.71</x:v>
      </x:c>
    </x:row>
    <x:row r="213" ht="135" customHeight="1">
      <x:c r="A213" s="26" t="n">
        <x:v>212</x:v>
      </x:c>
      <x:c r="B213" s="26" t="str">
        <x:v>874819305254</x:v>
      </x:c>
      <x:c r="C213" s="26" t="str">
        <x:v>EL100V2</x:v>
      </x:c>
      <x:c r="D213" s="43" t="n">
        <x:v>21.72</x:v>
      </x:c>
      <x:c r="E213" s="26" t="str">
        <x:v>缺核对明细，无法重建预付；原预付仅按基础表保留。</x:v>
      </x:c>
      <x:c r="F213" s="43"/>
      <x:c r="G213" s="43"/>
      <x:c r="H213" s="26" t="str">
        <x:v>缺原始核对明细，无法拆分。</x:v>
      </x:c>
      <x:c r="I213" s="43"/>
      <x:c r="J213" s="43" t="n">
        <x:v>25.278</x:v>
      </x:c>
      <x:c r="K213" s="43" t="n">
        <x:f>J213-D213</x:f>
        <x:v>3.558</x:v>
      </x:c>
      <x:c r="L213" s="26" t="str">
        <x:v>核对表无唯一匹配费用明细，无法确认差距原因；需补原始FedEx账单。</x:v>
      </x:c>
      <x:c r="M213" s="26" t="str">
        <x:v>缺核对明细，原因未确认</x:v>
      </x:c>
      <x:c r="N213" s="26"/>
      <x:c r="O213" s="26"/>
      <x:c r="P213" s="31"/>
      <x:c r="Q213" s="31"/>
      <x:c r="R213" s="26"/>
      <x:c r="S213" s="26"/>
      <x:c r="T213" s="43"/>
      <x:c r="U213" s="43"/>
      <x:c r="V213" s="43"/>
      <x:c r="W213" s="43"/>
      <x:c r="X213" s="44"/>
      <x:c r="Y213" s="26"/>
      <x:c r="Z213" s="26"/>
      <x:c r="AA213" s="26"/>
      <x:c r="AB213" s="26"/>
      <x:c r="AC213" s="43"/>
    </x:row>
    <x:row r="214" ht="135" customHeight="1">
      <x:c r="A214" s="26" t="n">
        <x:v>213</x:v>
      </x:c>
      <x:c r="B214" s="26" t="str">
        <x:v>873805604665</x:v>
      </x:c>
      <x:c r="C214" s="26" t="str">
        <x:v>EL100V2</x:v>
      </x:c>
      <x:c r="D214" s="43" t="n">
        <x:v>21.72</x:v>
      </x:c>
      <x:c r="E21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214" s="43" t="n">
        <x:v>21.71</x:v>
      </x:c>
      <x:c r="G214" s="43" t="n">
        <x:f>F214-D214</x:f>
        <x:v>-0.00999999999999801</x:v>
      </x:c>
      <x:c r="H214" s="26" t="str">
        <x:v>运输费30.08
−折扣11.73
＋燃油4.63
＝承运净额22.98
账单实收25.278（按既有收费规则）</x:v>
      </x:c>
      <x:c r="I214" s="43" t="n">
        <x:v>22.98</x:v>
      </x:c>
      <x:c r="J214" s="43" t="n">
        <x:v>25.278</x:v>
      </x:c>
      <x:c r="K214" s="43" t="n">
        <x:f>J214-D214</x:f>
        <x:v>3.558</x:v>
      </x:c>
      <x:c r="L214" s="26" t="str">
        <x:v>未发现单一共同原因，需核验报价费率、原尺寸及原发票。</x:v>
      </x:c>
      <x:c r="M214" s="26" t="str">
        <x:v>账单已对账；预付试算接近（差≤0.15）</x:v>
      </x:c>
      <x:c r="N214" s="26" t="str">
        <x:v>20260702</x:v>
      </x:c>
      <x:c r="O214" s="26" t="n">
        <x:v>4</x:v>
      </x:c>
      <x:c r="P214" s="31" t="n">
        <x:v>25.000420531765116</x:v>
      </x:c>
      <x:c r="Q214" s="31" t="n">
        <x:v>29.5</x:v>
      </x:c>
      <x:c r="R214" s="26" t="n">
        <x:v>30</x:v>
      </x:c>
      <x:c r="S214" s="26" t="n">
        <x:v>166</x:v>
      </x:c>
      <x:c r="T214" s="43" t="n">
        <x:v>30.08</x:v>
      </x:c>
      <x:c r="U214" s="43" t="n">
        <x:v>-11.73</x:v>
      </x:c>
      <x:c r="V214" s="43" t="n">
        <x:v>0</x:v>
      </x:c>
      <x:c r="W214" s="43" t="n">
        <x:v>4.63</x:v>
      </x:c>
      <x:c r="X214" s="44" t="n">
        <x:v>0.2525</x:v>
      </x:c>
      <x:c r="Y214" s="30" t="b">
        <x:v>0</x:v>
      </x:c>
      <x:c r="Z214" s="26" t="n">
        <x:v>4</x:v>
      </x:c>
      <x:c r="AA214" s="26" t="n">
        <x:v>25</x:v>
      </x:c>
      <x:c r="AB214" s="26" t="n">
        <x:v>234</x:v>
      </x:c>
      <x:c r="AC214" s="43" t="n">
        <x:v>21.71</x:v>
      </x:c>
    </x:row>
    <x:row r="215" ht="135" customHeight="1">
      <x:c r="A215" s="26" t="n">
        <x:v>214</x:v>
      </x:c>
      <x:c r="B215" s="26" t="str">
        <x:v>873684283590</x:v>
      </x:c>
      <x:c r="C215" s="26" t="str">
        <x:v>AC180</x:v>
      </x:c>
      <x:c r="D215" s="43" t="n">
        <x:v>30.19</x:v>
      </x:c>
      <x:c r="E215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F215" s="43" t="n">
        <x:v>30.2</x:v>
      </x:c>
      <x:c r="G215" s="43" t="n">
        <x:f>F215-D215</x:f>
        <x:v>0.00999999999999801</x:v>
      </x:c>
      <x:c r="H215" s="26" t="str">
        <x:v>运输费40.13
−折扣15.65
＋燃油6.18
＝承运净额30.66
账单实收33.726（按既有收费规则）</x:v>
      </x:c>
      <x:c r="I215" s="43" t="n">
        <x:v>30.66</x:v>
      </x:c>
      <x:c r="J215" s="43" t="n">
        <x:v>33.726</x:v>
      </x:c>
      <x:c r="K215" s="43" t="n">
        <x:f>J215-D215</x:f>
        <x:v>3.535999999999998</x:v>
      </x:c>
      <x:c r="L215" s="26" t="str">
        <x:v>未发现单一共同原因，需核验报价费率、原尺寸及原发票。</x:v>
      </x:c>
      <x:c r="M215" s="26" t="str">
        <x:v>账单已对账；预付试算接近（差≤0.15）</x:v>
      </x:c>
      <x:c r="N215" s="26" t="str">
        <x:v>20260629</x:v>
      </x:c>
      <x:c r="O215" s="26" t="n">
        <x:v>4</x:v>
      </x:c>
      <x:c r="P215" s="31" t="n">
        <x:v>37.98564777445441</x:v>
      </x:c>
      <x:c r="Q215" s="31" t="n">
        <x:v>42.8</x:v>
      </x:c>
      <x:c r="R215" s="26" t="n">
        <x:v>43</x:v>
      </x:c>
      <x:c r="S215" s="26" t="n">
        <x:v>166</x:v>
      </x:c>
      <x:c r="T215" s="43" t="n">
        <x:v>40.13</x:v>
      </x:c>
      <x:c r="U215" s="43" t="n">
        <x:v>-15.65</x:v>
      </x:c>
      <x:c r="V215" s="43" t="n">
        <x:v>0</x:v>
      </x:c>
      <x:c r="W215" s="43" t="n">
        <x:v>6.18</x:v>
      </x:c>
      <x:c r="X215" s="44" t="n">
        <x:v>0.2525</x:v>
      </x:c>
      <x:c r="Y215" s="30" t="b">
        <x:v>0</x:v>
      </x:c>
      <x:c r="Z215" s="26" t="n">
        <x:v>4</x:v>
      </x:c>
      <x:c r="AA215" s="26" t="n">
        <x:v>38</x:v>
      </x:c>
      <x:c r="AB215" s="26" t="n">
        <x:v>190</x:v>
      </x:c>
      <x:c r="AC215" s="43" t="n">
        <x:v>30.2</x:v>
      </x:c>
    </x:row>
    <x:row r="216" ht="135" customHeight="1">
      <x:c r="A216" s="26" t="n">
        <x:v>215</x:v>
      </x:c>
      <x:c r="B216" s="26" t="str">
        <x:v>874770576523</x:v>
      </x:c>
      <x:c r="C216" s="26" t="str">
        <x:v>AC200L</x:v>
      </x:c>
      <x:c r="D216" s="43" t="n">
        <x:v>74.1</x:v>
      </x:c>
      <x:c r="E216" s="26" t="str">
        <x:v>反推假设：63lb、Zone4（账单Zone4）。
标准运费46.98×61%≈28.66
＋假设折后附加费25.13
＋燃油(28.66＋25.13)×25.25%≈13.58
＝预估承运成本67.37
按既有收费规则折算→预付74.11；与原预付差+0.01。</x:v>
      </x:c>
      <x:c r="F216" s="43" t="n">
        <x:v>74.11</x:v>
      </x:c>
      <x:c r="G216" s="43" t="n">
        <x:f>F216-D216</x:f>
        <x:v>0.010000000000005116</x:v>
      </x:c>
      <x:c r="H216" s="26" t="str">
        <x:v>运输费51.18
−折扣19.96
＋Add'l Handling-Weight 25.12
＋燃油14.23
＝承运净额70.57
账单实收77.627（按既有收费规则）</x:v>
      </x:c>
      <x:c r="I216" s="43" t="n">
        <x:v>70.57</x:v>
      </x:c>
      <x:c r="J216" s="43" t="n">
        <x:v>77.627</x:v>
      </x:c>
      <x:c r="K216" s="43" t="n">
        <x:f>J216-D216</x:f>
        <x:v>3.527000000000001</x:v>
      </x:c>
      <x:c r="L216" s="26" t="str">
        <x:v>实际比预估重5.81lb，需核对称重与申报。</x:v>
      </x:c>
      <x:c r="M216" s="26" t="str">
        <x:v>账单已对账；预付试算接近（差≤0.15）</x:v>
      </x:c>
      <x:c r="N216" s="26" t="str">
        <x:v>20260723</x:v>
      </x:c>
      <x:c r="O216" s="26" t="n">
        <x:v>4</x:v>
      </x:c>
      <x:c r="P216" s="31" t="n">
        <x:v>62.390820198320355</x:v>
      </x:c>
      <x:c r="Q216" s="31" t="n">
        <x:v>68.2</x:v>
      </x:c>
      <x:c r="R216" s="26" t="n">
        <x:v>69</x:v>
      </x:c>
      <x:c r="S216" s="26" t="n">
        <x:v>166</x:v>
      </x:c>
      <x:c r="T216" s="43" t="n">
        <x:v>51.18</x:v>
      </x:c>
      <x:c r="U216" s="43" t="n">
        <x:v>-19.96</x:v>
      </x:c>
      <x:c r="V216" s="43" t="n">
        <x:v>25.12</x:v>
      </x:c>
      <x:c r="W216" s="43" t="n">
        <x:v>14.23</x:v>
      </x:c>
      <x:c r="X216" s="44" t="n">
        <x:v>0.2525</x:v>
      </x:c>
      <x:c r="Y216" s="30" t="b">
        <x:v>0</x:v>
      </x:c>
      <x:c r="Z216" s="26" t="n">
        <x:v>4</x:v>
      </x:c>
      <x:c r="AA216" s="26" t="n">
        <x:v>63</x:v>
      </x:c>
      <x:c r="AB216" s="26" t="n">
        <x:v>542</x:v>
      </x:c>
      <x:c r="AC216" s="43" t="n">
        <x:v>74.11</x:v>
      </x:c>
    </x:row>
    <x:row r="217" ht="135" customHeight="1">
      <x:c r="A217" s="26" t="n">
        <x:v>216</x:v>
      </x:c>
      <x:c r="B217" s="26" t="str">
        <x:v>874652959380</x:v>
      </x:c>
      <x:c r="C217" s="26" t="str">
        <x:v>AC180</x:v>
      </x:c>
      <x:c r="D217" s="43" t="n">
        <x:v>35.65</x:v>
      </x:c>
      <x:c r="E217" s="26" t="str">
        <x:v>缺核对明细，无法重建预付；原预付仅按基础表保留。</x:v>
      </x:c>
      <x:c r="F217" s="43"/>
      <x:c r="G217" s="43"/>
      <x:c r="H217" s="26" t="str">
        <x:v>缺原始核对明细，无法拆分。</x:v>
      </x:c>
      <x:c r="I217" s="43"/>
      <x:c r="J217" s="43" t="n">
        <x:v>39.149</x:v>
      </x:c>
      <x:c r="K217" s="43" t="n">
        <x:f>J217-D217</x:f>
        <x:v>3.4990000000000023</x:v>
      </x:c>
      <x:c r="L217" s="26" t="str">
        <x:v>核对表无唯一匹配费用明细，无法确认差距原因；需补原始FedEx账单。</x:v>
      </x:c>
      <x:c r="M217" s="26" t="str">
        <x:v>缺核对明细，原因未确认</x:v>
      </x:c>
      <x:c r="N217" s="26"/>
      <x:c r="O217" s="26"/>
      <x:c r="P217" s="31"/>
      <x:c r="Q217" s="31"/>
      <x:c r="R217" s="26"/>
      <x:c r="S217" s="26"/>
      <x:c r="T217" s="43"/>
      <x:c r="U217" s="43"/>
      <x:c r="V217" s="43"/>
      <x:c r="W217" s="43"/>
      <x:c r="X217" s="44"/>
      <x:c r="Y217" s="26"/>
      <x:c r="Z217" s="26"/>
      <x:c r="AA217" s="26"/>
      <x:c r="AB217" s="26"/>
      <x:c r="AC217" s="43"/>
    </x:row>
    <x:row r="218" ht="135" customHeight="1">
      <x:c r="A218" s="26" t="n">
        <x:v>217</x:v>
      </x:c>
      <x:c r="B218" s="26" t="str">
        <x:v>874587773324</x:v>
      </x:c>
      <x:c r="C218" s="26" t="str">
        <x:v>AC180</x:v>
      </x:c>
      <x:c r="D218" s="43" t="n">
        <x:v>30.19</x:v>
      </x:c>
      <x:c r="E218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F218" s="43" t="n">
        <x:v>30.2</x:v>
      </x:c>
      <x:c r="G218" s="43" t="n">
        <x:f>F218-D218</x:f>
        <x:v>0.00999999999999801</x:v>
      </x:c>
      <x:c r="H218" s="26" t="str">
        <x:v>运输费40.07
−折扣15.63
＋燃油6.17
＝承运净额30.61
账单实收33.671（按既有收费规则）</x:v>
      </x:c>
      <x:c r="I218" s="43" t="n">
        <x:v>30.61</x:v>
      </x:c>
      <x:c r="J218" s="43" t="n">
        <x:v>33.671</x:v>
      </x:c>
      <x:c r="K218" s="43" t="n">
        <x:f>J218-D218</x:f>
        <x:v>3.480999999999998</x:v>
      </x:c>
      <x:c r="L218" s="26" t="str">
        <x:v>未发现单一共同原因，需核验报价费率、原尺寸及原发票。</x:v>
      </x:c>
      <x:c r="M218" s="26" t="str">
        <x:v>账单已对账；预付试算接近（差≤0.15）</x:v>
      </x:c>
      <x:c r="N218" s="26" t="str">
        <x:v>20260721</x:v>
      </x:c>
      <x:c r="O218" s="26" t="n">
        <x:v>4</x:v>
      </x:c>
      <x:c r="P218" s="31" t="n">
        <x:v>37.98564777445441</x:v>
      </x:c>
      <x:c r="Q218" s="31" t="n">
        <x:v>41.7</x:v>
      </x:c>
      <x:c r="R218" s="26" t="n">
        <x:v>42</x:v>
      </x:c>
      <x:c r="S218" s="26" t="n">
        <x:v>166</x:v>
      </x:c>
      <x:c r="T218" s="43" t="n">
        <x:v>40.07</x:v>
      </x:c>
      <x:c r="U218" s="43" t="n">
        <x:v>-15.63</x:v>
      </x:c>
      <x:c r="V218" s="43" t="n">
        <x:v>0</x:v>
      </x:c>
      <x:c r="W218" s="43" t="n">
        <x:v>6.17</x:v>
      </x:c>
      <x:c r="X218" s="44" t="n">
        <x:v>0.2525</x:v>
      </x:c>
      <x:c r="Y218" s="30" t="b">
        <x:v>0</x:v>
      </x:c>
      <x:c r="Z218" s="26" t="n">
        <x:v>4</x:v>
      </x:c>
      <x:c r="AA218" s="26" t="n">
        <x:v>38</x:v>
      </x:c>
      <x:c r="AB218" s="26" t="n">
        <x:v>502</x:v>
      </x:c>
      <x:c r="AC218" s="43" t="n">
        <x:v>30.2</x:v>
      </x:c>
    </x:row>
    <x:row r="219" ht="135" customHeight="1">
      <x:c r="A219" s="26" t="n">
        <x:v>218</x:v>
      </x:c>
      <x:c r="B219" s="26" t="str">
        <x:v>873857594738</x:v>
      </x:c>
      <x:c r="C219" s="26" t="str">
        <x:v>AC180</x:v>
      </x:c>
      <x:c r="D219" s="43" t="n">
        <x:v>30.19</x:v>
      </x:c>
      <x:c r="E219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F219" s="43" t="n">
        <x:v>30.2</x:v>
      </x:c>
      <x:c r="G219" s="43" t="n">
        <x:f>F219-D219</x:f>
        <x:v>0.00999999999999801</x:v>
      </x:c>
      <x:c r="H219" s="26" t="str">
        <x:v>运输费40.07
−折扣15.63
＋燃油6.17
＝承运净额30.61
账单实收33.671（按既有收费规则）</x:v>
      </x:c>
      <x:c r="I219" s="43" t="n">
        <x:v>30.61</x:v>
      </x:c>
      <x:c r="J219" s="43" t="n">
        <x:v>33.671</x:v>
      </x:c>
      <x:c r="K219" s="43" t="n">
        <x:f>J219-D219</x:f>
        <x:v>3.480999999999998</x:v>
      </x:c>
      <x:c r="L219" s="26" t="str">
        <x:v>未发现单一共同原因，需核验报价费率、原尺寸及原发票。</x:v>
      </x:c>
      <x:c r="M219" s="26" t="str">
        <x:v>账单已对账；预付试算接近（差≤0.15）</x:v>
      </x:c>
      <x:c r="N219" s="26" t="str">
        <x:v>20260702</x:v>
      </x:c>
      <x:c r="O219" s="26" t="n">
        <x:v>4</x:v>
      </x:c>
      <x:c r="P219" s="31" t="n">
        <x:v>37.98564777445441</x:v>
      </x:c>
      <x:c r="Q219" s="31" t="n">
        <x:v>41.8</x:v>
      </x:c>
      <x:c r="R219" s="26" t="n">
        <x:v>42</x:v>
      </x:c>
      <x:c r="S219" s="26" t="n">
        <x:v>166</x:v>
      </x:c>
      <x:c r="T219" s="43" t="n">
        <x:v>40.07</x:v>
      </x:c>
      <x:c r="U219" s="43" t="n">
        <x:v>-15.63</x:v>
      </x:c>
      <x:c r="V219" s="43" t="n">
        <x:v>0</x:v>
      </x:c>
      <x:c r="W219" s="43" t="n">
        <x:v>6.17</x:v>
      </x:c>
      <x:c r="X219" s="44" t="n">
        <x:v>0.2525</x:v>
      </x:c>
      <x:c r="Y219" s="30" t="b">
        <x:v>0</x:v>
      </x:c>
      <x:c r="Z219" s="26" t="n">
        <x:v>4</x:v>
      </x:c>
      <x:c r="AA219" s="26" t="n">
        <x:v>38</x:v>
      </x:c>
      <x:c r="AB219" s="26" t="n">
        <x:v>244</x:v>
      </x:c>
      <x:c r="AC219" s="43" t="n">
        <x:v>30.2</x:v>
      </x:c>
    </x:row>
    <x:row r="220" ht="135" customHeight="1">
      <x:c r="A220" s="26" t="n">
        <x:v>219</x:v>
      </x:c>
      <x:c r="B220" s="26" t="str">
        <x:v>874085878859</x:v>
      </x:c>
      <x:c r="C220" s="26" t="str">
        <x:v>AC180</x:v>
      </x:c>
      <x:c r="D220" s="43" t="n">
        <x:v>30.14</x:v>
      </x:c>
      <x:c r="E220" s="26" t="str">
        <x:v>反推假设：38lb、Zone4（账单Zone4）。
标准运费35.93×61%≈21.92
＋假设折后附加费0.00
＋燃油(21.92＋0.00)×25.00%≈5.48
＝预估承运成本27.40
按既有收费规则折算→预付30.14；与原预付差+0.00。</x:v>
      </x:c>
      <x:c r="F220" s="43" t="n">
        <x:v>30.14</x:v>
      </x:c>
      <x:c r="G220" s="43" t="n">
        <x:f>F220-D220</x:f>
        <x:v>0</x:v>
      </x:c>
      <x:c r="H220" s="26" t="str">
        <x:v>运输费40.07
−折扣15.63
＋燃油6.11
＝承运净额30.55
账单实收33.605（按既有收费规则）</x:v>
      </x:c>
      <x:c r="I220" s="43" t="n">
        <x:v>30.55</x:v>
      </x:c>
      <x:c r="J220" s="43" t="n">
        <x:v>33.605</x:v>
      </x:c>
      <x:c r="K220" s="43" t="n">
        <x:f>J220-D220</x:f>
        <x:v>3.4649999999999963</x:v>
      </x:c>
      <x:c r="L220" s="26" t="str">
        <x:v>未发现单一共同原因，需核验报价费率、原尺寸及原发票。</x:v>
      </x:c>
      <x:c r="M220" s="26" t="str">
        <x:v>账单已对账；预付试算接近（差≤0.15）</x:v>
      </x:c>
      <x:c r="N220" s="26" t="str">
        <x:v>20260709</x:v>
      </x:c>
      <x:c r="O220" s="26" t="n">
        <x:v>4</x:v>
      </x:c>
      <x:c r="P220" s="31" t="n">
        <x:v>37.98564777445441</x:v>
      </x:c>
      <x:c r="Q220" s="31" t="n">
        <x:v>41.7</x:v>
      </x:c>
      <x:c r="R220" s="26" t="n">
        <x:v>42</x:v>
      </x:c>
      <x:c r="S220" s="26" t="n">
        <x:v>166</x:v>
      </x:c>
      <x:c r="T220" s="43" t="n">
        <x:v>40.07</x:v>
      </x:c>
      <x:c r="U220" s="43" t="n">
        <x:v>-15.63</x:v>
      </x:c>
      <x:c r="V220" s="43" t="n">
        <x:v>0</x:v>
      </x:c>
      <x:c r="W220" s="43" t="n">
        <x:v>6.11</x:v>
      </x:c>
      <x:c r="X220" s="44" t="n">
        <x:v>0.25</x:v>
      </x:c>
      <x:c r="Y220" s="30" t="b">
        <x:v>0</x:v>
      </x:c>
      <x:c r="Z220" s="26" t="n">
        <x:v>4</x:v>
      </x:c>
      <x:c r="AA220" s="26" t="n">
        <x:v>38</x:v>
      </x:c>
      <x:c r="AB220" s="26" t="n">
        <x:v>347</x:v>
      </x:c>
      <x:c r="AC220" s="43" t="n">
        <x:v>30.14</x:v>
      </x:c>
    </x:row>
    <x:row r="221" ht="135" customHeight="1">
      <x:c r="A221" s="26" t="n">
        <x:v>220</x:v>
      </x:c>
      <x:c r="B221" s="26" t="str">
        <x:v>873682371233</x:v>
      </x:c>
      <x:c r="C221" s="26" t="str">
        <x:v>AC70</x:v>
      </x:c>
      <x:c r="D221" s="43" t="n">
        <x:v>29.94</x:v>
      </x:c>
      <x:c r="E221" s="26" t="str">
        <x:v>反推假设：23lb、Zone6（账单Zone6）。
标准运费35.63×61%≈21.73
＋假设折后附加费0.00
＋燃油(21.73＋0.00)×25.00%≈5.43
＝预估承运成本27.16
按既有收费规则折算→预付29.88；与原预付差-0.06。</x:v>
      </x:c>
      <x:c r="F221" s="43" t="n">
        <x:v>29.88</x:v>
      </x:c>
      <x:c r="G221" s="43" t="n">
        <x:f>F221-D221</x:f>
        <x:v>-0.060000000000002274</x:v>
      </x:c>
      <x:c r="H221" s="26" t="str">
        <x:v>运输费39.81
−折扣15.53
＋燃油6.07
＝承运净额30.35
账单实收33.385（按既有收费规则）</x:v>
      </x:c>
      <x:c r="I221" s="43" t="n">
        <x:v>30.35</x:v>
      </x:c>
      <x:c r="J221" s="43" t="n">
        <x:v>33.385</x:v>
      </x:c>
      <x:c r="K221" s="43" t="n">
        <x:f>J221-D221</x:f>
        <x:v>3.4449999999999967</x:v>
      </x:c>
      <x:c r="L221" s="26" t="str">
        <x:v>未发现单一共同原因，需核验报价费率、原尺寸及原发票。</x:v>
      </x:c>
      <x:c r="M221" s="26" t="str">
        <x:v>账单已对账；预付试算接近（差≤0.15）</x:v>
      </x:c>
      <x:c r="N221" s="26" t="str">
        <x:v>20260706</x:v>
      </x:c>
      <x:c r="O221" s="26" t="n">
        <x:v>6</x:v>
      </x:c>
      <x:c r="P221" s="31" t="n">
        <x:v>22.99421394588273</x:v>
      </x:c>
      <x:c r="Q221" s="31" t="n">
        <x:v>26.1</x:v>
      </x:c>
      <x:c r="R221" s="26" t="n">
        <x:v>26</x:v>
      </x:c>
      <x:c r="S221" s="26" t="n">
        <x:v>166</x:v>
      </x:c>
      <x:c r="T221" s="43" t="n">
        <x:v>39.81</x:v>
      </x:c>
      <x:c r="U221" s="43" t="n">
        <x:v>-15.53</x:v>
      </x:c>
      <x:c r="V221" s="43" t="n">
        <x:v>0</x:v>
      </x:c>
      <x:c r="W221" s="43" t="n">
        <x:v>6.07</x:v>
      </x:c>
      <x:c r="X221" s="44" t="n">
        <x:v>0.25</x:v>
      </x:c>
      <x:c r="Y221" s="30" t="b">
        <x:v>0</x:v>
      </x:c>
      <x:c r="Z221" s="26" t="n">
        <x:v>6</x:v>
      </x:c>
      <x:c r="AA221" s="26" t="n">
        <x:v>23</x:v>
      </x:c>
      <x:c r="AB221" s="26" t="n">
        <x:v>285</x:v>
      </x:c>
      <x:c r="AC221" s="43" t="n">
        <x:v>29.88</x:v>
      </x:c>
    </x:row>
    <x:row r="222" ht="135" customHeight="1">
      <x:c r="A222" s="26" t="n">
        <x:v>221</x:v>
      </x:c>
      <x:c r="B222" s="26" t="str">
        <x:v>874352788599</x:v>
      </x:c>
      <x:c r="C222" s="26" t="str">
        <x:v>AC180</x:v>
      </x:c>
      <x:c r="D222" s="43" t="n">
        <x:v>28.91</x:v>
      </x:c>
      <x:c r="E222" s="26" t="str">
        <x:v>反推假设：36lb、Zone4（账单Zone4）。
标准运费34.46×61%≈21.02
＋假设折后附加费0.00
＋燃油(21.02＋0.00)×25.00%≈5.26
＝预估承运成本26.28
按既有收费规则折算→预付28.91；与原预付差+0.00。</x:v>
      </x:c>
      <x:c r="F222" s="43" t="n">
        <x:v>28.91</x:v>
      </x:c>
      <x:c r="G222" s="43" t="n">
        <x:f>F222-D222</x:f>
        <x:v>0</x:v>
      </x:c>
      <x:c r="H222" s="26" t="str">
        <x:v>运输费38.57
−折扣15.04
＋燃油5.88
＝承运净额29.41
账单实收32.351（按既有收费规则）</x:v>
      </x:c>
      <x:c r="I222" s="43" t="n">
        <x:v>29.41</x:v>
      </x:c>
      <x:c r="J222" s="43" t="n">
        <x:v>32.351</x:v>
      </x:c>
      <x:c r="K222" s="43" t="n">
        <x:f>J222-D222</x:f>
        <x:v>3.440999999999999</x:v>
      </x:c>
      <x:c r="L222" s="26" t="str">
        <x:v>实际比预估重5.03lb，需核对称重与申报。</x:v>
      </x:c>
      <x:c r="M222" s="26" t="str">
        <x:v>账单已对账；预付试算接近（差≤0.15）</x:v>
      </x:c>
      <x:c r="N222" s="26" t="str">
        <x:v>20260716</x:v>
      </x:c>
      <x:c r="O222" s="26" t="n">
        <x:v>4</x:v>
      </x:c>
      <x:c r="P222" s="31" t="n">
        <x:v>35.27396194958041</x:v>
      </x:c>
      <x:c r="Q222" s="31" t="n">
        <x:v>40.3</x:v>
      </x:c>
      <x:c r="R222" s="26" t="n">
        <x:v>41</x:v>
      </x:c>
      <x:c r="S222" s="26" t="n">
        <x:v>166</x:v>
      </x:c>
      <x:c r="T222" s="43" t="n">
        <x:v>38.57</x:v>
      </x:c>
      <x:c r="U222" s="43" t="n">
        <x:v>-15.04</x:v>
      </x:c>
      <x:c r="V222" s="43" t="n">
        <x:v>0</x:v>
      </x:c>
      <x:c r="W222" s="43" t="n">
        <x:v>5.88</x:v>
      </x:c>
      <x:c r="X222" s="44" t="n">
        <x:v>0.25</x:v>
      </x:c>
      <x:c r="Y222" s="30" t="b">
        <x:v>0</x:v>
      </x:c>
      <x:c r="Z222" s="26" t="n">
        <x:v>4</x:v>
      </x:c>
      <x:c r="AA222" s="26" t="n">
        <x:v>36</x:v>
      </x:c>
      <x:c r="AB222" s="26" t="n">
        <x:v>440</x:v>
      </x:c>
      <x:c r="AC222" s="43" t="n">
        <x:v>28.91</x:v>
      </x:c>
    </x:row>
    <x:row r="223" ht="135" customHeight="1">
      <x:c r="A223" s="26" t="n">
        <x:v>222</x:v>
      </x:c>
      <x:c r="B223" s="26" t="str">
        <x:v>873597902928</x:v>
      </x:c>
      <x:c r="C223" s="26" t="str">
        <x:v>AC180</x:v>
      </x:c>
      <x:c r="D223" s="43" t="n">
        <x:v>30.26</x:v>
      </x:c>
      <x:c r="E223" s="26" t="str">
        <x:v>反推假设：38lb、Zone4（账单Zone4）。
标准运费35.93×61%≈21.92
＋假设折后附加费0.00
＋燃油(21.92＋0.00)×25.25%≈5.53
＝预估承运成本27.45
按既有收费规则折算→预付30.20；与原预付差-0.06。</x:v>
      </x:c>
      <x:c r="F223" s="43" t="n">
        <x:v>30.2</x:v>
      </x:c>
      <x:c r="G223" s="43" t="n">
        <x:f>F223-D223</x:f>
        <x:v>-0.060000000000002274</x:v>
      </x:c>
      <x:c r="H223" s="26" t="str">
        <x:v>运输费40.07
−折扣15.63
＋燃油6.17
＝承运净额30.61
账单实收33.671（按既有收费规则）</x:v>
      </x:c>
      <x:c r="I223" s="43" t="n">
        <x:v>30.61</x:v>
      </x:c>
      <x:c r="J223" s="43" t="n">
        <x:v>33.671</x:v>
      </x:c>
      <x:c r="K223" s="43" t="n">
        <x:f>J223-D223</x:f>
        <x:v>3.410999999999998</x:v>
      </x:c>
      <x:c r="L223" s="26" t="str">
        <x:v>未发现单一共同原因，需核验报价费率、原尺寸及原发票。</x:v>
      </x:c>
      <x:c r="M223" s="26" t="str">
        <x:v>账单已对账；预付试算接近（差≤0.15）</x:v>
      </x:c>
      <x:c r="N223" s="26" t="str">
        <x:v>20260630</x:v>
      </x:c>
      <x:c r="O223" s="26" t="n">
        <x:v>4</x:v>
      </x:c>
      <x:c r="P223" s="31" t="n">
        <x:v>37.98564777445441</x:v>
      </x:c>
      <x:c r="Q223" s="31" t="n">
        <x:v>41.9</x:v>
      </x:c>
      <x:c r="R223" s="26" t="n">
        <x:v>42</x:v>
      </x:c>
      <x:c r="S223" s="26" t="n">
        <x:v>166</x:v>
      </x:c>
      <x:c r="T223" s="43" t="n">
        <x:v>40.07</x:v>
      </x:c>
      <x:c r="U223" s="43" t="n">
        <x:v>-15.63</x:v>
      </x:c>
      <x:c r="V223" s="43" t="n">
        <x:v>0</x:v>
      </x:c>
      <x:c r="W223" s="43" t="n">
        <x:v>6.17</x:v>
      </x:c>
      <x:c r="X223" s="44" t="n">
        <x:v>0.2525</x:v>
      </x:c>
      <x:c r="Y223" s="30" t="b">
        <x:v>0</x:v>
      </x:c>
      <x:c r="Z223" s="26" t="n">
        <x:v>4</x:v>
      </x:c>
      <x:c r="AA223" s="26" t="n">
        <x:v>38</x:v>
      </x:c>
      <x:c r="AB223" s="26" t="n">
        <x:v>200</x:v>
      </x:c>
      <x:c r="AC223" s="43" t="n">
        <x:v>30.2</x:v>
      </x:c>
    </x:row>
    <x:row r="224" ht="135" customHeight="1">
      <x:c r="A224" s="26" t="n">
        <x:v>223</x:v>
      </x:c>
      <x:c r="B224" s="26" t="str">
        <x:v>873964145814</x:v>
      </x:c>
      <x:c r="C224" s="26" t="str">
        <x:v>EL100V2</x:v>
      </x:c>
      <x:c r="D224" s="43" t="n">
        <x:v>21.73</x:v>
      </x:c>
      <x:c r="E224" s="26" t="str">
        <x:v>反推假设：38lb、Zone2（账单Zone2）。
标准运费25.90×61%≈15.80
＋假设折后附加费0.00
＋燃油(15.80＋0.00)×25.00%≈3.95
＝预估承运成本19.75
按既有收费规则折算→预付21.73；与原预付差+0.00。</x:v>
      </x:c>
      <x:c r="F224" s="43" t="n">
        <x:v>21.73</x:v>
      </x:c>
      <x:c r="G224" s="43" t="n">
        <x:f>F224-D224</x:f>
        <x:v>0</x:v>
      </x:c>
      <x:c r="H224" s="26" t="str">
        <x:v>运输费29.97
−折扣11.69
＋燃油4.57
＝承运净额22.85
账单实收25.135（按既有收费规则）</x:v>
      </x:c>
      <x:c r="I224" s="43" t="n">
        <x:v>22.85</x:v>
      </x:c>
      <x:c r="J224" s="43" t="n">
        <x:v>25.135</x:v>
      </x:c>
      <x:c r="K224" s="43" t="n">
        <x:f>J224-D224</x:f>
        <x:v>3.405000000000001</x:v>
      </x:c>
      <x:c r="L224" s="26" t="str">
        <x:v>未发现单一共同原因，需核验报价费率、原尺寸及原发票。</x:v>
      </x:c>
      <x:c r="M224" s="26" t="str">
        <x:v>账单已对账；预付试算接近（差≤0.15）</x:v>
      </x:c>
      <x:c r="N224" s="26" t="str">
        <x:v>20260707</x:v>
      </x:c>
      <x:c r="O224" s="26" t="n">
        <x:v>2</x:v>
      </x:c>
      <x:c r="P224" s="31" t="n">
        <x:v>37.98564777445441</x:v>
      </x:c>
      <x:c r="Q224" s="31"/>
      <x:c r="R224" s="26" t="n">
        <x:v>59</x:v>
      </x:c>
      <x:c r="S224" s="26" t="n">
        <x:v>166</x:v>
      </x:c>
      <x:c r="T224" s="43" t="n">
        <x:v>29.97</x:v>
      </x:c>
      <x:c r="U224" s="43" t="n">
        <x:v>-11.69</x:v>
      </x:c>
      <x:c r="V224" s="43" t="n">
        <x:v>0</x:v>
      </x:c>
      <x:c r="W224" s="43" t="n">
        <x:v>4.57</x:v>
      </x:c>
      <x:c r="X224" s="44" t="n">
        <x:v>0.25</x:v>
      </x:c>
      <x:c r="Y224" s="30" t="b">
        <x:v>0</x:v>
      </x:c>
      <x:c r="Z224" s="26" t="n">
        <x:v>2</x:v>
      </x:c>
      <x:c r="AA224" s="26" t="n">
        <x:v>38</x:v>
      </x:c>
      <x:c r="AB224" s="26" t="n">
        <x:v>273</x:v>
      </x:c>
      <x:c r="AC224" s="43" t="n">
        <x:v>21.73</x:v>
      </x:c>
    </x:row>
    <x:row r="225" ht="135" customHeight="1">
      <x:c r="A225" s="26" t="n">
        <x:v>224</x:v>
      </x:c>
      <x:c r="B225" s="26" t="str">
        <x:v>873354490358</x:v>
      </x:c>
      <x:c r="C225" s="26" t="str">
        <x:v>AC70</x:v>
      </x:c>
      <x:c r="D225" s="43" t="n">
        <x:v>20.78</x:v>
      </x:c>
      <x:c r="E225" s="26" t="str">
        <x:v>反推假设：23lb、Zone4（账单Zone4）。
标准运费24.68×61%≈15.05
＋假设折后附加费0.00
＋燃油(15.05＋0.00)×25.25%≈3.80
＝预估承运成本18.85
按既有收费规则折算→预付20.74；与原预付差-0.04。</x:v>
      </x:c>
      <x:c r="F225" s="43" t="n">
        <x:v>20.74</x:v>
      </x:c>
      <x:c r="G225" s="43" t="n">
        <x:f>F225-D225</x:f>
        <x:v>-0.0400000000000027</x:v>
      </x:c>
      <x:c r="H225" s="26" t="str">
        <x:v>运输费28.72
−折扣11.20
＋燃油4.42
＝承运净额21.94
账单实收24.134（按既有收费规则）</x:v>
      </x:c>
      <x:c r="I225" s="43" t="n">
        <x:v>21.94</x:v>
      </x:c>
      <x:c r="J225" s="43" t="n">
        <x:v>24.134</x:v>
      </x:c>
      <x:c r="K225" s="43" t="n">
        <x:f>J225-D225</x:f>
        <x:v>3.353999999999999</x:v>
      </x:c>
      <x:c r="L225" s="26" t="str">
        <x:v>未发现单一共同原因，需核验报价费率、原尺寸及原发票。</x:v>
      </x:c>
      <x:c r="M225" s="26" t="str">
        <x:v>账单已对账；预付试算接近（差≤0.15）</x:v>
      </x:c>
      <x:c r="N225" s="26" t="str">
        <x:v>20260703</x:v>
      </x:c>
      <x:c r="O225" s="26" t="n">
        <x:v>4</x:v>
      </x:c>
      <x:c r="P225" s="31" t="n">
        <x:v>22.487150742857512</x:v>
      </x:c>
      <x:c r="Q225" s="31" t="n">
        <x:v>27.1</x:v>
      </x:c>
      <x:c r="R225" s="26" t="n">
        <x:v>28</x:v>
      </x:c>
      <x:c r="S225" s="26" t="n">
        <x:v>166</x:v>
      </x:c>
      <x:c r="T225" s="43" t="n">
        <x:v>28.72</x:v>
      </x:c>
      <x:c r="U225" s="43" t="n">
        <x:v>-11.2</x:v>
      </x:c>
      <x:c r="V225" s="43" t="n">
        <x:v>0</x:v>
      </x:c>
      <x:c r="W225" s="43" t="n">
        <x:v>4.42</x:v>
      </x:c>
      <x:c r="X225" s="44" t="n">
        <x:v>0.2525</x:v>
      </x:c>
      <x:c r="Y225" s="30" t="b">
        <x:v>0</x:v>
      </x:c>
      <x:c r="Z225" s="26" t="n">
        <x:v>4</x:v>
      </x:c>
      <x:c r="AA225" s="26" t="n">
        <x:v>23</x:v>
      </x:c>
      <x:c r="AB225" s="26" t="n">
        <x:v>214</x:v>
      </x:c>
      <x:c r="AC225" s="43" t="n">
        <x:v>20.74</x:v>
      </x:c>
    </x:row>
    <x:row r="226" ht="135" customHeight="1">
      <x:c r="A226" s="26" t="n">
        <x:v>225</x:v>
      </x:c>
      <x:c r="B226" s="26" t="str">
        <x:v>873243276841</x:v>
      </x:c>
      <x:c r="C226" s="26" t="str">
        <x:v>AC180</x:v>
      </x:c>
      <x:c r="D226" s="43" t="n">
        <x:v>29.14</x:v>
      </x:c>
      <x:c r="E226" s="26" t="str">
        <x:v>反推假设：36lb、Zone4（账单Zone4）。
标准运费34.46×61%≈21.02
＋假设折后附加费0.00
＋燃油(21.02＋0.00)×25.50%≈5.36
＝预估承运成本26.38
按既有收费规则折算→预付29.02；与原预付差-0.12。</x:v>
      </x:c>
      <x:c r="F226" s="43" t="n">
        <x:v>29.02</x:v>
      </x:c>
      <x:c r="G226" s="43" t="n">
        <x:f>F226-D226</x:f>
        <x:v>-0.120000000000001</x:v>
      </x:c>
      <x:c r="H226" s="26" t="str">
        <x:v>运输费38.57
−折扣15.04
＋燃油6.00
＝承运净额29.53
账单实收32.483（按既有收费规则）</x:v>
      </x:c>
      <x:c r="I226" s="43" t="n">
        <x:v>29.53</x:v>
      </x:c>
      <x:c r="J226" s="43" t="n">
        <x:v>32.483</x:v>
      </x:c>
      <x:c r="K226" s="43" t="n">
        <x:f>J226-D226</x:f>
        <x:v>3.3429999999999964</x:v>
      </x:c>
      <x:c r="L226" s="26" t="str">
        <x:v>实际比预估重5.33lb，需核对称重与申报。</x:v>
      </x:c>
      <x:c r="M226" s="26" t="str">
        <x:v>账单已对账；预付试算接近（差≤0.15）</x:v>
      </x:c>
      <x:c r="N226" s="26" t="str">
        <x:v>20260625</x:v>
      </x:c>
      <x:c r="O226" s="26" t="n">
        <x:v>4</x:v>
      </x:c>
      <x:c r="P226" s="31" t="n">
        <x:v>35.27396194958041</x:v>
      </x:c>
      <x:c r="Q226" s="31" t="n">
        <x:v>40.6</x:v>
      </x:c>
      <x:c r="R226" s="26" t="n">
        <x:v>41</x:v>
      </x:c>
      <x:c r="S226" s="26" t="n">
        <x:v>166</x:v>
      </x:c>
      <x:c r="T226" s="43" t="n">
        <x:v>38.57</x:v>
      </x:c>
      <x:c r="U226" s="43" t="n">
        <x:v>-15.04</x:v>
      </x:c>
      <x:c r="V226" s="43" t="n">
        <x:v>0</x:v>
      </x:c>
      <x:c r="W226" s="43" t="n">
        <x:v>6</x:v>
      </x:c>
      <x:c r="X226" s="44" t="n">
        <x:v>0.255</x:v>
      </x:c>
      <x:c r="Y226" s="30" t="b">
        <x:v>0</x:v>
      </x:c>
      <x:c r="Z226" s="26" t="n">
        <x:v>4</x:v>
      </x:c>
      <x:c r="AA226" s="26" t="n">
        <x:v>36</x:v>
      </x:c>
      <x:c r="AB226" s="26" t="n">
        <x:v>141</x:v>
      </x:c>
      <x:c r="AC226" s="43" t="n">
        <x:v>29.02</x:v>
      </x:c>
    </x:row>
    <x:row r="227" ht="135" customHeight="1">
      <x:c r="A227" s="26" t="n">
        <x:v>226</x:v>
      </x:c>
      <x:c r="B227" s="26" t="str">
        <x:v>873651295526</x:v>
      </x:c>
      <x:c r="C227" s="26" t="str">
        <x:v>EL300</x:v>
      </x:c>
      <x:c r="D227" s="43" t="n">
        <x:v>85.85</x:v>
      </x:c>
      <x:c r="E227" s="26" t="str">
        <x:v>反推假设：58lb、Zone5（账单Zone5）。
标准运费55.83×61%≈34.06
＋假设折后附加费28.13
＋燃油(34.06＋28.13)×25.50%≈15.86
＝预估承运成本78.05
按既有收费规则折算→预付85.86；与原预付差+0.01。</x:v>
      </x:c>
      <x:c r="F227" s="43" t="n">
        <x:v>85.86</x:v>
      </x:c>
      <x:c r="G227" s="43" t="n">
        <x:f>F227-D227</x:f>
        <x:v>0.010000000000005116</x:v>
      </x:c>
      <x:c r="H227" s="26" t="str">
        <x:v>运输费59.78
−折扣23.31
＋Add'l Handling-Weight 28.12
＋燃油16.47
＝承运净额81.06
账单实收89.166（按既有收费规则）</x:v>
      </x:c>
      <x:c r="I227" s="43" t="n">
        <x:v>81.06</x:v>
      </x:c>
      <x:c r="J227" s="43" t="n">
        <x:v>89.166</x:v>
      </x:c>
      <x:c r="K227" s="43" t="n">
        <x:f>J227-D227</x:f>
        <x:v>3.3160000000000025</x:v>
      </x:c>
      <x:c r="L227" s="26" t="str">
        <x:v>实际比预估重8.24lb，需核对称重与申报。</x:v>
      </x:c>
      <x:c r="M227" s="26" t="str">
        <x:v>账单已对账；预付试算接近（差≤0.15）</x:v>
      </x:c>
      <x:c r="N227" s="26" t="str">
        <x:v>20260627</x:v>
      </x:c>
      <x:c r="O227" s="26" t="n">
        <x:v>5</x:v>
      </x:c>
      <x:c r="P227" s="31" t="n">
        <x:v>57.95952872840431</x:v>
      </x:c>
      <x:c r="Q227" s="31" t="n">
        <x:v>66.2</x:v>
      </x:c>
      <x:c r="R227" s="26" t="n">
        <x:v>67</x:v>
      </x:c>
      <x:c r="S227" s="26" t="n">
        <x:v>166</x:v>
      </x:c>
      <x:c r="T227" s="43" t="n">
        <x:v>59.78</x:v>
      </x:c>
      <x:c r="U227" s="43" t="n">
        <x:v>-23.31</x:v>
      </x:c>
      <x:c r="V227" s="43" t="n">
        <x:v>28.12</x:v>
      </x:c>
      <x:c r="W227" s="43" t="n">
        <x:v>16.47</x:v>
      </x:c>
      <x:c r="X227" s="44" t="n">
        <x:v>0.255</x:v>
      </x:c>
      <x:c r="Y227" s="30" t="b">
        <x:v>0</x:v>
      </x:c>
      <x:c r="Z227" s="26" t="n">
        <x:v>5</x:v>
      </x:c>
      <x:c r="AA227" s="26" t="n">
        <x:v>58</x:v>
      </x:c>
      <x:c r="AB227" s="26" t="n">
        <x:v>202</x:v>
      </x:c>
      <x:c r="AC227" s="43" t="n">
        <x:v>85.86</x:v>
      </x:c>
    </x:row>
    <x:row r="228" ht="135" customHeight="1">
      <x:c r="A228" s="26" t="n">
        <x:v>227</x:v>
      </x:c>
      <x:c r="B228" s="26" t="str">
        <x:v>875132753001</x:v>
      </x:c>
      <x:c r="C228" s="26" t="str">
        <x:v>EL300</x:v>
      </x:c>
      <x:c r="D228" s="43" t="n">
        <x:v>72.1</x:v>
      </x:c>
      <x:c r="E228" s="26" t="str">
        <x:v>缺核对明细，无法重建预付；原预付仅按基础表保留。</x:v>
      </x:c>
      <x:c r="F228" s="43"/>
      <x:c r="G228" s="43"/>
      <x:c r="H228" s="26" t="str">
        <x:v>缺原始核对明细，无法拆分。</x:v>
      </x:c>
      <x:c r="I228" s="43"/>
      <x:c r="J228" s="43" t="n">
        <x:v>75.35</x:v>
      </x:c>
      <x:c r="K228" s="43" t="n">
        <x:f>J228-D228</x:f>
        <x:v>3.25</x:v>
      </x:c>
      <x:c r="L228" s="26" t="str">
        <x:v>核对表无唯一匹配费用明细，无法确认差距原因；需补原始FedEx账单。</x:v>
      </x:c>
      <x:c r="M228" s="26" t="str">
        <x:v>缺核对明细，原因未确认</x:v>
      </x:c>
      <x:c r="N228" s="26"/>
      <x:c r="O228" s="26"/>
      <x:c r="P228" s="31"/>
      <x:c r="Q228" s="31"/>
      <x:c r="R228" s="26"/>
      <x:c r="S228" s="26"/>
      <x:c r="T228" s="43"/>
      <x:c r="U228" s="43"/>
      <x:c r="V228" s="43"/>
      <x:c r="W228" s="43"/>
      <x:c r="X228" s="44"/>
      <x:c r="Y228" s="26"/>
      <x:c r="Z228" s="26"/>
      <x:c r="AA228" s="26"/>
      <x:c r="AB228" s="26"/>
      <x:c r="AC228" s="43"/>
    </x:row>
    <x:row r="229" ht="135" customHeight="1">
      <x:c r="A229" s="26" t="n">
        <x:v>228</x:v>
      </x:c>
      <x:c r="B229" s="26" t="str">
        <x:v>873109424680</x:v>
      </x:c>
      <x:c r="C229" s="26"/>
      <x:c r="D229" s="43" t="n">
        <x:v>25.3</x:v>
      </x:c>
      <x:c r="E229" s="26" t="str">
        <x:v>反推假设：21lb、Zone5（账单Zone2）。
标准运费27.52×61%≈16.79
＋假设折后附加费0.00
＋燃油(16.79＋0.00)×26.00%≈4.37
＝预估承运成本21.16
按既有收费规则折算→预付23.28；与原预付差-2.02。</x:v>
      </x:c>
      <x:c r="F229" s="43" t="n">
        <x:v>23.28</x:v>
      </x:c>
      <x:c r="G229" s="43" t="n">
        <x:f>F229-D229</x:f>
        <x:v>-2.0199999999999996</x:v>
      </x:c>
      <x:c r="H229" s="26" t="str">
        <x:v>运输费23.02
−折扣7.37
＋Residential Delivery 3.22
＋燃油4.91
＝承运净额23.78
账单实收28.536（按既有收费规则）</x:v>
      </x:c>
      <x:c r="I229" s="43" t="n">
        <x:v>23.78</x:v>
      </x:c>
      <x:c r="J229" s="43" t="n">
        <x:v>28.536</x:v>
      </x:c>
      <x:c r="K229" s="43" t="n">
        <x:f>J229-D229</x:f>
        <x:v>3.2360000000000007</x:v>
      </x:c>
      <x:c r="L229" s="26" t="str">
        <x:v>核对明细列有住宅派送费3.22美元；是否在预付中漏估须原始报价确认。
实际比预估重8.71lb，需核对称重与申报。
预付反推Zone5，最终Zone2；不代表分区错误，需查原邮编与合同。
试算偏差较大：缺原始报价/折扣/尺寸，不能强行归因。</x:v>
      </x:c>
      <x:c r="M229" s="26" t="str">
        <x:v>账单已对账；现有假设未还原预付</x:v>
      </x:c>
      <x:c r="N229" s="26" t="str">
        <x:v>20260616</x:v>
      </x:c>
      <x:c r="O229" s="26" t="n">
        <x:v>2</x:v>
      </x:c>
      <x:c r="P229" s="31" t="n">
        <x:v>20.988007360000342</x:v>
      </x:c>
      <x:c r="Q229" s="31" t="n">
        <x:v>29.7</x:v>
      </x:c>
      <x:c r="R229" s="26" t="n">
        <x:v>30</x:v>
      </x:c>
      <x:c r="S229" s="26" t="n">
        <x:v>166</x:v>
      </x:c>
      <x:c r="T229" s="43" t="n">
        <x:v>23.02</x:v>
      </x:c>
      <x:c r="U229" s="43" t="n">
        <x:v>-7.37</x:v>
      </x:c>
      <x:c r="V229" s="43" t="n">
        <x:v>3.22</x:v>
      </x:c>
      <x:c r="W229" s="43" t="n">
        <x:v>4.91</x:v>
      </x:c>
      <x:c r="X229" s="44" t="n">
        <x:v>0.26</x:v>
      </x:c>
      <x:c r="Y229" s="30" t="b">
        <x:v>0</x:v>
      </x:c>
      <x:c r="Z229" s="26" t="n">
        <x:v>5</x:v>
      </x:c>
      <x:c r="AA229" s="26" t="n">
        <x:v>21</x:v>
      </x:c>
      <x:c r="AB229" s="26" t="n">
        <x:v>14</x:v>
      </x:c>
      <x:c r="AC229" s="43" t="n">
        <x:v>16.81</x:v>
      </x:c>
    </x:row>
    <x:row r="230" ht="135" customHeight="1">
      <x:c r="A230" s="26" t="n">
        <x:v>229</x:v>
      </x:c>
      <x:c r="B230" s="26" t="str">
        <x:v>873354707385</x:v>
      </x:c>
      <x:c r="C230" s="26" t="str">
        <x:v>EL300</x:v>
      </x:c>
      <x:c r="D230" s="43" t="n">
        <x:v>85.85</x:v>
      </x:c>
      <x:c r="E230" s="26" t="str">
        <x:v>反推假设：58lb、Zone5（账单Zone5）。
标准运费55.83×61%≈34.06
＋假设折后附加费28.13
＋燃油(34.06＋28.13)×25.50%≈15.86
＝预估承运成本78.05
按既有收费规则折算→预付85.86；与原预付差+0.01。</x:v>
      </x:c>
      <x:c r="F230" s="43" t="n">
        <x:v>85.86</x:v>
      </x:c>
      <x:c r="G230" s="43" t="n">
        <x:f>F230-D230</x:f>
        <x:v>0.010000000000005116</x:v>
      </x:c>
      <x:c r="H230" s="26" t="str">
        <x:v>运输费59.64
−折扣23.26
＋Add'l Handling-Weight 28.12
＋燃油16.45
＝承运净额80.95
账单实收89.045（按既有收费规则）</x:v>
      </x:c>
      <x:c r="I230" s="43" t="n">
        <x:v>80.95</x:v>
      </x:c>
      <x:c r="J230" s="43" t="n">
        <x:v>89.045</x:v>
      </x:c>
      <x:c r="K230" s="43" t="n">
        <x:f>J230-D230</x:f>
        <x:v>3.1950000000000074</x:v>
      </x:c>
      <x:c r="L230" s="26" t="str">
        <x:v>未发现单一共同原因，需核验报价费率、原尺寸及原发票。</x:v>
      </x:c>
      <x:c r="M230" s="26" t="str">
        <x:v>账单已对账；预付试算接近（差≤0.15）</x:v>
      </x:c>
      <x:c r="N230" s="26" t="str">
        <x:v>20260622</x:v>
      </x:c>
      <x:c r="O230" s="26" t="n">
        <x:v>5</x:v>
      </x:c>
      <x:c r="P230" s="31" t="n">
        <x:v>57.9815749546228</x:v>
      </x:c>
      <x:c r="Q230" s="31" t="n">
        <x:v>62.3</x:v>
      </x:c>
      <x:c r="R230" s="26" t="n">
        <x:v>63</x:v>
      </x:c>
      <x:c r="S230" s="26" t="n">
        <x:v>166</x:v>
      </x:c>
      <x:c r="T230" s="43" t="n">
        <x:v>59.64</x:v>
      </x:c>
      <x:c r="U230" s="43" t="n">
        <x:v>-23.26</x:v>
      </x:c>
      <x:c r="V230" s="43" t="n">
        <x:v>28.12</x:v>
      </x:c>
      <x:c r="W230" s="43" t="n">
        <x:v>16.45</x:v>
      </x:c>
      <x:c r="X230" s="44" t="n">
        <x:v>0.255</x:v>
      </x:c>
      <x:c r="Y230" s="30" t="b">
        <x:v>0</x:v>
      </x:c>
      <x:c r="Z230" s="26" t="n">
        <x:v>5</x:v>
      </x:c>
      <x:c r="AA230" s="26" t="n">
        <x:v>58</x:v>
      </x:c>
      <x:c r="AB230" s="26" t="n">
        <x:v>107</x:v>
      </x:c>
      <x:c r="AC230" s="43" t="n">
        <x:v>85.86</x:v>
      </x:c>
    </x:row>
    <x:row r="231" ht="135" customHeight="1">
      <x:c r="A231" s="26" t="n">
        <x:v>230</x:v>
      </x:c>
      <x:c r="B231" s="26" t="str">
        <x:v>873679799079</x:v>
      </x:c>
      <x:c r="C231" s="26" t="str">
        <x:v>EL100V2</x:v>
      </x:c>
      <x:c r="D231" s="43" t="n">
        <x:v>22.63</x:v>
      </x:c>
      <x:c r="E231" s="26" t="str">
        <x:v>反推假设：26lb、Zone4（账单Zone4）。
标准运费26.91×61%≈16.42
＋假设折后附加费0.00
＋燃油(16.42＋0.00)×25.25%≈4.15
＝预估承运成本20.57
按既有收费规则折算→预付22.63；与原预付差+0.00。</x:v>
      </x:c>
      <x:c r="F231" s="43" t="n">
        <x:v>22.63</x:v>
      </x:c>
      <x:c r="G231" s="43" t="n">
        <x:f>F231-D231</x:f>
        <x:v>0</x:v>
      </x:c>
      <x:c r="H231" s="26" t="str">
        <x:v>运输费30.70
−折扣11.97
＋燃油4.73
＝承运净额23.46
账单实收25.806（按既有收费规则）</x:v>
      </x:c>
      <x:c r="I231" s="43" t="n">
        <x:v>23.46</x:v>
      </x:c>
      <x:c r="J231" s="43" t="n">
        <x:v>25.806</x:v>
      </x:c>
      <x:c r="K231" s="43" t="n">
        <x:f>J231-D231</x:f>
        <x:v>3.176000000000002</x:v>
      </x:c>
      <x:c r="L231" s="26" t="str">
        <x:v>实际比预估重5.85lb，需核对称重与申报。</x:v>
      </x:c>
      <x:c r="M231" s="26" t="str">
        <x:v>账单已对账；预付试算接近（差≤0.15）</x:v>
      </x:c>
      <x:c r="N231" s="26" t="str">
        <x:v>20260702</x:v>
      </x:c>
      <x:c r="O231" s="26" t="n">
        <x:v>4</x:v>
      </x:c>
      <x:c r="P231" s="31" t="n">
        <x:v>25.35316015126092</x:v>
      </x:c>
      <x:c r="Q231" s="31" t="n">
        <x:v>31.2</x:v>
      </x:c>
      <x:c r="R231" s="26" t="n">
        <x:v>32</x:v>
      </x:c>
      <x:c r="S231" s="26" t="n">
        <x:v>166</x:v>
      </x:c>
      <x:c r="T231" s="43" t="n">
        <x:v>30.7</x:v>
      </x:c>
      <x:c r="U231" s="43" t="n">
        <x:v>-11.97</x:v>
      </x:c>
      <x:c r="V231" s="43" t="n">
        <x:v>0</x:v>
      </x:c>
      <x:c r="W231" s="43" t="n">
        <x:v>4.73</x:v>
      </x:c>
      <x:c r="X231" s="44" t="n">
        <x:v>0.2525</x:v>
      </x:c>
      <x:c r="Y231" s="30" t="b">
        <x:v>0</x:v>
      </x:c>
      <x:c r="Z231" s="26" t="n">
        <x:v>4</x:v>
      </x:c>
      <x:c r="AA231" s="26" t="n">
        <x:v>26</x:v>
      </x:c>
      <x:c r="AB231" s="26" t="n">
        <x:v>225</x:v>
      </x:c>
      <x:c r="AC231" s="43" t="n">
        <x:v>22.63</x:v>
      </x:c>
    </x:row>
    <x:row r="232" ht="135" customHeight="1">
      <x:c r="A232" s="26" t="n">
        <x:v>231</x:v>
      </x:c>
      <x:c r="B232" s="26" t="str">
        <x:v>874970642534</x:v>
      </x:c>
      <x:c r="C232" s="26"/>
      <x:c r="D232" s="43" t="n">
        <x:v>29.38</x:v>
      </x:c>
      <x:c r="E232" s="26" t="str">
        <x:v>缺核对明细，无法重建预付；原预付仅按基础表保留。</x:v>
      </x:c>
      <x:c r="F232" s="43"/>
      <x:c r="G232" s="43"/>
      <x:c r="H232" s="26" t="str">
        <x:v>缺原始核对明细，无法拆分。</x:v>
      </x:c>
      <x:c r="I232" s="43"/>
      <x:c r="J232" s="43" t="n">
        <x:v>32.549</x:v>
      </x:c>
      <x:c r="K232" s="43" t="n">
        <x:f>J232-D232</x:f>
        <x:v>3.1690000000000005</x:v>
      </x:c>
      <x:c r="L232" s="26" t="str">
        <x:v>核对表无唯一匹配费用明细，无法确认差距原因；需补原始FedEx账单。</x:v>
      </x:c>
      <x:c r="M232" s="26" t="str">
        <x:v>缺核对明细，原因未确认</x:v>
      </x:c>
      <x:c r="N232" s="26"/>
      <x:c r="O232" s="26"/>
      <x:c r="P232" s="31"/>
      <x:c r="Q232" s="31"/>
      <x:c r="R232" s="26"/>
      <x:c r="S232" s="26"/>
      <x:c r="T232" s="43"/>
      <x:c r="U232" s="43"/>
      <x:c r="V232" s="43"/>
      <x:c r="W232" s="43"/>
      <x:c r="X232" s="44"/>
      <x:c r="Y232" s="26"/>
      <x:c r="Z232" s="26"/>
      <x:c r="AA232" s="26"/>
      <x:c r="AB232" s="26"/>
      <x:c r="AC232" s="43"/>
    </x:row>
    <x:row r="233" ht="135" customHeight="1">
      <x:c r="A233" s="26" t="n">
        <x:v>232</x:v>
      </x:c>
      <x:c r="B233" s="26" t="str">
        <x:v>874595143529</x:v>
      </x:c>
      <x:c r="C233" s="26" t="str">
        <x:v>EL100V2</x:v>
      </x:c>
      <x:c r="D233" s="43" t="n">
        <x:v>20.24</x:v>
      </x:c>
      <x:c r="E233" s="26" t="str">
        <x:v>反推假设：25lb、Zone3（账单Zone3）。
标准运费24.09×61%≈14.69
＋假设折后附加费0.00
＋燃油(14.69＋0.00)×25.25%≈3.71
＝预估承运成本18.40
按既有收费规则折算→预付20.24；与原预付差+0.00。</x:v>
      </x:c>
      <x:c r="F233" s="43" t="n">
        <x:v>20.24</x:v>
      </x:c>
      <x:c r="G233" s="43" t="n">
        <x:f>F233-D233</x:f>
        <x:v>0</x:v>
      </x:c>
      <x:c r="H233" s="26" t="str">
        <x:v>运输费27.86
−折扣10.87
＋燃油4.29
＝承运净额21.28
账单实收23.408（按既有收费规则）</x:v>
      </x:c>
      <x:c r="I233" s="43" t="n">
        <x:v>21.28</x:v>
      </x:c>
      <x:c r="J233" s="43" t="n">
        <x:v>23.408</x:v>
      </x:c>
      <x:c r="K233" s="43" t="n">
        <x:f>J233-D233</x:f>
        <x:v>3.168000000000003</x:v>
      </x:c>
      <x:c r="L233" s="26" t="str">
        <x:v>实际比预估重5.20lb，需核对称重与申报。</x:v>
      </x:c>
      <x:c r="M233" s="26" t="str">
        <x:v>账单已对账；预付试算接近（差≤0.15）</x:v>
      </x:c>
      <x:c r="N233" s="26" t="str">
        <x:v>20260720</x:v>
      </x:c>
      <x:c r="O233" s="26" t="n">
        <x:v>3</x:v>
      </x:c>
      <x:c r="P233" s="31" t="n">
        <x:v>25.000420531765116</x:v>
      </x:c>
      <x:c r="Q233" s="31" t="n">
        <x:v>30.2</x:v>
      </x:c>
      <x:c r="R233" s="26" t="n">
        <x:v>31</x:v>
      </x:c>
      <x:c r="S233" s="26" t="n">
        <x:v>166</x:v>
      </x:c>
      <x:c r="T233" s="43" t="n">
        <x:v>27.86</x:v>
      </x:c>
      <x:c r="U233" s="43" t="n">
        <x:v>-10.87</x:v>
      </x:c>
      <x:c r="V233" s="43" t="n">
        <x:v>0</x:v>
      </x:c>
      <x:c r="W233" s="43" t="n">
        <x:v>4.29</x:v>
      </x:c>
      <x:c r="X233" s="44" t="n">
        <x:v>0.2525</x:v>
      </x:c>
      <x:c r="Y233" s="30" t="b">
        <x:v>0</x:v>
      </x:c>
      <x:c r="Z233" s="26" t="n">
        <x:v>3</x:v>
      </x:c>
      <x:c r="AA233" s="26" t="n">
        <x:v>25</x:v>
      </x:c>
      <x:c r="AB233" s="26" t="n">
        <x:v>504</x:v>
      </x:c>
      <x:c r="AC233" s="43" t="n">
        <x:v>20.24</x:v>
      </x:c>
    </x:row>
    <x:row r="234" ht="135" customHeight="1">
      <x:c r="A234" s="26" t="n">
        <x:v>233</x:v>
      </x:c>
      <x:c r="B234" s="26" t="str">
        <x:v>875079467174</x:v>
      </x:c>
      <x:c r="C234" s="26" t="str">
        <x:v>AC50B</x:v>
      </x:c>
      <x:c r="D234" s="43" t="n">
        <x:v>20.7</x:v>
      </x:c>
      <x:c r="E234" s="26" t="str">
        <x:v>缺核对明细，无法重建预付；原预付仅按基础表保留。</x:v>
      </x:c>
      <x:c r="F234" s="43"/>
      <x:c r="G234" s="43"/>
      <x:c r="H234" s="26" t="str">
        <x:v>缺原始核对明细，无法拆分。</x:v>
      </x:c>
      <x:c r="I234" s="43"/>
      <x:c r="J234" s="43" t="n">
        <x:v>23.848</x:v>
      </x:c>
      <x:c r="K234" s="43" t="n">
        <x:f>J234-D234</x:f>
        <x:v>3.1479999999999997</x:v>
      </x:c>
      <x:c r="L234" s="26" t="str">
        <x:v>核对表无唯一匹配费用明细，无法确认差距原因；需补原始FedEx账单。</x:v>
      </x:c>
      <x:c r="M234" s="26" t="str">
        <x:v>缺核对明细，原因未确认</x:v>
      </x:c>
      <x:c r="N234" s="26"/>
      <x:c r="O234" s="26"/>
      <x:c r="P234" s="31"/>
      <x:c r="Q234" s="31"/>
      <x:c r="R234" s="26"/>
      <x:c r="S234" s="26"/>
      <x:c r="T234" s="43"/>
      <x:c r="U234" s="43"/>
      <x:c r="V234" s="43"/>
      <x:c r="W234" s="43"/>
      <x:c r="X234" s="44"/>
      <x:c r="Y234" s="26"/>
      <x:c r="Z234" s="26"/>
      <x:c r="AA234" s="26"/>
      <x:c r="AB234" s="26"/>
      <x:c r="AC234" s="43"/>
    </x:row>
    <x:row r="235" ht="135" customHeight="1">
      <x:c r="A235" s="26" t="n">
        <x:v>234</x:v>
      </x:c>
      <x:c r="B235" s="26" t="str">
        <x:v>874462330644</x:v>
      </x:c>
      <x:c r="C235" s="26" t="str">
        <x:v>EL100V2</x:v>
      </x:c>
      <x:c r="D235" s="43" t="n">
        <x:v>26.2</x:v>
      </x:c>
      <x:c r="E235" s="26" t="str">
        <x:v>反推假设：25lb、Zone5（账单Zone5）。
标准运费31.23×61%≈19.05
＋假设折后附加费0.00
＋燃油(19.05＋0.00)×25.25%≈4.81
＝预估承运成本23.86
按既有收费规则折算→预付26.25；与原预付差+0.05。</x:v>
      </x:c>
      <x:c r="F235" s="43" t="n">
        <x:v>26.25</x:v>
      </x:c>
      <x:c r="G235" s="43" t="n">
        <x:f>F235-D235</x:f>
        <x:v>0.05000000000000071</x:v>
      </x:c>
      <x:c r="H235" s="26" t="str">
        <x:v>运输费34.92
−折扣13.62
＋燃油5.38
＝承运净额26.68
账单实收29.348（按既有收费规则）</x:v>
      </x:c>
      <x:c r="I235" s="43" t="n">
        <x:v>26.68</x:v>
      </x:c>
      <x:c r="J235" s="43" t="n">
        <x:v>29.348</x:v>
      </x:c>
      <x:c r="K235" s="43" t="n">
        <x:f>J235-D235</x:f>
        <x:v>3.1479999999999997</x:v>
      </x:c>
      <x:c r="L235" s="26" t="str">
        <x:v>未发现单一共同原因，需核验报价费率、原尺寸及原发票。</x:v>
      </x:c>
      <x:c r="M235" s="26" t="str">
        <x:v>账单已对账；预付试算接近（差≤0.15）</x:v>
      </x:c>
      <x:c r="N235" s="26" t="str">
        <x:v>20260721</x:v>
      </x:c>
      <x:c r="O235" s="26" t="n">
        <x:v>5</x:v>
      </x:c>
      <x:c r="P235" s="31" t="n">
        <x:v>25.000420531765116</x:v>
      </x:c>
      <x:c r="Q235" s="31" t="n">
        <x:v>28.2</x:v>
      </x:c>
      <x:c r="R235" s="26" t="n">
        <x:v>29</x:v>
      </x:c>
      <x:c r="S235" s="26" t="n">
        <x:v>166</x:v>
      </x:c>
      <x:c r="T235" s="43" t="n">
        <x:v>34.92</x:v>
      </x:c>
      <x:c r="U235" s="43" t="n">
        <x:v>-13.62</x:v>
      </x:c>
      <x:c r="V235" s="43" t="n">
        <x:v>0</x:v>
      </x:c>
      <x:c r="W235" s="43" t="n">
        <x:v>5.38</x:v>
      </x:c>
      <x:c r="X235" s="44" t="n">
        <x:v>0.2525</x:v>
      </x:c>
      <x:c r="Y235" s="30" t="b">
        <x:v>0</x:v>
      </x:c>
      <x:c r="Z235" s="26" t="n">
        <x:v>5</x:v>
      </x:c>
      <x:c r="AA235" s="26" t="n">
        <x:v>25</x:v>
      </x:c>
      <x:c r="AB235" s="26" t="n">
        <x:v>491</x:v>
      </x:c>
      <x:c r="AC235" s="43" t="n">
        <x:v>26.25</x:v>
      </x:c>
    </x:row>
    <x:row r="236" ht="135" customHeight="1">
      <x:c r="A236" s="26" t="n">
        <x:v>235</x:v>
      </x:c>
      <x:c r="B236" s="26" t="str">
        <x:v>873812786100</x:v>
      </x:c>
      <x:c r="C236" s="26" t="str">
        <x:v>PV350</x:v>
      </x:c>
      <x:c r="D236" s="43" t="n">
        <x:v>46.82</x:v>
      </x:c>
      <x:c r="E236" s="26" t="str">
        <x:v>反推假设：31lb、Zone7（账单Zone3）。
标准运费54.40×61%≈33.18
＋假设折后附加费0.00
＋燃油(33.18＋0.00)×25.00%≈8.30
＝预估承运成本41.48
按既有收费规则折算→预付45.63；与原预付差-1.19。</x:v>
      </x:c>
      <x:c r="F236" s="43" t="n">
        <x:v>45.63</x:v>
      </x:c>
      <x:c r="G236" s="43" t="n">
        <x:f>F236-D236</x:f>
        <x:v>-1.1899999999999977</x:v>
      </x:c>
      <x:c r="H236" s="26" t="str">
        <x:v>运输费32.69
−折扣12.75
＋Add'l Handling-Dimension 16.37
＋燃油9.08
＝承运净额45.39
账单实收49.929（按既有收费规则）</x:v>
      </x:c>
      <x:c r="I236" s="43" t="n">
        <x:v>45.39</x:v>
      </x:c>
      <x:c r="J236" s="43" t="n">
        <x:v>49.929</x:v>
      </x:c>
      <x:c r="K236" s="43" t="n">
        <x:f>J236-D236</x:f>
        <x:v>3.1090000000000018</x:v>
      </x:c>
      <x:c r="L236" s="26" t="str">
        <x:v>核对明细列有尺寸额外处理费16.37美元；是否在预付中漏估须原始报价确认。
预付反推Zone7，最终Zone3；不代表分区错误，需查原邮编与合同。
试算偏差较大：缺原始报价/折扣/尺寸，不能强行归因。</x:v>
      </x:c>
      <x:c r="M236" s="26" t="str">
        <x:v>账单已对账；现有假设未还原预付</x:v>
      </x:c>
      <x:c r="N236" s="26" t="str">
        <x:v>20260707</x:v>
      </x:c>
      <x:c r="O236" s="26" t="n">
        <x:v>3</x:v>
      </x:c>
      <x:c r="P236" s="31" t="n">
        <x:v>30.86471670588286</x:v>
      </x:c>
      <x:c r="Q236" s="31" t="n">
        <x:v>35.6</x:v>
      </x:c>
      <x:c r="R236" s="26" t="n">
        <x:v>40</x:v>
      </x:c>
      <x:c r="S236" s="26" t="n">
        <x:v>166</x:v>
      </x:c>
      <x:c r="T236" s="43" t="n">
        <x:v>32.69</x:v>
      </x:c>
      <x:c r="U236" s="43" t="n">
        <x:v>-12.75</x:v>
      </x:c>
      <x:c r="V236" s="43" t="n">
        <x:v>16.37</x:v>
      </x:c>
      <x:c r="W236" s="43" t="n">
        <x:v>9.08</x:v>
      </x:c>
      <x:c r="X236" s="44" t="n">
        <x:v>0.25</x:v>
      </x:c>
      <x:c r="Y236" s="30" t="b">
        <x:v>0</x:v>
      </x:c>
      <x:c r="Z236" s="26" t="n">
        <x:v>7</x:v>
      </x:c>
      <x:c r="AA236" s="26" t="n">
        <x:v>31</x:v>
      </x:c>
      <x:c r="AB236" s="26" t="n">
        <x:v>265</x:v>
      </x:c>
      <x:c r="AC236" s="43" t="n">
        <x:v>23.36</x:v>
      </x:c>
    </x:row>
    <x:row r="237" ht="135" customHeight="1">
      <x:c r="A237" s="26" t="n">
        <x:v>236</x:v>
      </x:c>
      <x:c r="B237" s="26" t="str">
        <x:v>873476103347</x:v>
      </x:c>
      <x:c r="C237" s="26" t="str">
        <x:v>BC200</x:v>
      </x:c>
      <x:c r="D237" s="43" t="n">
        <x:v>31.56</x:v>
      </x:c>
      <x:c r="E237" s="26" t="str">
        <x:v>反推假设：40lb、Zone4（账单Zone4）。
标准运费37.48×61%≈22.86
＋假设折后附加费0.00
＋燃油(22.86＋0.00)×25.50%≈5.83
＝预估承运成本28.69
按既有收费规则折算→预付31.56；与原预付差+0.00。</x:v>
      </x:c>
      <x:c r="F237" s="43" t="n">
        <x:v>31.56</x:v>
      </x:c>
      <x:c r="G237" s="43" t="n">
        <x:f>F237-D237</x:f>
        <x:v>0</x:v>
      </x:c>
      <x:c r="H237" s="26" t="str">
        <x:v>运输费41.17
−折扣16.06
＋燃油6.40
＝承运净额31.51
账单实收34.661（按既有收费规则）</x:v>
      </x:c>
      <x:c r="I237" s="43" t="n">
        <x:v>31.51</x:v>
      </x:c>
      <x:c r="J237" s="43" t="n">
        <x:v>34.661</x:v>
      </x:c>
      <x:c r="K237" s="43" t="n">
        <x:f>J237-D237</x:f>
        <x:v>3.1010000000000026</x:v>
      </x:c>
      <x:c r="L237" s="26" t="str">
        <x:v>未发现单一共同原因，需核验报价费率、原尺寸及原发票。</x:v>
      </x:c>
      <x:c r="M237" s="26" t="str">
        <x:v>账单已对账；预付试算接近（差≤0.15）</x:v>
      </x:c>
      <x:c r="N237" s="26" t="str">
        <x:v>20260626</x:v>
      </x:c>
      <x:c r="O237" s="26" t="n">
        <x:v>4</x:v>
      </x:c>
      <x:c r="P237" s="31" t="n">
        <x:v>39.683207193277966</x:v>
      </x:c>
      <x:c r="Q237" s="31" t="n">
        <x:v>43.1</x:v>
      </x:c>
      <x:c r="R237" s="26" t="n">
        <x:v>44</x:v>
      </x:c>
      <x:c r="S237" s="26" t="n">
        <x:v>166</x:v>
      </x:c>
      <x:c r="T237" s="43" t="n">
        <x:v>41.17</x:v>
      </x:c>
      <x:c r="U237" s="43" t="n">
        <x:v>-16.06</x:v>
      </x:c>
      <x:c r="V237" s="43" t="n">
        <x:v>0</x:v>
      </x:c>
      <x:c r="W237" s="43" t="n">
        <x:v>6.4</x:v>
      </x:c>
      <x:c r="X237" s="44" t="n">
        <x:v>0.255</x:v>
      </x:c>
      <x:c r="Y237" s="30" t="b">
        <x:v>0</x:v>
      </x:c>
      <x:c r="Z237" s="26" t="n">
        <x:v>4</x:v>
      </x:c>
      <x:c r="AA237" s="26" t="n">
        <x:v>40</x:v>
      </x:c>
      <x:c r="AB237" s="26" t="n">
        <x:v>171</x:v>
      </x:c>
      <x:c r="AC237" s="43" t="n">
        <x:v>31.56</x:v>
      </x:c>
    </x:row>
    <x:row r="238" ht="135" customHeight="1">
      <x:c r="A238" s="26" t="n">
        <x:v>237</x:v>
      </x:c>
      <x:c r="B238" s="26" t="str">
        <x:v>873806431486</x:v>
      </x:c>
      <x:c r="C238" s="26" t="str">
        <x:v>EL100V2</x:v>
      </x:c>
      <x:c r="D238" s="43" t="n">
        <x:v>26.25</x:v>
      </x:c>
      <x:c r="E238" s="26" t="str">
        <x:v>反推假设：25lb、Zone5（账单Zone5）。
标准运费31.23×61%≈19.05
＋假设折后附加费0.00
＋燃油(19.05＋0.00)×25.25%≈4.81
＝预估承运成本23.86
按既有收费规则折算→预付26.25；与原预付差+0.00。</x:v>
      </x:c>
      <x:c r="F238" s="43" t="n">
        <x:v>26.25</x:v>
      </x:c>
      <x:c r="G238" s="43" t="n">
        <x:f>F238-D238</x:f>
        <x:v>0</x:v>
      </x:c>
      <x:c r="H238" s="26" t="str">
        <x:v>运输费34.92
−折扣13.62
＋燃油5.38
＝承运净额26.68
账单实收29.348（按既有收费规则）</x:v>
      </x:c>
      <x:c r="I238" s="43" t="n">
        <x:v>26.68</x:v>
      </x:c>
      <x:c r="J238" s="43" t="n">
        <x:v>29.348</x:v>
      </x:c>
      <x:c r="K238" s="43" t="n">
        <x:f>J238-D238</x:f>
        <x:v>3.097999999999999</x:v>
      </x:c>
      <x:c r="L238" s="26" t="str">
        <x:v>未发现单一共同原因，需核验报价费率、原尺寸及原发票。</x:v>
      </x:c>
      <x:c r="M238" s="26" t="str">
        <x:v>账单已对账；预付试算接近（差≤0.15）</x:v>
      </x:c>
      <x:c r="N238" s="26" t="str">
        <x:v>20260702</x:v>
      </x:c>
      <x:c r="O238" s="26" t="n">
        <x:v>5</x:v>
      </x:c>
      <x:c r="P238" s="31" t="n">
        <x:v>25.000420531765116</x:v>
      </x:c>
      <x:c r="Q238" s="31" t="n">
        <x:v>28.3</x:v>
      </x:c>
      <x:c r="R238" s="26" t="n">
        <x:v>29</x:v>
      </x:c>
      <x:c r="S238" s="26" t="n">
        <x:v>166</x:v>
      </x:c>
      <x:c r="T238" s="43" t="n">
        <x:v>34.92</x:v>
      </x:c>
      <x:c r="U238" s="43" t="n">
        <x:v>-13.62</x:v>
      </x:c>
      <x:c r="V238" s="43" t="n">
        <x:v>0</x:v>
      </x:c>
      <x:c r="W238" s="43" t="n">
        <x:v>5.38</x:v>
      </x:c>
      <x:c r="X238" s="44" t="n">
        <x:v>0.2525</x:v>
      </x:c>
      <x:c r="Y238" s="30" t="b">
        <x:v>0</x:v>
      </x:c>
      <x:c r="Z238" s="26" t="n">
        <x:v>5</x:v>
      </x:c>
      <x:c r="AA238" s="26" t="n">
        <x:v>25</x:v>
      </x:c>
      <x:c r="AB238" s="26" t="n">
        <x:v>235</x:v>
      </x:c>
      <x:c r="AC238" s="43" t="n">
        <x:v>26.25</x:v>
      </x:c>
    </x:row>
    <x:row r="239" ht="135" customHeight="1">
      <x:c r="A239" s="26" t="n">
        <x:v>238</x:v>
      </x:c>
      <x:c r="B239" s="26" t="str">
        <x:v>875083885545</x:v>
      </x:c>
      <x:c r="C239" s="26" t="str">
        <x:v>AC70</x:v>
      </x:c>
      <x:c r="D239" s="43" t="n">
        <x:v>24.54</x:v>
      </x:c>
      <x:c r="E239" s="26" t="str">
        <x:v>缺核对明细，无法重建预付；原预付仅按基础表保留。</x:v>
      </x:c>
      <x:c r="F239" s="43"/>
      <x:c r="G239" s="43"/>
      <x:c r="H239" s="26" t="str">
        <x:v>缺原始核对明细，无法拆分。</x:v>
      </x:c>
      <x:c r="I239" s="43"/>
      <x:c r="J239" s="43" t="n">
        <x:v>27.621</x:v>
      </x:c>
      <x:c r="K239" s="43" t="n">
        <x:f>J239-D239</x:f>
        <x:v>3.0809999999999995</x:v>
      </x:c>
      <x:c r="L239" s="26" t="str">
        <x:v>核对表无唯一匹配费用明细，无法确认差距原因；需补原始FedEx账单。</x:v>
      </x:c>
      <x:c r="M239" s="26" t="str">
        <x:v>缺核对明细，原因未确认</x:v>
      </x:c>
      <x:c r="N239" s="26"/>
      <x:c r="O239" s="26"/>
      <x:c r="P239" s="31"/>
      <x:c r="Q239" s="31"/>
      <x:c r="R239" s="26"/>
      <x:c r="S239" s="26"/>
      <x:c r="T239" s="43"/>
      <x:c r="U239" s="43"/>
      <x:c r="V239" s="43"/>
      <x:c r="W239" s="43"/>
      <x:c r="X239" s="44"/>
      <x:c r="Y239" s="26"/>
      <x:c r="Z239" s="26"/>
      <x:c r="AA239" s="26"/>
      <x:c r="AB239" s="26"/>
      <x:c r="AC239" s="43"/>
    </x:row>
    <x:row r="240" ht="135" customHeight="1">
      <x:c r="A240" s="26" t="n">
        <x:v>239</x:v>
      </x:c>
      <x:c r="B240" s="26" t="str">
        <x:v>873371346866</x:v>
      </x:c>
      <x:c r="C240" s="26" t="str">
        <x:v>AC70</x:v>
      </x:c>
      <x:c r="D240" s="43" t="n">
        <x:v>33.52</x:v>
      </x:c>
      <x:c r="E240" s="26" t="str">
        <x:v>反推假设：26lb、Zone6（账单Zone6）。
标准运费39.81×61%≈24.28
＋假设折后附加费0.00
＋燃油(24.28＋0.00)×25.50%≈6.19
＝预估承运成本30.47
按既有收费规则折算→预付33.52；与原预付差+0.00。</x:v>
      </x:c>
      <x:c r="F240" s="43" t="n">
        <x:v>33.52</x:v>
      </x:c>
      <x:c r="G240" s="43" t="n">
        <x:f>F240-D240</x:f>
        <x:v>0</x:v>
      </x:c>
      <x:c r="H240" s="26" t="str">
        <x:v>运输费43.44
−折扣16.94
＋燃油6.76
＝承运净额33.26
账单实收36.586（按既有收费规则）</x:v>
      </x:c>
      <x:c r="I240" s="43" t="n">
        <x:v>33.26</x:v>
      </x:c>
      <x:c r="J240" s="43" t="n">
        <x:v>36.586</x:v>
      </x:c>
      <x:c r="K240" s="43" t="n">
        <x:f>J240-D240</x:f>
        <x:v>3.0659999999999954</x:v>
      </x:c>
      <x:c r="L240" s="26" t="str">
        <x:v>未发现单一共同原因，需核验报价费率、原尺寸及原发票。</x:v>
      </x:c>
      <x:c r="M240" s="26" t="str">
        <x:v>账单已对账；预付试算接近（差≤0.15）</x:v>
      </x:c>
      <x:c r="N240" s="26" t="str">
        <x:v>20260623</x:v>
      </x:c>
      <x:c r="O240" s="26" t="n">
        <x:v>6</x:v>
      </x:c>
      <x:c r="P240" s="31" t="n">
        <x:v>25.088605436639067</x:v>
      </x:c>
      <x:c r="Q240" s="31" t="n">
        <x:v>27.1</x:v>
      </x:c>
      <x:c r="R240" s="26" t="n">
        <x:v>28</x:v>
      </x:c>
      <x:c r="S240" s="26" t="n">
        <x:v>166</x:v>
      </x:c>
      <x:c r="T240" s="43" t="n">
        <x:v>43.44</x:v>
      </x:c>
      <x:c r="U240" s="43" t="n">
        <x:v>-16.94</x:v>
      </x:c>
      <x:c r="V240" s="43" t="n">
        <x:v>0</x:v>
      </x:c>
      <x:c r="W240" s="43" t="n">
        <x:v>6.76</x:v>
      </x:c>
      <x:c r="X240" s="44" t="n">
        <x:v>0.255</x:v>
      </x:c>
      <x:c r="Y240" s="30" t="b">
        <x:v>0</x:v>
      </x:c>
      <x:c r="Z240" s="26" t="n">
        <x:v>6</x:v>
      </x:c>
      <x:c r="AA240" s="26" t="n">
        <x:v>26</x:v>
      </x:c>
      <x:c r="AB240" s="26" t="n">
        <x:v>122</x:v>
      </x:c>
      <x:c r="AC240" s="43" t="n">
        <x:v>33.52</x:v>
      </x:c>
    </x:row>
    <x:row r="241" ht="135" customHeight="1">
      <x:c r="A241" s="26" t="n">
        <x:v>240</x:v>
      </x:c>
      <x:c r="B241" s="26" t="str">
        <x:v>873909174173</x:v>
      </x:c>
      <x:c r="C241" s="26" t="str">
        <x:v>EL300</x:v>
      </x:c>
      <x:c r="D241" s="43" t="n">
        <x:v>85.67</x:v>
      </x:c>
      <x:c r="E241" s="26" t="str">
        <x:v>反推假设：58lb、Zone5（账单Zone5）。
标准运费55.83×61%≈34.06
＋假设折后附加费28.13
＋燃油(34.06＋28.13)×25.00%≈15.55
＝预估承运成本77.74
按既有收费规则折算→预付85.51；与原预付差-0.16。</x:v>
      </x:c>
      <x:c r="F241" s="43" t="n">
        <x:v>85.51</x:v>
      </x:c>
      <x:c r="G241" s="43" t="n">
        <x:f>F241-D241</x:f>
        <x:v>-0.1599999999999966</x:v>
      </x:c>
      <x:c r="H241" s="26" t="str">
        <x:v>运输费59.67
−折扣23.27
＋Add'l Handling-Weight 28.12
＋燃油16.13
＝承运净额80.65
账单实收88.715（按既有收费规则）</x:v>
      </x:c>
      <x:c r="I241" s="43" t="n">
        <x:v>80.65</x:v>
      </x:c>
      <x:c r="J241" s="43" t="n">
        <x:v>88.715</x:v>
      </x:c>
      <x:c r="K241" s="43" t="n">
        <x:f>J241-D241</x:f>
        <x:v>3.0450000000000017</x:v>
      </x:c>
      <x:c r="L241" s="26" t="str">
        <x:v>实际比预估重7.34lb，需核对称重与申报。
试算偏差较大：缺原始报价/折扣/尺寸，不能强行归因。</x:v>
      </x:c>
      <x:c r="M241" s="26" t="str">
        <x:v>账单已对账；现有假设未还原预付</x:v>
      </x:c>
      <x:c r="N241" s="26" t="str">
        <x:v>20260706</x:v>
      </x:c>
      <x:c r="O241" s="26" t="n">
        <x:v>5</x:v>
      </x:c>
      <x:c r="P241" s="31" t="n">
        <x:v>57.95952872840431</x:v>
      </x:c>
      <x:c r="Q241" s="31" t="n">
        <x:v>65.3</x:v>
      </x:c>
      <x:c r="R241" s="26" t="n">
        <x:v>66</x:v>
      </x:c>
      <x:c r="S241" s="26" t="n">
        <x:v>166</x:v>
      </x:c>
      <x:c r="T241" s="43" t="n">
        <x:v>59.67</x:v>
      </x:c>
      <x:c r="U241" s="43" t="n">
        <x:v>-23.27</x:v>
      </x:c>
      <x:c r="V241" s="43" t="n">
        <x:v>28.12</x:v>
      </x:c>
      <x:c r="W241" s="43" t="n">
        <x:v>16.13</x:v>
      </x:c>
      <x:c r="X241" s="44" t="n">
        <x:v>0.25</x:v>
      </x:c>
      <x:c r="Y241" s="30" t="b">
        <x:v>0</x:v>
      </x:c>
      <x:c r="Z241" s="26" t="n">
        <x:v>5</x:v>
      </x:c>
      <x:c r="AA241" s="26" t="n">
        <x:v>58</x:v>
      </x:c>
      <x:c r="AB241" s="26" t="n">
        <x:v>292</x:v>
      </x:c>
      <x:c r="AC241" s="43" t="n">
        <x:v>85.51</x:v>
      </x:c>
    </x:row>
    <x:row r="242" ht="135" customHeight="1">
      <x:c r="A242" s="26" t="n">
        <x:v>241</x:v>
      </x:c>
      <x:c r="B242" s="26" t="str">
        <x:v>873648195891</x:v>
      </x:c>
      <x:c r="C242" s="26" t="str">
        <x:v>EL300</x:v>
      </x:c>
      <x:c r="D242" s="43" t="n">
        <x:v>85.85</x:v>
      </x:c>
      <x:c r="E242" s="26" t="str">
        <x:v>反推假设：58lb、Zone5（账单Zone5）。
标准运费55.83×61%≈34.06
＋假设折后附加费28.13
＋燃油(34.06＋28.13)×25.25%≈15.70
＝预估承运成本77.89
按既有收费规则折算→预付85.68；与原预付差-0.17。</x:v>
      </x:c>
      <x:c r="F242" s="43" t="n">
        <x:v>85.68</x:v>
      </x:c>
      <x:c r="G242" s="43" t="n">
        <x:f>F242-D242</x:f>
        <x:v>-0.1699999999999875</x:v>
      </x:c>
      <x:c r="H242" s="26" t="str">
        <x:v>运输费59.67
−折扣23.27
＋Add'l Handling-Weight 28.12
＋燃油16.29
＝承运净额80.81
账单实收88.891（按既有收费规则）</x:v>
      </x:c>
      <x:c r="I242" s="43" t="n">
        <x:v>80.81</x:v>
      </x:c>
      <x:c r="J242" s="43" t="n">
        <x:v>88.891</x:v>
      </x:c>
      <x:c r="K242" s="43" t="n">
        <x:f>J242-D242</x:f>
        <x:v>3.041000000000011</x:v>
      </x:c>
      <x:c r="L242" s="26" t="str">
        <x:v>实际比预估重7.54lb，需核对称重与申报。
试算偏差较大：缺原始报价/折扣/尺寸，不能强行归因。</x:v>
      </x:c>
      <x:c r="M242" s="26" t="str">
        <x:v>账单已对账；现有假设未还原预付</x:v>
      </x:c>
      <x:c r="N242" s="26" t="str">
        <x:v>20260629</x:v>
      </x:c>
      <x:c r="O242" s="26" t="n">
        <x:v>5</x:v>
      </x:c>
      <x:c r="P242" s="31" t="n">
        <x:v>57.95952872840431</x:v>
      </x:c>
      <x:c r="Q242" s="31" t="n">
        <x:v>65.5</x:v>
      </x:c>
      <x:c r="R242" s="26" t="n">
        <x:v>66</x:v>
      </x:c>
      <x:c r="S242" s="26" t="n">
        <x:v>166</x:v>
      </x:c>
      <x:c r="T242" s="43" t="n">
        <x:v>59.67</x:v>
      </x:c>
      <x:c r="U242" s="43" t="n">
        <x:v>-23.27</x:v>
      </x:c>
      <x:c r="V242" s="43" t="n">
        <x:v>28.12</x:v>
      </x:c>
      <x:c r="W242" s="43" t="n">
        <x:v>16.29</x:v>
      </x:c>
      <x:c r="X242" s="44" t="n">
        <x:v>0.2525</x:v>
      </x:c>
      <x:c r="Y242" s="30" t="b">
        <x:v>0</x:v>
      </x:c>
      <x:c r="Z242" s="26" t="n">
        <x:v>5</x:v>
      </x:c>
      <x:c r="AA242" s="26" t="n">
        <x:v>58</x:v>
      </x:c>
      <x:c r="AB242" s="26" t="n">
        <x:v>201</x:v>
      </x:c>
      <x:c r="AC242" s="43" t="n">
        <x:v>85.68</x:v>
      </x:c>
    </x:row>
    <x:row r="243" ht="135" customHeight="1">
      <x:c r="A243" s="26" t="n">
        <x:v>242</x:v>
      </x:c>
      <x:c r="B243" s="26" t="str">
        <x:v>873364626827</x:v>
      </x:c>
      <x:c r="C243" s="26" t="str">
        <x:v>AC200L</x:v>
      </x:c>
      <x:c r="D243" s="43" t="n">
        <x:v>58.76</x:v>
      </x:c>
      <x:c r="E243" s="26" t="str">
        <x:v>反推假设：62lb、Zone2（账单Zone2）。
标准运费32.07×61%≈19.56
＋假设折后附加费23.00
＋燃油(19.56＋23.00)×25.00%≈10.64
＝预估承运成本53.20
按既有收费规则折算→预付58.52；与原预付差-0.24。</x:v>
      </x:c>
      <x:c r="F243" s="43" t="n">
        <x:v>58.52</x:v>
      </x:c>
      <x:c r="G243" s="43" t="n">
        <x:f>F243-D243</x:f>
        <x:v>-0.23999999999999488</x:v>
      </x:c>
      <x:c r="H243" s="26" t="str">
        <x:v>运输费35.96
−折扣14.02
＋Add'l Handling-Weight 23.00
＋燃油11.24
＝承运净额56.18
账单实收61.798（按既有收费规则）</x:v>
      </x:c>
      <x:c r="I243" s="43" t="n">
        <x:v>56.18</x:v>
      </x:c>
      <x:c r="J243" s="43" t="n">
        <x:v>61.798</x:v>
      </x:c>
      <x:c r="K243" s="43" t="n">
        <x:f>J243-D243</x:f>
        <x:v>3.038000000000004</x:v>
      </x:c>
      <x:c r="L243" s="26" t="str">
        <x:v>实际比预估重10.47lb，需核对称重与申报。
试算偏差较大：缺原始报价/折扣/尺寸，不能强行归因。</x:v>
      </x:c>
      <x:c r="M243" s="26" t="str">
        <x:v>账单已对账；现有假设未还原预付</x:v>
      </x:c>
      <x:c r="N243" s="26" t="str">
        <x:v>20260714</x:v>
      </x:c>
      <x:c r="O243" s="26" t="n">
        <x:v>2</x:v>
      </x:c>
      <x:c r="P243" s="31" t="n">
        <x:v>61.72943341176572</x:v>
      </x:c>
      <x:c r="Q243" s="31" t="n">
        <x:v>72.2</x:v>
      </x:c>
      <x:c r="R243" s="26" t="n">
        <x:v>73</x:v>
      </x:c>
      <x:c r="S243" s="26" t="n">
        <x:v>166</x:v>
      </x:c>
      <x:c r="T243" s="43" t="n">
        <x:v>35.96</x:v>
      </x:c>
      <x:c r="U243" s="43" t="n">
        <x:v>-14.02</x:v>
      </x:c>
      <x:c r="V243" s="43" t="n">
        <x:v>23</x:v>
      </x:c>
      <x:c r="W243" s="43" t="n">
        <x:v>11.24</x:v>
      </x:c>
      <x:c r="X243" s="44" t="n">
        <x:v>0.25</x:v>
      </x:c>
      <x:c r="Y243" s="30" t="b">
        <x:v>0</x:v>
      </x:c>
      <x:c r="Z243" s="26" t="n">
        <x:v>2</x:v>
      </x:c>
      <x:c r="AA243" s="26" t="n">
        <x:v>62</x:v>
      </x:c>
      <x:c r="AB243" s="26" t="n">
        <x:v>376</x:v>
      </x:c>
      <x:c r="AC243" s="43" t="n">
        <x:v>58.52</x:v>
      </x:c>
    </x:row>
    <x:row r="244" ht="135" customHeight="1">
      <x:c r="A244" s="26" t="n">
        <x:v>243</x:v>
      </x:c>
      <x:c r="B244" s="26" t="str">
        <x:v>874406749367</x:v>
      </x:c>
      <x:c r="C244" s="26" t="str">
        <x:v>EL100V2</x:v>
      </x:c>
      <x:c r="D244" s="43" t="n">
        <x:v>27.26</x:v>
      </x:c>
      <x:c r="E244" s="26" t="str">
        <x:v>反推假设：26lb、Zone5（账单Zone5）。
标准运费32.50×61%≈19.83
＋假设折后附加费0.00
＋燃油(19.83＋0.00)×25.25%≈5.01
＝预估承运成本24.84
按既有收费规则折算→预付27.32；与原预付差+0.06。</x:v>
      </x:c>
      <x:c r="F244" s="43" t="n">
        <x:v>27.32</x:v>
      </x:c>
      <x:c r="G244" s="43" t="n">
        <x:f>F244-D244</x:f>
        <x:v>0.05999999999999872</x:v>
      </x:c>
      <x:c r="H244" s="26" t="str">
        <x:v>运输费36.03
−折扣14.05
＋燃油5.55
＝承运净额27.53
账单实收30.283（按既有收费规则）</x:v>
      </x:c>
      <x:c r="I244" s="43" t="n">
        <x:v>27.53</x:v>
      </x:c>
      <x:c r="J244" s="43" t="n">
        <x:v>30.283</x:v>
      </x:c>
      <x:c r="K244" s="43" t="n">
        <x:f>J244-D244</x:f>
        <x:v>3.0229999999999997</x:v>
      </x:c>
      <x:c r="L244" s="26" t="str">
        <x:v>未发现单一共同原因，需核验报价费率、原尺寸及原发票。</x:v>
      </x:c>
      <x:c r="M244" s="26" t="str">
        <x:v>账单已对账；预付试算接近（差≤0.15）</x:v>
      </x:c>
      <x:c r="N244" s="26" t="str">
        <x:v>20260721</x:v>
      </x:c>
      <x:c r="O244" s="26" t="n">
        <x:v>5</x:v>
      </x:c>
      <x:c r="P244" s="31" t="n">
        <x:v>25.35316015126092</x:v>
      </x:c>
      <x:c r="Q244" s="31" t="n">
        <x:v>29.6</x:v>
      </x:c>
      <x:c r="R244" s="26" t="n">
        <x:v>30</x:v>
      </x:c>
      <x:c r="S244" s="26" t="n">
        <x:v>166</x:v>
      </x:c>
      <x:c r="T244" s="43" t="n">
        <x:v>36.03</x:v>
      </x:c>
      <x:c r="U244" s="43" t="n">
        <x:v>-14.05</x:v>
      </x:c>
      <x:c r="V244" s="43" t="n">
        <x:v>0</x:v>
      </x:c>
      <x:c r="W244" s="43" t="n">
        <x:v>5.55</x:v>
      </x:c>
      <x:c r="X244" s="44" t="n">
        <x:v>0.2525</x:v>
      </x:c>
      <x:c r="Y244" s="30" t="b">
        <x:v>0</x:v>
      </x:c>
      <x:c r="Z244" s="26" t="n">
        <x:v>5</x:v>
      </x:c>
      <x:c r="AA244" s="26" t="n">
        <x:v>26</x:v>
      </x:c>
      <x:c r="AB244" s="26" t="n">
        <x:v>487</x:v>
      </x:c>
      <x:c r="AC244" s="43" t="n">
        <x:v>27.32</x:v>
      </x:c>
    </x:row>
    <x:row r="245" ht="135" customHeight="1">
      <x:c r="A245" s="26" t="n">
        <x:v>244</x:v>
      </x:c>
      <x:c r="B245" s="26" t="str">
        <x:v>875026925112</x:v>
      </x:c>
      <x:c r="C245" s="26" t="str">
        <x:v>EL100V2</x:v>
      </x:c>
      <x:c r="D245" s="43" t="n">
        <x:v>27.41</x:v>
      </x:c>
      <x:c r="E245" s="26" t="str">
        <x:v>缺核对明细，无法重建预付；原预付仅按基础表保留。</x:v>
      </x:c>
      <x:c r="F245" s="43"/>
      <x:c r="G245" s="43"/>
      <x:c r="H245" s="26" t="str">
        <x:v>缺原始核对明细，无法拆分。</x:v>
      </x:c>
      <x:c r="I245" s="43"/>
      <x:c r="J245" s="43" t="n">
        <x:v>30.404</x:v>
      </x:c>
      <x:c r="K245" s="43" t="n">
        <x:f>J245-D245</x:f>
        <x:v>2.9939999999999998</x:v>
      </x:c>
      <x:c r="L245" s="26" t="str">
        <x:v>核对表无唯一匹配费用明细，无法确认差距原因；需补原始FedEx账单。</x:v>
      </x:c>
      <x:c r="M245" s="26" t="str">
        <x:v>缺核对明细，原因未确认</x:v>
      </x:c>
      <x:c r="N245" s="26"/>
      <x:c r="O245" s="26"/>
      <x:c r="P245" s="31"/>
      <x:c r="Q245" s="31"/>
      <x:c r="R245" s="26"/>
      <x:c r="S245" s="26"/>
      <x:c r="T245" s="43"/>
      <x:c r="U245" s="43"/>
      <x:c r="V245" s="43"/>
      <x:c r="W245" s="43"/>
      <x:c r="X245" s="44"/>
      <x:c r="Y245" s="26"/>
      <x:c r="Z245" s="26"/>
      <x:c r="AA245" s="26"/>
      <x:c r="AB245" s="26"/>
      <x:c r="AC245" s="43"/>
    </x:row>
    <x:row r="246" ht="135" customHeight="1">
      <x:c r="A246" s="26" t="n">
        <x:v>245</x:v>
      </x:c>
      <x:c r="B246" s="26" t="str">
        <x:v>874028982045</x:v>
      </x:c>
      <x:c r="C246" s="26" t="str">
        <x:v>EL100V2</x:v>
      </x:c>
      <x:c r="D246" s="43" t="n">
        <x:v>27.26</x:v>
      </x:c>
      <x:c r="E246" s="26" t="str">
        <x:v>反推假设：26lb、Zone5（账单Zone5）。
标准运费32.50×61%≈19.83
＋假设折后附加费0.00
＋燃油(19.83＋0.00)×25.00%≈4.96
＝预估承运成本24.79
按既有收费规则折算→预付27.27；与原预付差+0.01。</x:v>
      </x:c>
      <x:c r="F246" s="43" t="n">
        <x:v>27.27</x:v>
      </x:c>
      <x:c r="G246" s="43" t="n">
        <x:f>F246-D246</x:f>
        <x:v>0.00999999999999801</x:v>
      </x:c>
      <x:c r="H246" s="26" t="str">
        <x:v>运输费36.03
−折扣14.05
＋燃油5.50
＝承运净额27.48
账单实收30.228（按既有收费规则）</x:v>
      </x:c>
      <x:c r="I246" s="43" t="n">
        <x:v>27.48</x:v>
      </x:c>
      <x:c r="J246" s="43" t="n">
        <x:v>30.228</x:v>
      </x:c>
      <x:c r="K246" s="43" t="n">
        <x:f>J246-D246</x:f>
        <x:v>2.968</x:v>
      </x:c>
      <x:c r="L246" s="26" t="str">
        <x:v>未发现单一共同原因，需核验报价费率、原尺寸及原发票。</x:v>
      </x:c>
      <x:c r="M246" s="26" t="str">
        <x:v>账单已对账；预付试算接近（差≤0.15）</x:v>
      </x:c>
      <x:c r="N246" s="26" t="str">
        <x:v>20260709</x:v>
      </x:c>
      <x:c r="O246" s="26" t="n">
        <x:v>5</x:v>
      </x:c>
      <x:c r="P246" s="31" t="n">
        <x:v>25.35316015126092</x:v>
      </x:c>
      <x:c r="Q246" s="31" t="n">
        <x:v>29.7</x:v>
      </x:c>
      <x:c r="R246" s="26" t="n">
        <x:v>30</x:v>
      </x:c>
      <x:c r="S246" s="26" t="n">
        <x:v>166</x:v>
      </x:c>
      <x:c r="T246" s="43" t="n">
        <x:v>36.03</x:v>
      </x:c>
      <x:c r="U246" s="43" t="n">
        <x:v>-14.05</x:v>
      </x:c>
      <x:c r="V246" s="43" t="n">
        <x:v>0</x:v>
      </x:c>
      <x:c r="W246" s="43" t="n">
        <x:v>5.5</x:v>
      </x:c>
      <x:c r="X246" s="44" t="n">
        <x:v>0.25</x:v>
      </x:c>
      <x:c r="Y246" s="30" t="b">
        <x:v>0</x:v>
      </x:c>
      <x:c r="Z246" s="26" t="n">
        <x:v>5</x:v>
      </x:c>
      <x:c r="AA246" s="26" t="n">
        <x:v>26</x:v>
      </x:c>
      <x:c r="AB246" s="26" t="n">
        <x:v>368</x:v>
      </x:c>
      <x:c r="AC246" s="43" t="n">
        <x:v>27.27</x:v>
      </x:c>
    </x:row>
    <x:row r="247" ht="135" customHeight="1">
      <x:c r="A247" s="26" t="n">
        <x:v>246</x:v>
      </x:c>
      <x:c r="B247" s="26" t="str">
        <x:v>873236734387</x:v>
      </x:c>
      <x:c r="C247" s="26" t="str">
        <x:v>EL100V2</x:v>
      </x:c>
      <x:c r="D247" s="43" t="n">
        <x:v>26.41</x:v>
      </x:c>
      <x:c r="E247" s="26" t="str">
        <x:v>缺核对明细，无法重建预付；原预付仅按基础表保留。</x:v>
      </x:c>
      <x:c r="F247" s="43"/>
      <x:c r="G247" s="43"/>
      <x:c r="H247" s="26" t="str">
        <x:v>缺原始核对明细，无法拆分。</x:v>
      </x:c>
      <x:c r="I247" s="43"/>
      <x:c r="J247" s="43" t="n">
        <x:v>29.359</x:v>
      </x:c>
      <x:c r="K247" s="43" t="n">
        <x:f>J247-D247</x:f>
        <x:v>2.9490000000000016</x:v>
      </x:c>
      <x:c r="L247" s="26" t="str">
        <x:v>核对表无唯一匹配费用明细，无法确认差距原因；需补原始FedEx账单。</x:v>
      </x:c>
      <x:c r="M247" s="26" t="str">
        <x:v>缺核对明细，原因未确认</x:v>
      </x:c>
      <x:c r="N247" s="26"/>
      <x:c r="O247" s="26"/>
      <x:c r="P247" s="31"/>
      <x:c r="Q247" s="31"/>
      <x:c r="R247" s="26"/>
      <x:c r="S247" s="26"/>
      <x:c r="T247" s="43"/>
      <x:c r="U247" s="43"/>
      <x:c r="V247" s="43"/>
      <x:c r="W247" s="43"/>
      <x:c r="X247" s="44"/>
      <x:c r="Y247" s="26"/>
      <x:c r="Z247" s="26"/>
      <x:c r="AA247" s="26"/>
      <x:c r="AB247" s="26"/>
      <x:c r="AC247" s="43"/>
    </x:row>
    <x:row r="248" ht="135" customHeight="1">
      <x:c r="A248" s="26" t="n">
        <x:v>247</x:v>
      </x:c>
      <x:c r="B248" s="26" t="str">
        <x:v>874454755548</x:v>
      </x:c>
      <x:c r="C248" s="26" t="str">
        <x:v>EL100V2</x:v>
      </x:c>
      <x:c r="D248" s="43" t="n">
        <x:v>26.2</x:v>
      </x:c>
      <x:c r="E248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48" s="43" t="n">
        <x:v>26.19</x:v>
      </x:c>
      <x:c r="G248" s="43" t="n">
        <x:f>F248-D248</x:f>
        <x:v>-0.00999999999999801</x:v>
      </x:c>
      <x:c r="H248" s="26" t="str">
        <x:v>运输费34.65
−折扣13.51
＋燃油5.29
＝承运净额26.43
账单实收29.073（按既有收费规则）</x:v>
      </x:c>
      <x:c r="I248" s="43" t="n">
        <x:v>26.43</x:v>
      </x:c>
      <x:c r="J248" s="43" t="n">
        <x:v>29.073</x:v>
      </x:c>
      <x:c r="K248" s="43" t="n">
        <x:f>J248-D248</x:f>
        <x:v>2.873000000000001</x:v>
      </x:c>
      <x:c r="L248" s="26" t="str">
        <x:v>未发现单一共同原因，需核验报价费率、原尺寸及原发票。</x:v>
      </x:c>
      <x:c r="M248" s="26" t="str">
        <x:v>账单已对账；预付试算接近（差≤0.15）</x:v>
      </x:c>
      <x:c r="N248" s="26" t="str">
        <x:v>20260717</x:v>
      </x:c>
      <x:c r="O248" s="26" t="n">
        <x:v>5</x:v>
      </x:c>
      <x:c r="P248" s="31" t="n">
        <x:v>25.000420531765116</x:v>
      </x:c>
      <x:c r="Q248" s="31" t="n">
        <x:v>27.9</x:v>
      </x:c>
      <x:c r="R248" s="26" t="n">
        <x:v>28</x:v>
      </x:c>
      <x:c r="S248" s="26" t="n">
        <x:v>166</x:v>
      </x:c>
      <x:c r="T248" s="43" t="n">
        <x:v>34.65</x:v>
      </x:c>
      <x:c r="U248" s="43" t="n">
        <x:v>-13.51</x:v>
      </x:c>
      <x:c r="V248" s="43" t="n">
        <x:v>0</x:v>
      </x:c>
      <x:c r="W248" s="43" t="n">
        <x:v>5.29</x:v>
      </x:c>
      <x:c r="X248" s="44" t="n">
        <x:v>0.25</x:v>
      </x:c>
      <x:c r="Y248" s="30" t="b">
        <x:v>0</x:v>
      </x:c>
      <x:c r="Z248" s="26" t="n">
        <x:v>5</x:v>
      </x:c>
      <x:c r="AA248" s="26" t="n">
        <x:v>25</x:v>
      </x:c>
      <x:c r="AB248" s="26" t="n">
        <x:v>489</x:v>
      </x:c>
      <x:c r="AC248" s="43" t="n">
        <x:v>26.19</x:v>
      </x:c>
    </x:row>
    <x:row r="249" ht="135" customHeight="1">
      <x:c r="A249" s="26" t="n">
        <x:v>248</x:v>
      </x:c>
      <x:c r="B249" s="26" t="str">
        <x:v>874199745095</x:v>
      </x:c>
      <x:c r="C249" s="26" t="str">
        <x:v>EL100V2</x:v>
      </x:c>
      <x:c r="D249" s="43" t="n">
        <x:v>26.2</x:v>
      </x:c>
      <x:c r="E249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F249" s="43" t="n">
        <x:v>26.19</x:v>
      </x:c>
      <x:c r="G249" s="43" t="n">
        <x:f>F249-D249</x:f>
        <x:v>-0.00999999999999801</x:v>
      </x:c>
      <x:c r="H249" s="26" t="str">
        <x:v>运输费34.65
−折扣13.51
＋燃油5.29
＝承运净额26.43
账单实收29.073（按既有收费规则）</x:v>
      </x:c>
      <x:c r="I249" s="43" t="n">
        <x:v>26.43</x:v>
      </x:c>
      <x:c r="J249" s="43" t="n">
        <x:v>29.073</x:v>
      </x:c>
      <x:c r="K249" s="43" t="n">
        <x:f>J249-D249</x:f>
        <x:v>2.873000000000001</x:v>
      </x:c>
      <x:c r="L249" s="26" t="str">
        <x:v>未发现单一共同原因，需核验报价费率、原尺寸及原发票。</x:v>
      </x:c>
      <x:c r="M249" s="26" t="str">
        <x:v>账单已对账；预付试算接近（差≤0.15）</x:v>
      </x:c>
      <x:c r="N249" s="26" t="str">
        <x:v>20260714</x:v>
      </x:c>
      <x:c r="O249" s="26" t="n">
        <x:v>5</x:v>
      </x:c>
      <x:c r="P249" s="31" t="n">
        <x:v>25.000420531765116</x:v>
      </x:c>
      <x:c r="Q249" s="31" t="n">
        <x:v>27.7</x:v>
      </x:c>
      <x:c r="R249" s="26" t="n">
        <x:v>28</x:v>
      </x:c>
      <x:c r="S249" s="26" t="n">
        <x:v>166</x:v>
      </x:c>
      <x:c r="T249" s="43" t="n">
        <x:v>34.65</x:v>
      </x:c>
      <x:c r="U249" s="43" t="n">
        <x:v>-13.51</x:v>
      </x:c>
      <x:c r="V249" s="43" t="n">
        <x:v>0</x:v>
      </x:c>
      <x:c r="W249" s="43" t="n">
        <x:v>5.29</x:v>
      </x:c>
      <x:c r="X249" s="44" t="n">
        <x:v>0.25</x:v>
      </x:c>
      <x:c r="Y249" s="30" t="b">
        <x:v>0</x:v>
      </x:c>
      <x:c r="Z249" s="26" t="n">
        <x:v>5</x:v>
      </x:c>
      <x:c r="AA249" s="26" t="n">
        <x:v>25</x:v>
      </x:c>
      <x:c r="AB249" s="26" t="n">
        <x:v>406</x:v>
      </x:c>
      <x:c r="AC249" s="43" t="n">
        <x:v>26.19</x:v>
      </x:c>
    </x:row>
    <x:row r="250" ht="135" customHeight="1">
      <x:c r="A250" s="26" t="n">
        <x:v>249</x:v>
      </x:c>
      <x:c r="B250" s="26" t="str">
        <x:v>874406439920</x:v>
      </x:c>
      <x:c r="C250" s="26" t="str">
        <x:v>AC180</x:v>
      </x:c>
      <x:c r="D250" s="43" t="n">
        <x:v>25.89</x:v>
      </x:c>
      <x:c r="E250" s="26" t="str">
        <x:v>反推假设：37lb、Zone3（账单Zone3）。
标准运费30.87×61%≈18.83
＋假设折后附加费0.00
＋燃油(18.83＋0.00)×25.25%≈4.75
＝预估承运成本23.58
按既有收费规则折算→预付25.94；与原预付差+0.05。</x:v>
      </x:c>
      <x:c r="F250" s="43" t="n">
        <x:v>25.94</x:v>
      </x:c>
      <x:c r="G250" s="43" t="n">
        <x:f>F250-D250</x:f>
        <x:v>0.05000000000000071</x:v>
      </x:c>
      <x:c r="H250" s="26" t="str">
        <x:v>运输费34.22
−折扣13.35
＋燃油5.27
＝承运净额26.14
账单实收28.754（按既有收费规则）</x:v>
      </x:c>
      <x:c r="I250" s="43" t="n">
        <x:v>26.14</x:v>
      </x:c>
      <x:c r="J250" s="43" t="n">
        <x:v>28.754</x:v>
      </x:c>
      <x:c r="K250" s="43" t="n">
        <x:f>J250-D250</x:f>
        <x:v>2.8640000000000008</x:v>
      </x:c>
      <x:c r="L250" s="26" t="str">
        <x:v>未发现单一共同原因，需核验报价费率、原尺寸及原发票。</x:v>
      </x:c>
      <x:c r="M250" s="26" t="str">
        <x:v>账单已对账；预付试算接近（差≤0.15）</x:v>
      </x:c>
      <x:c r="N250" s="26" t="str">
        <x:v>20260722</x:v>
      </x:c>
      <x:c r="O250" s="26" t="n">
        <x:v>3</x:v>
      </x:c>
      <x:c r="P250" s="31" t="n">
        <x:v>36.99356759462246</x:v>
      </x:c>
      <x:c r="Q250" s="31" t="n">
        <x:v>41.5</x:v>
      </x:c>
      <x:c r="R250" s="26" t="n">
        <x:v>42</x:v>
      </x:c>
      <x:c r="S250" s="26" t="n">
        <x:v>166</x:v>
      </x:c>
      <x:c r="T250" s="43" t="n">
        <x:v>34.22</x:v>
      </x:c>
      <x:c r="U250" s="43" t="n">
        <x:v>-13.35</x:v>
      </x:c>
      <x:c r="V250" s="43" t="n">
        <x:v>0</x:v>
      </x:c>
      <x:c r="W250" s="43" t="n">
        <x:v>5.27</x:v>
      </x:c>
      <x:c r="X250" s="44" t="n">
        <x:v>0.2525</x:v>
      </x:c>
      <x:c r="Y250" s="30" t="b">
        <x:v>0</x:v>
      </x:c>
      <x:c r="Z250" s="26" t="n">
        <x:v>3</x:v>
      </x:c>
      <x:c r="AA250" s="26" t="n">
        <x:v>37</x:v>
      </x:c>
      <x:c r="AB250" s="26" t="n">
        <x:v>486</x:v>
      </x:c>
      <x:c r="AC250" s="43" t="n">
        <x:v>25.94</x:v>
      </x:c>
    </x:row>
    <x:row r="251" ht="135" customHeight="1">
      <x:c r="A251" s="26" t="n">
        <x:v>250</x:v>
      </x:c>
      <x:c r="B251" s="26" t="str">
        <x:v>873114830593</x:v>
      </x:c>
      <x:c r="C251" s="26"/>
      <x:c r="D251" s="43" t="n">
        <x:v>29.56</x:v>
      </x:c>
      <x:c r="E251" s="26" t="str">
        <x:v>反推假设：32lb、Zone5（账单Zone2）。
标准运费36.50×61%≈22.27
＋假设折后附加费0.00
＋燃油(22.27＋0.00)×26.00%≈5.79
＝预估承运成本28.06
按既有收费规则折算→预付30.87；与原预付差+1.31。</x:v>
      </x:c>
      <x:c r="F251" s="43" t="n">
        <x:v>30.87</x:v>
      </x:c>
      <x:c r="G251" s="43" t="n">
        <x:f>F251-D251</x:f>
        <x:v>1.3100000000000023</x:v>
      </x:c>
      <x:c r="H251" s="26" t="str">
        <x:v>运输费26.77
−折扣8.57
＋Residential Delivery 3.22
＋燃油5.57
＝承运净额26.99
账单实收32.388（按既有收费规则）</x:v>
      </x:c>
      <x:c r="I251" s="43" t="n">
        <x:v>26.99</x:v>
      </x:c>
      <x:c r="J251" s="43" t="n">
        <x:v>32.388</x:v>
      </x:c>
      <x:c r="K251" s="43" t="n">
        <x:f>J251-D251</x:f>
        <x:v>2.8279999999999994</x:v>
      </x:c>
      <x:c r="L251" s="26" t="str">
        <x:v>核对明细列有住宅派送费3.22美元；是否在预付中漏估须原始报价确认。
实际比预估重6.91lb，需核对称重与申报。
预付反推Zone5，最终Zone2；不代表分区错误，需查原邮编与合同。
试算偏差较大：缺原始报价/折扣/尺寸，不能强行归因。</x:v>
      </x:c>
      <x:c r="M251" s="26" t="str">
        <x:v>账单已对账；现有假设未还原预付</x:v>
      </x:c>
      <x:c r="N251" s="26" t="str">
        <x:v>20260616</x:v>
      </x:c>
      <x:c r="O251" s="26" t="n">
        <x:v>2</x:v>
      </x:c>
      <x:c r="P251" s="31" t="n">
        <x:v>31.989074243025733</x:v>
      </x:c>
      <x:c r="Q251" s="31" t="n">
        <x:v>38.9</x:v>
      </x:c>
      <x:c r="R251" s="26" t="n">
        <x:v>39</x:v>
      </x:c>
      <x:c r="S251" s="26" t="n">
        <x:v>166</x:v>
      </x:c>
      <x:c r="T251" s="43" t="n">
        <x:v>26.77</x:v>
      </x:c>
      <x:c r="U251" s="43" t="n">
        <x:v>-8.57</x:v>
      </x:c>
      <x:c r="V251" s="43" t="n">
        <x:v>3.22</x:v>
      </x:c>
      <x:c r="W251" s="43" t="n">
        <x:v>5.57</x:v>
      </x:c>
      <x:c r="X251" s="44" t="n">
        <x:v>0.26</x:v>
      </x:c>
      <x:c r="Y251" s="30" t="b">
        <x:v>0</x:v>
      </x:c>
      <x:c r="Z251" s="26" t="n">
        <x:v>5</x:v>
      </x:c>
      <x:c r="AA251" s="26" t="n">
        <x:v>32</x:v>
      </x:c>
      <x:c r="AB251" s="26" t="n">
        <x:v>57</x:v>
      </x:c>
      <x:c r="AC251" s="43" t="n">
        <x:v>20.31</x:v>
      </x:c>
    </x:row>
    <x:row r="252" ht="135" customHeight="1">
      <x:c r="A252" s="26" t="n">
        <x:v>251</x:v>
      </x:c>
      <x:c r="B252" s="26" t="str">
        <x:v>873748387608</x:v>
      </x:c>
      <x:c r="C252" s="26" t="str">
        <x:v>EL100V2</x:v>
      </x:c>
      <x:c r="D252" s="43" t="n">
        <x:v>26.25</x:v>
      </x:c>
      <x:c r="E252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F252" s="43" t="n">
        <x:v>26.19</x:v>
      </x:c>
      <x:c r="G252" s="43" t="n">
        <x:f>F252-D252</x:f>
        <x:v>-0.05999999999999872</x:v>
      </x:c>
      <x:c r="H252" s="26" t="str">
        <x:v>运输费34.65
−折扣13.51
＋燃油5.29
＝承运净额26.43
账单实收29.073（按既有收费规则）</x:v>
      </x:c>
      <x:c r="I252" s="43" t="n">
        <x:v>26.43</x:v>
      </x:c>
      <x:c r="J252" s="43" t="n">
        <x:v>29.073</x:v>
      </x:c>
      <x:c r="K252" s="43" t="n">
        <x:f>J252-D252</x:f>
        <x:v>2.8230000000000004</x:v>
      </x:c>
      <x:c r="L252" s="26" t="str">
        <x:v>未发现单一共同原因，需核验报价费率、原尺寸及原发票。</x:v>
      </x:c>
      <x:c r="M252" s="26" t="str">
        <x:v>账单已对账；预付试算接近（差≤0.15）</x:v>
      </x:c>
      <x:c r="N252" s="26" t="str">
        <x:v>20260710</x:v>
      </x:c>
      <x:c r="O252" s="26" t="n">
        <x:v>5</x:v>
      </x:c>
      <x:c r="P252" s="31" t="n">
        <x:v>25.000420531765116</x:v>
      </x:c>
      <x:c r="Q252" s="31" t="n">
        <x:v>27.7</x:v>
      </x:c>
      <x:c r="R252" s="26" t="n">
        <x:v>28</x:v>
      </x:c>
      <x:c r="S252" s="26" t="n">
        <x:v>166</x:v>
      </x:c>
      <x:c r="T252" s="43" t="n">
        <x:v>34.65</x:v>
      </x:c>
      <x:c r="U252" s="43" t="n">
        <x:v>-13.51</x:v>
      </x:c>
      <x:c r="V252" s="43" t="n">
        <x:v>0</x:v>
      </x:c>
      <x:c r="W252" s="43" t="n">
        <x:v>5.29</x:v>
      </x:c>
      <x:c r="X252" s="44" t="n">
        <x:v>0.25</x:v>
      </x:c>
      <x:c r="Y252" s="30" t="b">
        <x:v>0</x:v>
      </x:c>
      <x:c r="Z252" s="26" t="n">
        <x:v>5</x:v>
      </x:c>
      <x:c r="AA252" s="26" t="n">
        <x:v>25</x:v>
      </x:c>
      <x:c r="AB252" s="26" t="n">
        <x:v>317</x:v>
      </x:c>
      <x:c r="AC252" s="43" t="n">
        <x:v>26.19</x:v>
      </x:c>
    </x:row>
    <x:row r="253" ht="135" customHeight="1">
      <x:c r="A253" s="26" t="n">
        <x:v>252</x:v>
      </x:c>
      <x:c r="B253" s="26" t="str">
        <x:v>873424093974</x:v>
      </x:c>
      <x:c r="C253" s="26" t="str">
        <x:v>EL100V2</x:v>
      </x:c>
      <x:c r="D253" s="43" t="n">
        <x:v>26.31</x:v>
      </x:c>
      <x:c r="E253" s="26" t="str">
        <x:v>反推假设：25lb、Zone5（账单Zone5）。
标准运费31.23×61%≈19.05
＋假设折后附加费0.00
＋燃油(19.05＋0.00)×25.25%≈4.81
＝预估承运成本23.86
按既有收费规则折算→预付26.25；与原预付差-0.06。</x:v>
      </x:c>
      <x:c r="F253" s="43" t="n">
        <x:v>26.25</x:v>
      </x:c>
      <x:c r="G253" s="43" t="n">
        <x:f>F253-D253</x:f>
        <x:v>-0.05999999999999872</x:v>
      </x:c>
      <x:c r="H253" s="26" t="str">
        <x:v>运输费34.65
−折扣13.51
＋燃油5.34
＝承运净额26.48
账单实收29.128（按既有收费规则）</x:v>
      </x:c>
      <x:c r="I253" s="43" t="n">
        <x:v>26.48</x:v>
      </x:c>
      <x:c r="J253" s="43" t="n">
        <x:v>29.128</x:v>
      </x:c>
      <x:c r="K253" s="43" t="n">
        <x:f>J253-D253</x:f>
        <x:v>2.8180000000000014</x:v>
      </x:c>
      <x:c r="L253" s="26" t="str">
        <x:v>未发现单一共同原因，需核验报价费率、原尺寸及原发票。</x:v>
      </x:c>
      <x:c r="M253" s="26" t="str">
        <x:v>账单已对账；预付试算接近（差≤0.15）</x:v>
      </x:c>
      <x:c r="N253" s="26" t="str">
        <x:v>20260629</x:v>
      </x:c>
      <x:c r="O253" s="26" t="n">
        <x:v>5</x:v>
      </x:c>
      <x:c r="P253" s="31" t="n">
        <x:v>25.000420531765116</x:v>
      </x:c>
      <x:c r="Q253" s="31" t="n">
        <x:v>28</x:v>
      </x:c>
      <x:c r="R253" s="26" t="n">
        <x:v>28</x:v>
      </x:c>
      <x:c r="S253" s="26" t="n">
        <x:v>166</x:v>
      </x:c>
      <x:c r="T253" s="43" t="n">
        <x:v>34.65</x:v>
      </x:c>
      <x:c r="U253" s="43" t="n">
        <x:v>-13.51</x:v>
      </x:c>
      <x:c r="V253" s="43" t="n">
        <x:v>0</x:v>
      </x:c>
      <x:c r="W253" s="43" t="n">
        <x:v>5.34</x:v>
      </x:c>
      <x:c r="X253" s="44" t="n">
        <x:v>0.2525</x:v>
      </x:c>
      <x:c r="Y253" s="30" t="b">
        <x:v>0</x:v>
      </x:c>
      <x:c r="Z253" s="26" t="n">
        <x:v>5</x:v>
      </x:c>
      <x:c r="AA253" s="26" t="n">
        <x:v>25</x:v>
      </x:c>
      <x:c r="AB253" s="26" t="n">
        <x:v>196</x:v>
      </x:c>
      <x:c r="AC253" s="43" t="n">
        <x:v>26.25</x:v>
      </x:c>
    </x:row>
    <x:row r="254" ht="135" customHeight="1">
      <x:c r="A254" s="26" t="n">
        <x:v>253</x:v>
      </x:c>
      <x:c r="B254" s="26" t="str">
        <x:v>873485268926</x:v>
      </x:c>
      <x:c r="C254" s="26" t="str">
        <x:v>EL300</x:v>
      </x:c>
      <x:c r="D254" s="43" t="n">
        <x:v>71.94</x:v>
      </x:c>
      <x:c r="E254" s="26" t="str">
        <x:v>反推假设：56lb、Zone4（账单Zone4）。
标准运费44.24×61%≈26.99
＋假设折后附加费25.13
＋燃油(26.99＋25.13)×25.25%≈13.16
＝预估承运成本65.28
按既有收费规则折算→预付71.81；与原预付差-0.13。</x:v>
      </x:c>
      <x:c r="F254" s="43" t="n">
        <x:v>71.81</x:v>
      </x:c>
      <x:c r="G254" s="43" t="n">
        <x:f>F254-D254</x:f>
        <x:v>-0.12999999999999545</x:v>
      </x:c>
      <x:c r="H254" s="26" t="str">
        <x:v>运输费47.77
−折扣18.63
＋Add'l Handling-Weight 25.12
＋燃油13.70
＝承运净额67.96
账单实收74.756（按既有收费规则）</x:v>
      </x:c>
      <x:c r="I254" s="43" t="n">
        <x:v>67.96</x:v>
      </x:c>
      <x:c r="J254" s="43" t="n">
        <x:v>74.756</x:v>
      </x:c>
      <x:c r="K254" s="43" t="n">
        <x:f>J254-D254</x:f>
        <x:v>2.8160000000000025</x:v>
      </x:c>
      <x:c r="L254" s="26" t="str">
        <x:v>实际比预估重9.60lb，需核对称重与申报。</x:v>
      </x:c>
      <x:c r="M254" s="26" t="str">
        <x:v>账单已对账；预付试算接近（差≤0.15）</x:v>
      </x:c>
      <x:c r="N254" s="26" t="str">
        <x:v>20260701</x:v>
      </x:c>
      <x:c r="O254" s="26" t="n">
        <x:v>4</x:v>
      </x:c>
      <x:c r="P254" s="31" t="n">
        <x:v>55.9974145949589</x:v>
      </x:c>
      <x:c r="Q254" s="31" t="n">
        <x:v>65.6</x:v>
      </x:c>
      <x:c r="R254" s="26" t="n">
        <x:v>66</x:v>
      </x:c>
      <x:c r="S254" s="26" t="n">
        <x:v>166</x:v>
      </x:c>
      <x:c r="T254" s="43" t="n">
        <x:v>47.77</x:v>
      </x:c>
      <x:c r="U254" s="43" t="n">
        <x:v>-18.63</x:v>
      </x:c>
      <x:c r="V254" s="43" t="n">
        <x:v>25.12</x:v>
      </x:c>
      <x:c r="W254" s="43" t="n">
        <x:v>13.7</x:v>
      </x:c>
      <x:c r="X254" s="44" t="n">
        <x:v>0.2525</x:v>
      </x:c>
      <x:c r="Y254" s="30" t="b">
        <x:v>0</x:v>
      </x:c>
      <x:c r="Z254" s="26" t="n">
        <x:v>4</x:v>
      </x:c>
      <x:c r="AA254" s="26" t="n">
        <x:v>56</x:v>
      </x:c>
      <x:c r="AB254" s="26" t="n">
        <x:v>217</x:v>
      </x:c>
      <x:c r="AC254" s="43" t="n">
        <x:v>71.81</x:v>
      </x:c>
    </x:row>
    <x:row r="255" ht="135" customHeight="1">
      <x:c r="A255" s="26" t="n">
        <x:v>254</x:v>
      </x:c>
      <x:c r="B255" s="26" t="str">
        <x:v>874290703451</x:v>
      </x:c>
      <x:c r="C255" s="26" t="str">
        <x:v>EL100V2</x:v>
      </x:c>
      <x:c r="D255" s="43" t="n">
        <x:v>27.46</x:v>
      </x:c>
      <x:c r="E255" s="26" t="str">
        <x:v>反推假设：27lb、Zone5（账单Zone5）。
标准运费32.73×61%≈19.97
＋假设折后附加费0.00
＋燃油(19.97＋0.00)×25.00%≈4.99
＝预估承运成本24.96
按既有收费规则折算→预付27.46；与原预付差+0.00。</x:v>
      </x:c>
      <x:c r="F255" s="43" t="n">
        <x:v>27.46</x:v>
      </x:c>
      <x:c r="G255" s="43" t="n">
        <x:f>F255-D255</x:f>
        <x:v>0</x:v>
      </x:c>
      <x:c r="H255" s="26" t="str">
        <x:v>运输费36.03
−折扣14.05
＋燃油5.50
＝承运净额27.48
账单实收30.228（按既有收费规则）</x:v>
      </x:c>
      <x:c r="I255" s="43" t="n">
        <x:v>27.48</x:v>
      </x:c>
      <x:c r="J255" s="43" t="n">
        <x:v>30.228</x:v>
      </x:c>
      <x:c r="K255" s="43" t="n">
        <x:f>J255-D255</x:f>
        <x:v>2.7680000000000007</x:v>
      </x:c>
      <x:c r="L255" s="26" t="str">
        <x:v>未发现单一共同原因，需核验报价费率、原尺寸及原发票。</x:v>
      </x:c>
      <x:c r="M255" s="26" t="str">
        <x:v>账单已对账；预付试算接近（差≤0.15）</x:v>
      </x:c>
      <x:c r="N255" s="26" t="str">
        <x:v>20260714</x:v>
      </x:c>
      <x:c r="O255" s="26" t="n">
        <x:v>5</x:v>
      </x:c>
      <x:c r="P255" s="31" t="n">
        <x:v>26.455471462185308</x:v>
      </x:c>
      <x:c r="Q255" s="31" t="n">
        <x:v>29.5</x:v>
      </x:c>
      <x:c r="R255" s="26" t="n">
        <x:v>30</x:v>
      </x:c>
      <x:c r="S255" s="26" t="n">
        <x:v>166</x:v>
      </x:c>
      <x:c r="T255" s="43" t="n">
        <x:v>36.03</x:v>
      </x:c>
      <x:c r="U255" s="43" t="n">
        <x:v>-14.05</x:v>
      </x:c>
      <x:c r="V255" s="43" t="n">
        <x:v>0</x:v>
      </x:c>
      <x:c r="W255" s="43" t="n">
        <x:v>5.5</x:v>
      </x:c>
      <x:c r="X255" s="44" t="n">
        <x:v>0.25</x:v>
      </x:c>
      <x:c r="Y255" s="30" t="b">
        <x:v>0</x:v>
      </x:c>
      <x:c r="Z255" s="26" t="n">
        <x:v>5</x:v>
      </x:c>
      <x:c r="AA255" s="26" t="n">
        <x:v>27</x:v>
      </x:c>
      <x:c r="AB255" s="26" t="n">
        <x:v>416</x:v>
      </x:c>
      <x:c r="AC255" s="43" t="n">
        <x:v>27.46</x:v>
      </x:c>
    </x:row>
    <x:row r="256" ht="135" customHeight="1">
      <x:c r="A256" s="26" t="n">
        <x:v>255</x:v>
      </x:c>
      <x:c r="B256" s="26" t="str">
        <x:v>873543285720</x:v>
      </x:c>
      <x:c r="C256" s="26" t="str">
        <x:v>EL100V2</x:v>
      </x:c>
      <x:c r="D256" s="43" t="n">
        <x:v>26.31</x:v>
      </x:c>
      <x:c r="E256" s="26" t="str">
        <x:v>反推假设：25lb、Zone5（账单Zone5）。
标准运费31.23×61%≈19.05
＋假设折后附加费0.00
＋燃油(19.05＋0.00)×25.00%≈4.76
＝预估承运成本23.81
按既有收费规则折算→预付26.19；与原预付差-0.12。</x:v>
      </x:c>
      <x:c r="F256" s="43" t="n">
        <x:v>26.19</x:v>
      </x:c>
      <x:c r="G256" s="43" t="n">
        <x:f>F256-D256</x:f>
        <x:v>-0.11999999999999744</x:v>
      </x:c>
      <x:c r="H256" s="26" t="str">
        <x:v>运输费34.65
−折扣13.51
＋燃油5.29
＝承运净额26.43
账单实收29.073（按既有收费规则）</x:v>
      </x:c>
      <x:c r="I256" s="43" t="n">
        <x:v>26.43</x:v>
      </x:c>
      <x:c r="J256" s="43" t="n">
        <x:v>29.073</x:v>
      </x:c>
      <x:c r="K256" s="43" t="n">
        <x:f>J256-D256</x:f>
        <x:v>2.7630000000000017</x:v>
      </x:c>
      <x:c r="L256" s="26" t="str">
        <x:v>未发现单一共同原因，需核验报价费率、原尺寸及原发票。</x:v>
      </x:c>
      <x:c r="M256" s="26" t="str">
        <x:v>账单已对账；预付试算接近（差≤0.15）</x:v>
      </x:c>
      <x:c r="N256" s="26" t="str">
        <x:v>20260706</x:v>
      </x:c>
      <x:c r="O256" s="26" t="n">
        <x:v>5</x:v>
      </x:c>
      <x:c r="P256" s="31" t="n">
        <x:v>25.000420531765116</x:v>
      </x:c>
      <x:c r="Q256" s="31" t="n">
        <x:v>27.7</x:v>
      </x:c>
      <x:c r="R256" s="26" t="n">
        <x:v>28</x:v>
      </x:c>
      <x:c r="S256" s="26" t="n">
        <x:v>166</x:v>
      </x:c>
      <x:c r="T256" s="43" t="n">
        <x:v>34.65</x:v>
      </x:c>
      <x:c r="U256" s="43" t="n">
        <x:v>-13.51</x:v>
      </x:c>
      <x:c r="V256" s="43" t="n">
        <x:v>0</x:v>
      </x:c>
      <x:c r="W256" s="43" t="n">
        <x:v>5.29</x:v>
      </x:c>
      <x:c r="X256" s="44" t="n">
        <x:v>0.25</x:v>
      </x:c>
      <x:c r="Y256" s="30" t="b">
        <x:v>0</x:v>
      </x:c>
      <x:c r="Z256" s="26" t="n">
        <x:v>5</x:v>
      </x:c>
      <x:c r="AA256" s="26" t="n">
        <x:v>25</x:v>
      </x:c>
      <x:c r="AB256" s="26" t="n">
        <x:v>280</x:v>
      </x:c>
      <x:c r="AC256" s="43" t="n">
        <x:v>26.19</x:v>
      </x:c>
    </x:row>
    <x:row r="257" ht="135" customHeight="1">
      <x:c r="A257" s="26" t="n">
        <x:v>256</x:v>
      </x:c>
      <x:c r="B257" s="26" t="str">
        <x:v>874714646339</x:v>
      </x:c>
      <x:c r="C257" s="26"/>
      <x:c r="D257" s="43" t="n">
        <x:v>17.5</x:v>
      </x:c>
      <x:c r="E257" s="26" t="str">
        <x:v>缺核对明细，无法重建预付；原预付仅按基础表保留。</x:v>
      </x:c>
      <x:c r="F257" s="43"/>
      <x:c r="G257" s="43"/>
      <x:c r="H257" s="26" t="str">
        <x:v>缺原始核对明细，无法拆分。</x:v>
      </x:c>
      <x:c r="I257" s="43"/>
      <x:c r="J257" s="43" t="n">
        <x:v>20.262</x:v>
      </x:c>
      <x:c r="K257" s="43" t="n">
        <x:f>J257-D257</x:f>
        <x:v>2.7620000000000005</x:v>
      </x:c>
      <x:c r="L257" s="26" t="str">
        <x:v>核对表无唯一匹配费用明细，无法确认差距原因；需补原始FedEx账单。</x:v>
      </x:c>
      <x:c r="M257" s="26" t="str">
        <x:v>缺核对明细，原因未确认</x:v>
      </x:c>
      <x:c r="N257" s="26"/>
      <x:c r="O257" s="26"/>
      <x:c r="P257" s="31"/>
      <x:c r="Q257" s="31"/>
      <x:c r="R257" s="26"/>
      <x:c r="S257" s="26"/>
      <x:c r="T257" s="43"/>
      <x:c r="U257" s="43"/>
      <x:c r="V257" s="43"/>
      <x:c r="W257" s="43"/>
      <x:c r="X257" s="44"/>
      <x:c r="Y257" s="26"/>
      <x:c r="Z257" s="26"/>
      <x:c r="AA257" s="26"/>
      <x:c r="AB257" s="26"/>
      <x:c r="AC257" s="43"/>
    </x:row>
    <x:row r="258" ht="135" customHeight="1">
      <x:c r="A258" s="26" t="n">
        <x:v>257</x:v>
      </x:c>
      <x:c r="B258" s="26" t="str">
        <x:v>873689062051</x:v>
      </x:c>
      <x:c r="C258" s="26" t="str">
        <x:v>EL100</x:v>
      </x:c>
      <x:c r="D258" s="43" t="n">
        <x:v>23.06</x:v>
      </x:c>
      <x:c r="E258" s="26" t="str">
        <x:v>反推假设：27lb、Zone4（账单Zone4）。
标准运费27.45×61%≈16.74
＋假设折后附加费0.00
＋燃油(16.74＋0.00)×25.25%≈4.23
＝预估承运成本20.97
按既有收费规则折算→预付23.07；与原预付差+0.01。</x:v>
      </x:c>
      <x:c r="F258" s="43" t="n">
        <x:v>23.07</x:v>
      </x:c>
      <x:c r="G258" s="43" t="n">
        <x:f>F258-D258</x:f>
        <x:v>0.010000000000001563</x:v>
      </x:c>
      <x:c r="H258" s="26" t="str">
        <x:v>运输费30.70
−折扣11.97
＋燃油4.73
＝承运净额23.46
账单实收25.806（按既有收费规则）</x:v>
      </x:c>
      <x:c r="I258" s="43" t="n">
        <x:v>23.46</x:v>
      </x:c>
      <x:c r="J258" s="43" t="n">
        <x:v>25.806</x:v>
      </x:c>
      <x:c r="K258" s="43" t="n">
        <x:f>J258-D258</x:f>
        <x:v>2.746000000000002</x:v>
      </x:c>
      <x:c r="L258" s="26" t="str">
        <x:v>未发现单一共同原因，需核验报价费率、原尺寸及原发票。</x:v>
      </x:c>
      <x:c r="M258" s="26" t="str">
        <x:v>账单已对账；预付试算接近（差≤0.15）</x:v>
      </x:c>
      <x:c r="N258" s="26" t="str">
        <x:v>20260630</x:v>
      </x:c>
      <x:c r="O258" s="26" t="n">
        <x:v>4</x:v>
      </x:c>
      <x:c r="P258" s="31" t="n">
        <x:v>26.455471462185308</x:v>
      </x:c>
      <x:c r="Q258" s="31" t="n">
        <x:v>30</x:v>
      </x:c>
      <x:c r="R258" s="26" t="n">
        <x:v>32</x:v>
      </x:c>
      <x:c r="S258" s="26" t="n">
        <x:v>166</x:v>
      </x:c>
      <x:c r="T258" s="43" t="n">
        <x:v>30.7</x:v>
      </x:c>
      <x:c r="U258" s="43" t="n">
        <x:v>-11.97</x:v>
      </x:c>
      <x:c r="V258" s="43" t="n">
        <x:v>0</x:v>
      </x:c>
      <x:c r="W258" s="43" t="n">
        <x:v>4.73</x:v>
      </x:c>
      <x:c r="X258" s="44" t="n">
        <x:v>0.2525</x:v>
      </x:c>
      <x:c r="Y258" s="30" t="b">
        <x:v>0</x:v>
      </x:c>
      <x:c r="Z258" s="26" t="n">
        <x:v>4</x:v>
      </x:c>
      <x:c r="AA258" s="26" t="n">
        <x:v>27</x:v>
      </x:c>
      <x:c r="AB258" s="26" t="n">
        <x:v>204</x:v>
      </x:c>
      <x:c r="AC258" s="43" t="n">
        <x:v>23.07</x:v>
      </x:c>
    </x:row>
    <x:row r="259" ht="135" customHeight="1">
      <x:c r="A259" s="26" t="n">
        <x:v>258</x:v>
      </x:c>
      <x:c r="B259" s="26" t="str">
        <x:v>873125800348</x:v>
      </x:c>
      <x:c r="C259" s="26" t="str">
        <x:v>AC180</x:v>
      </x:c>
      <x:c r="D259" s="43" t="n">
        <x:v>26.5</x:v>
      </x:c>
      <x:c r="E259" s="26" t="str">
        <x:v>反推假设：38lb、Zone3（账单Zone3）。
标准运费31.34×61%≈19.12
＋假设折后附加费0.00
＋燃油(19.12＋0.00)×25.50%≈4.88
＝预估承运成本24.00
按既有收费规则折算→预付26.40；与原预付差-0.10。</x:v>
      </x:c>
      <x:c r="F259" s="43" t="n">
        <x:v>26.4</x:v>
      </x:c>
      <x:c r="G259" s="43" t="n">
        <x:f>F259-D259</x:f>
        <x:v>-0.10000000000000142</x:v>
      </x:c>
      <x:c r="H259" s="26" t="str">
        <x:v>运输费34.71
−折扣13.54
＋燃油5.40
＝承运净额26.57
账单实收29.227（按既有收费规则）</x:v>
      </x:c>
      <x:c r="I259" s="43" t="n">
        <x:v>26.57</x:v>
      </x:c>
      <x:c r="J259" s="43" t="n">
        <x:v>29.227</x:v>
      </x:c>
      <x:c r="K259" s="43" t="n">
        <x:f>J259-D259</x:f>
        <x:v>2.7270000000000003</x:v>
      </x:c>
      <x:c r="L259" s="26" t="str">
        <x:v>未发现单一共同原因，需核验报价费率、原尺寸及原发票。</x:v>
      </x:c>
      <x:c r="M259" s="26" t="str">
        <x:v>账单已对账；预付试算接近（差≤0.15）</x:v>
      </x:c>
      <x:c r="N259" s="26" t="str">
        <x:v>20260624</x:v>
      </x:c>
      <x:c r="O259" s="26" t="n">
        <x:v>3</x:v>
      </x:c>
      <x:c r="P259" s="31" t="n">
        <x:v>37.98564777445441</x:v>
      </x:c>
      <x:c r="Q259" s="31" t="n">
        <x:v>42.7</x:v>
      </x:c>
      <x:c r="R259" s="26" t="n">
        <x:v>43</x:v>
      </x:c>
      <x:c r="S259" s="26" t="n">
        <x:v>166</x:v>
      </x:c>
      <x:c r="T259" s="43" t="n">
        <x:v>34.71</x:v>
      </x:c>
      <x:c r="U259" s="43" t="n">
        <x:v>-13.54</x:v>
      </x:c>
      <x:c r="V259" s="43" t="n">
        <x:v>0</x:v>
      </x:c>
      <x:c r="W259" s="43" t="n">
        <x:v>5.4</x:v>
      </x:c>
      <x:c r="X259" s="44" t="n">
        <x:v>0.255</x:v>
      </x:c>
      <x:c r="Y259" s="30" t="b">
        <x:v>0</x:v>
      </x:c>
      <x:c r="Z259" s="26" t="n">
        <x:v>3</x:v>
      </x:c>
      <x:c r="AA259" s="26" t="n">
        <x:v>38</x:v>
      </x:c>
      <x:c r="AB259" s="26" t="n">
        <x:v>111</x:v>
      </x:c>
      <x:c r="AC259" s="43" t="n">
        <x:v>26.4</x:v>
      </x:c>
    </x:row>
    <x:row r="260" ht="135" customHeight="1">
      <x:c r="A260" s="26" t="n">
        <x:v>259</x:v>
      </x:c>
      <x:c r="B260" s="26" t="str">
        <x:v>874456457692</x:v>
      </x:c>
      <x:c r="C260" s="26" t="str">
        <x:v>EL100V2</x:v>
      </x:c>
      <x:c r="D260" s="43" t="n">
        <x:v>21.67</x:v>
      </x:c>
      <x:c r="E260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F260" s="43" t="n">
        <x:v>21.71</x:v>
      </x:c>
      <x:c r="G260" s="43" t="n">
        <x:f>F260-D260</x:f>
        <x:v>0.03999999999999915</x:v>
      </x:c>
      <x:c r="H260" s="26" t="str">
        <x:v>运输费28.98
−折扣11.30
＋燃油4.46
＝承运净额22.14
账单实收24.354（按既有收费规则）</x:v>
      </x:c>
      <x:c r="I260" s="43" t="n">
        <x:v>22.14</x:v>
      </x:c>
      <x:c r="J260" s="43" t="n">
        <x:v>24.354</x:v>
      </x:c>
      <x:c r="K260" s="43" t="n">
        <x:f>J260-D260</x:f>
        <x:v>2.6839999999999975</x:v>
      </x:c>
      <x:c r="L260" s="26" t="str">
        <x:v>未发现单一共同原因，需核验报价费率、原尺寸及原发票。</x:v>
      </x:c>
      <x:c r="M260" s="26" t="str">
        <x:v>账单已对账；预付试算接近（差≤0.15）</x:v>
      </x:c>
      <x:c r="N260" s="26" t="str">
        <x:v>20260720</x:v>
      </x:c>
      <x:c r="O260" s="26" t="n">
        <x:v>4</x:v>
      </x:c>
      <x:c r="P260" s="31" t="n">
        <x:v>25.000420531765116</x:v>
      </x:c>
      <x:c r="Q260" s="31" t="n">
        <x:v>28.3</x:v>
      </x:c>
      <x:c r="R260" s="26" t="n">
        <x:v>29</x:v>
      </x:c>
      <x:c r="S260" s="26" t="n">
        <x:v>166</x:v>
      </x:c>
      <x:c r="T260" s="43" t="n">
        <x:v>28.98</x:v>
      </x:c>
      <x:c r="U260" s="43" t="n">
        <x:v>-11.3</x:v>
      </x:c>
      <x:c r="V260" s="43" t="n">
        <x:v>0</x:v>
      </x:c>
      <x:c r="W260" s="43" t="n">
        <x:v>4.46</x:v>
      </x:c>
      <x:c r="X260" s="44" t="n">
        <x:v>0.2525</x:v>
      </x:c>
      <x:c r="Y260" s="30" t="b">
        <x:v>0</x:v>
      </x:c>
      <x:c r="Z260" s="26" t="n">
        <x:v>4</x:v>
      </x:c>
      <x:c r="AA260" s="26" t="n">
        <x:v>25</x:v>
      </x:c>
      <x:c r="AB260" s="26" t="n">
        <x:v>470</x:v>
      </x:c>
      <x:c r="AC260" s="43" t="n">
        <x:v>21.71</x:v>
      </x:c>
    </x:row>
    <x:row r="261" ht="135" customHeight="1">
      <x:c r="A261" s="26" t="n">
        <x:v>260</x:v>
      </x:c>
      <x:c r="B261" s="26" t="str">
        <x:v>874087725260</x:v>
      </x:c>
      <x:c r="C261" s="26" t="str">
        <x:v>EL100V2</x:v>
      </x:c>
      <x:c r="D261" s="43" t="n">
        <x:v>20.2</x:v>
      </x:c>
      <x:c r="E261" s="26" t="str">
        <x:v>反推假设：25lb、Zone3（账单Zone3）。
标准运费24.09×61%≈14.69
＋假设折后附加费0.00
＋燃油(14.69＋0.00)×25.00%≈3.67
＝预估承运成本18.36
按既有收费规则折算→预付20.20；与原预付差+0.00。</x:v>
      </x:c>
      <x:c r="F261" s="43" t="n">
        <x:v>20.2</x:v>
      </x:c>
      <x:c r="G261" s="43" t="n">
        <x:f>F261-D261</x:f>
        <x:v>0</x:v>
      </x:c>
      <x:c r="H261" s="26" t="str">
        <x:v>运输费27.25
−折扣10.63
＋燃油4.16
＝承运净额20.78
账单实收22.858（按既有收费规则）</x:v>
      </x:c>
      <x:c r="I261" s="43" t="n">
        <x:v>20.78</x:v>
      </x:c>
      <x:c r="J261" s="43" t="n">
        <x:v>22.858</x:v>
      </x:c>
      <x:c r="K261" s="43" t="n">
        <x:f>J261-D261</x:f>
        <x:v>2.6580000000000013</x:v>
      </x:c>
      <x:c r="L261" s="26" t="str">
        <x:v>未发现单一共同原因，需核验报价费率、原尺寸及原发票。</x:v>
      </x:c>
      <x:c r="M261" s="26" t="str">
        <x:v>账单已对账；预付试算接近（差≤0.15）</x:v>
      </x:c>
      <x:c r="N261" s="26" t="str">
        <x:v>20260710</x:v>
      </x:c>
      <x:c r="O261" s="26" t="n">
        <x:v>3</x:v>
      </x:c>
      <x:c r="P261" s="31" t="n">
        <x:v>25.000420531765116</x:v>
      </x:c>
      <x:c r="Q261" s="31" t="n">
        <x:v>29.8</x:v>
      </x:c>
      <x:c r="R261" s="26" t="n">
        <x:v>30</x:v>
      </x:c>
      <x:c r="S261" s="26" t="n">
        <x:v>166</x:v>
      </x:c>
      <x:c r="T261" s="43" t="n">
        <x:v>27.25</x:v>
      </x:c>
      <x:c r="U261" s="43" t="n">
        <x:v>-10.63</x:v>
      </x:c>
      <x:c r="V261" s="43" t="n">
        <x:v>0</x:v>
      </x:c>
      <x:c r="W261" s="43" t="n">
        <x:v>4.16</x:v>
      </x:c>
      <x:c r="X261" s="44" t="n">
        <x:v>0.25</x:v>
      </x:c>
      <x:c r="Y261" s="30" t="b">
        <x:v>0</x:v>
      </x:c>
      <x:c r="Z261" s="26" t="n">
        <x:v>3</x:v>
      </x:c>
      <x:c r="AA261" s="26" t="n">
        <x:v>25</x:v>
      </x:c>
      <x:c r="AB261" s="26" t="n">
        <x:v>350</x:v>
      </x:c>
      <x:c r="AC261" s="43" t="n">
        <x:v>20.2</x:v>
      </x:c>
    </x:row>
    <x:row r="262" ht="135" customHeight="1">
      <x:c r="A262" s="26" t="n">
        <x:v>261</x:v>
      </x:c>
      <x:c r="B262" s="26" t="str">
        <x:v>874906233666</x:v>
      </x:c>
      <x:c r="C262" s="26" t="str">
        <x:v>AC180</x:v>
      </x:c>
      <x:c r="D262" s="43" t="n">
        <x:v>36.65</x:v>
      </x:c>
      <x:c r="E262" s="26" t="str">
        <x:v>缺核对明细，无法重建预付；原预付仅按基础表保留。</x:v>
      </x:c>
      <x:c r="F262" s="43"/>
      <x:c r="G262" s="43"/>
      <x:c r="H262" s="26" t="str">
        <x:v>缺原始核对明细，无法拆分。</x:v>
      </x:c>
      <x:c r="I262" s="43"/>
      <x:c r="J262" s="43" t="n">
        <x:v>39.303</x:v>
      </x:c>
      <x:c r="K262" s="43" t="n">
        <x:f>J262-D262</x:f>
        <x:v>2.6529999999999987</x:v>
      </x:c>
      <x:c r="L262" s="26" t="str">
        <x:v>核对表无唯一匹配费用明细，无法确认差距原因；需补原始FedEx账单。</x:v>
      </x:c>
      <x:c r="M262" s="26" t="str">
        <x:v>缺核对明细，原因未确认</x:v>
      </x:c>
      <x:c r="N262" s="26"/>
      <x:c r="O262" s="26"/>
      <x:c r="P262" s="31"/>
      <x:c r="Q262" s="31"/>
      <x:c r="R262" s="26"/>
      <x:c r="S262" s="26"/>
      <x:c r="T262" s="43"/>
      <x:c r="U262" s="43"/>
      <x:c r="V262" s="43"/>
      <x:c r="W262" s="43"/>
      <x:c r="X262" s="44"/>
      <x:c r="Y262" s="26"/>
      <x:c r="Z262" s="26"/>
      <x:c r="AA262" s="26"/>
      <x:c r="AB262" s="26"/>
      <x:c r="AC262" s="43"/>
    </x:row>
    <x:row r="263" ht="135" customHeight="1">
      <x:c r="A263" s="26" t="n">
        <x:v>262</x:v>
      </x:c>
      <x:c r="B263" s="26" t="str">
        <x:v>873481838718</x:v>
      </x:c>
      <x:c r="C263" s="26" t="str">
        <x:v>EL100V2</x:v>
      </x:c>
      <x:c r="D263" s="43" t="n">
        <x:v>21.76</x:v>
      </x:c>
      <x:c r="E263" s="26" t="str">
        <x:v>反推假设：25lb、Zone4（账单Zone4）。
标准运费25.83×61%≈15.76
＋假设折后附加费0.00
＋燃油(15.76＋0.00)×25.50%≈4.02
＝预估承运成本19.78
按既有收费规则折算→预付21.76；与原预付差+0.00。</x:v>
      </x:c>
      <x:c r="F263" s="43" t="n">
        <x:v>21.76</x:v>
      </x:c>
      <x:c r="G263" s="43" t="n">
        <x:f>F263-D263</x:f>
        <x:v>0</x:v>
      </x:c>
      <x:c r="H263" s="26" t="str">
        <x:v>运输费28.98
−折扣11.30
＋燃油4.51
＝承运净额22.19
账单实收24.409（按既有收费规则）</x:v>
      </x:c>
      <x:c r="I263" s="43" t="n">
        <x:v>22.19</x:v>
      </x:c>
      <x:c r="J263" s="43" t="n">
        <x:v>24.409</x:v>
      </x:c>
      <x:c r="K263" s="43" t="n">
        <x:f>J263-D263</x:f>
        <x:v>2.6489999999999974</x:v>
      </x:c>
      <x:c r="L263" s="26" t="str">
        <x:v>未发现单一共同原因，需核验报价费率、原尺寸及原发票。</x:v>
      </x:c>
      <x:c r="M263" s="26" t="str">
        <x:v>账单已对账；预付试算接近（差≤0.15）</x:v>
      </x:c>
      <x:c r="N263" s="26" t="str">
        <x:v>20260624</x:v>
      </x:c>
      <x:c r="O263" s="26" t="n">
        <x:v>4</x:v>
      </x:c>
      <x:c r="P263" s="31" t="n">
        <x:v>25.000420531765116</x:v>
      </x:c>
      <x:c r="Q263" s="31" t="n">
        <x:v>28.9</x:v>
      </x:c>
      <x:c r="R263" s="26" t="n">
        <x:v>29</x:v>
      </x:c>
      <x:c r="S263" s="26" t="n">
        <x:v>166</x:v>
      </x:c>
      <x:c r="T263" s="43" t="n">
        <x:v>28.98</x:v>
      </x:c>
      <x:c r="U263" s="43" t="n">
        <x:v>-11.3</x:v>
      </x:c>
      <x:c r="V263" s="43" t="n">
        <x:v>0</x:v>
      </x:c>
      <x:c r="W263" s="43" t="n">
        <x:v>4.51</x:v>
      </x:c>
      <x:c r="X263" s="44" t="n">
        <x:v>0.255</x:v>
      </x:c>
      <x:c r="Y263" s="30" t="b">
        <x:v>0</x:v>
      </x:c>
      <x:c r="Z263" s="26" t="n">
        <x:v>4</x:v>
      </x:c>
      <x:c r="AA263" s="26" t="n">
        <x:v>25</x:v>
      </x:c>
      <x:c r="AB263" s="26" t="n">
        <x:v>132</x:v>
      </x:c>
      <x:c r="AC263" s="43" t="n">
        <x:v>21.76</x:v>
      </x:c>
    </x:row>
    <x:row r="264" ht="135" customHeight="1">
      <x:c r="A264" s="26" t="n">
        <x:v>263</x:v>
      </x:c>
      <x:c r="B264" s="26" t="str">
        <x:v>874715484054</x:v>
      </x:c>
      <x:c r="C264" s="26" t="str">
        <x:v>EL100V2</x:v>
      </x:c>
      <x:c r="D264" s="43" t="n">
        <x:v>21.72</x:v>
      </x:c>
      <x:c r="E26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264" s="43" t="n">
        <x:v>21.71</x:v>
      </x:c>
      <x:c r="G264" s="43" t="n">
        <x:f>F264-D264</x:f>
        <x:v>-0.00999999999999801</x:v>
      </x:c>
      <x:c r="H264" s="26" t="str">
        <x:v>运输费28.98
−折扣11.30
＋燃油4.46
＝承运净额22.14
账单实收24.354（按既有收费规则）</x:v>
      </x:c>
      <x:c r="I264" s="43" t="n">
        <x:v>22.14</x:v>
      </x:c>
      <x:c r="J264" s="43" t="n">
        <x:v>24.354</x:v>
      </x:c>
      <x:c r="K264" s="43" t="n">
        <x:f>J264-D264</x:f>
        <x:v>2.6340000000000003</x:v>
      </x:c>
      <x:c r="L264" s="26" t="str">
        <x:v>未发现单一共同原因，需核验报价费率、原尺寸及原发票。</x:v>
      </x:c>
      <x:c r="M264" s="26" t="str">
        <x:v>账单已对账；预付试算接近（差≤0.15）</x:v>
      </x:c>
      <x:c r="N264" s="26" t="str">
        <x:v>20260723</x:v>
      </x:c>
      <x:c r="O264" s="26" t="n">
        <x:v>4</x:v>
      </x:c>
      <x:c r="P264" s="31" t="n">
        <x:v>25.000420531765116</x:v>
      </x:c>
      <x:c r="Q264" s="31" t="n">
        <x:v>28.8</x:v>
      </x:c>
      <x:c r="R264" s="26" t="n">
        <x:v>29</x:v>
      </x:c>
      <x:c r="S264" s="26" t="n">
        <x:v>166</x:v>
      </x:c>
      <x:c r="T264" s="43" t="n">
        <x:v>28.98</x:v>
      </x:c>
      <x:c r="U264" s="43" t="n">
        <x:v>-11.3</x:v>
      </x:c>
      <x:c r="V264" s="43" t="n">
        <x:v>0</x:v>
      </x:c>
      <x:c r="W264" s="43" t="n">
        <x:v>4.46</x:v>
      </x:c>
      <x:c r="X264" s="44" t="n">
        <x:v>0.2525</x:v>
      </x:c>
      <x:c r="Y264" s="30" t="b">
        <x:v>0</x:v>
      </x:c>
      <x:c r="Z264" s="26" t="n">
        <x:v>4</x:v>
      </x:c>
      <x:c r="AA264" s="26" t="n">
        <x:v>25</x:v>
      </x:c>
      <x:c r="AB264" s="26" t="n">
        <x:v>538</x:v>
      </x:c>
      <x:c r="AC264" s="43" t="n">
        <x:v>21.71</x:v>
      </x:c>
    </x:row>
    <x:row r="265" ht="135" customHeight="1">
      <x:c r="A265" s="26" t="n">
        <x:v>264</x:v>
      </x:c>
      <x:c r="B265" s="26" t="str">
        <x:v>874591397757</x:v>
      </x:c>
      <x:c r="C265" s="26"/>
      <x:c r="D265" s="43" t="n">
        <x:v>21.72</x:v>
      </x:c>
      <x:c r="E265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265" s="43" t="n">
        <x:v>21.71</x:v>
      </x:c>
      <x:c r="G265" s="43" t="n">
        <x:f>F265-D265</x:f>
        <x:v>-0.00999999999999801</x:v>
      </x:c>
      <x:c r="H265" s="26" t="str">
        <x:v>运输费28.98
−折扣11.30
＋燃油4.46
＝承运净额22.14
账单实收24.354（按既有收费规则）</x:v>
      </x:c>
      <x:c r="I265" s="43" t="n">
        <x:v>22.14</x:v>
      </x:c>
      <x:c r="J265" s="43" t="n">
        <x:v>24.354</x:v>
      </x:c>
      <x:c r="K265" s="43" t="n">
        <x:f>J265-D265</x:f>
        <x:v>2.6340000000000003</x:v>
      </x:c>
      <x:c r="L265" s="26" t="str">
        <x:v>未发现单一共同原因，需核验报价费率、原尺寸及原发票。</x:v>
      </x:c>
      <x:c r="M265" s="26" t="str">
        <x:v>账单已对账；预付试算接近（差≤0.15）</x:v>
      </x:c>
      <x:c r="N265" s="26" t="str">
        <x:v>20260722</x:v>
      </x:c>
      <x:c r="O265" s="26" t="n">
        <x:v>4</x:v>
      </x:c>
      <x:c r="P265" s="31" t="n">
        <x:v>25.000420531765116</x:v>
      </x:c>
      <x:c r="Q265" s="31" t="n">
        <x:v>28.2</x:v>
      </x:c>
      <x:c r="R265" s="26" t="n">
        <x:v>29</x:v>
      </x:c>
      <x:c r="S265" s="26" t="n">
        <x:v>166</x:v>
      </x:c>
      <x:c r="T265" s="43" t="n">
        <x:v>28.98</x:v>
      </x:c>
      <x:c r="U265" s="43" t="n">
        <x:v>-11.3</x:v>
      </x:c>
      <x:c r="V265" s="43" t="n">
        <x:v>0</x:v>
      </x:c>
      <x:c r="W265" s="43" t="n">
        <x:v>4.46</x:v>
      </x:c>
      <x:c r="X265" s="44" t="n">
        <x:v>0.2525</x:v>
      </x:c>
      <x:c r="Y265" s="30" t="b">
        <x:v>0</x:v>
      </x:c>
      <x:c r="Z265" s="26" t="n">
        <x:v>4</x:v>
      </x:c>
      <x:c r="AA265" s="26" t="n">
        <x:v>25</x:v>
      </x:c>
      <x:c r="AB265" s="26" t="n">
        <x:v>524</x:v>
      </x:c>
      <x:c r="AC265" s="43" t="n">
        <x:v>21.71</x:v>
      </x:c>
    </x:row>
    <x:row r="266" ht="135" customHeight="1">
      <x:c r="A266" s="26" t="n">
        <x:v>265</x:v>
      </x:c>
      <x:c r="B266" s="26" t="str">
        <x:v>873123390590</x:v>
      </x:c>
      <x:c r="C266" s="26" t="str">
        <x:v>AC180</x:v>
      </x:c>
      <x:c r="D266" s="43" t="n">
        <x:v>36.73</x:v>
      </x:c>
      <x:c r="E266" s="26" t="str">
        <x:v>反推假设：38lb、Zone5（账单Zone5）。
标准运费43.44×61%≈26.50
＋假设折后附加费0.00
＋燃油(26.50＋0.00)×26.00%≈6.89
＝预估承运成本33.39
按既有收费规则折算→预付36.73；与原预付差+0.00。</x:v>
      </x:c>
      <x:c r="F266" s="43" t="n">
        <x:v>36.73</x:v>
      </x:c>
      <x:c r="G266" s="43" t="n">
        <x:f>F266-D266</x:f>
        <x:v>0</x:v>
      </x:c>
      <x:c r="H266" s="26" t="str">
        <x:v>运输费46.54
−折扣18.15
＋燃油7.38
＝承运净额35.77
账单实收39.347（按既有收费规则）</x:v>
      </x:c>
      <x:c r="I266" s="43" t="n">
        <x:v>35.77</x:v>
      </x:c>
      <x:c r="J266" s="43" t="n">
        <x:v>39.347</x:v>
      </x:c>
      <x:c r="K266" s="43" t="n">
        <x:f>J266-D266</x:f>
        <x:v>2.6170000000000044</x:v>
      </x:c>
      <x:c r="L266" s="26" t="str">
        <x:v>未发现单一共同原因，需核验报价费率、原尺寸及原发票。</x:v>
      </x:c>
      <x:c r="M266" s="26" t="str">
        <x:v>账单已对账；预付试算接近（差≤0.15）</x:v>
      </x:c>
      <x:c r="N266" s="26" t="str">
        <x:v>20260617</x:v>
      </x:c>
      <x:c r="O266" s="26" t="n">
        <x:v>5</x:v>
      </x:c>
      <x:c r="P266" s="31" t="n">
        <x:v>37.98564777445441</x:v>
      </x:c>
      <x:c r="Q266" s="31" t="n">
        <x:v>41.6</x:v>
      </x:c>
      <x:c r="R266" s="26" t="n">
        <x:v>42</x:v>
      </x:c>
      <x:c r="S266" s="26" t="n">
        <x:v>166</x:v>
      </x:c>
      <x:c r="T266" s="43" t="n">
        <x:v>46.54</x:v>
      </x:c>
      <x:c r="U266" s="43" t="n">
        <x:v>-18.15</x:v>
      </x:c>
      <x:c r="V266" s="43" t="n">
        <x:v>0</x:v>
      </x:c>
      <x:c r="W266" s="43" t="n">
        <x:v>7.38</x:v>
      </x:c>
      <x:c r="X266" s="44" t="n">
        <x:v>0.26</x:v>
      </x:c>
      <x:c r="Y266" s="30" t="b">
        <x:v>0</x:v>
      </x:c>
      <x:c r="Z266" s="26" t="n">
        <x:v>5</x:v>
      </x:c>
      <x:c r="AA266" s="26" t="n">
        <x:v>38</x:v>
      </x:c>
      <x:c r="AB266" s="26" t="n">
        <x:v>59</x:v>
      </x:c>
      <x:c r="AC266" s="43" t="n">
        <x:v>36.73</x:v>
      </x:c>
    </x:row>
    <x:row r="267" ht="135" customHeight="1">
      <x:c r="A267" s="26" t="n">
        <x:v>266</x:v>
      </x:c>
      <x:c r="B267" s="26" t="str">
        <x:v>874145467698</x:v>
      </x:c>
      <x:c r="C267" s="26" t="str">
        <x:v>AC180</x:v>
      </x:c>
      <x:c r="D267" s="43" t="n">
        <x:v>36.44</x:v>
      </x:c>
      <x:c r="E267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F267" s="43" t="n">
        <x:v>36.44</x:v>
      </x:c>
      <x:c r="G267" s="43" t="n">
        <x:f>F267-D267</x:f>
        <x:v>0</x:v>
      </x:c>
      <x:c r="H267" s="26" t="str">
        <x:v>运输费46.54
−折扣18.15
＋燃油7.10
＝承运净额35.49
账单实收39.039（按既有收费规则）</x:v>
      </x:c>
      <x:c r="I267" s="43" t="n">
        <x:v>35.49</x:v>
      </x:c>
      <x:c r="J267" s="43" t="n">
        <x:v>39.039</x:v>
      </x:c>
      <x:c r="K267" s="43" t="n">
        <x:f>J267-D267</x:f>
        <x:v>2.5990000000000038</x:v>
      </x:c>
      <x:c r="L267" s="26" t="str">
        <x:v>未发现单一共同原因，需核验报价费率、原尺寸及原发票。</x:v>
      </x:c>
      <x:c r="M267" s="26" t="str">
        <x:v>账单已对账；预付试算接近（差≤0.15）</x:v>
      </x:c>
      <x:c r="N267" s="26" t="str">
        <x:v>20260710</x:v>
      </x:c>
      <x:c r="O267" s="26" t="n">
        <x:v>5</x:v>
      </x:c>
      <x:c r="P267" s="31" t="n">
        <x:v>37.98564777445441</x:v>
      </x:c>
      <x:c r="Q267" s="31" t="n">
        <x:v>41.8</x:v>
      </x:c>
      <x:c r="R267" s="26" t="n">
        <x:v>42</x:v>
      </x:c>
      <x:c r="S267" s="26" t="n">
        <x:v>166</x:v>
      </x:c>
      <x:c r="T267" s="43" t="n">
        <x:v>46.54</x:v>
      </x:c>
      <x:c r="U267" s="43" t="n">
        <x:v>-18.15</x:v>
      </x:c>
      <x:c r="V267" s="43" t="n">
        <x:v>0</x:v>
      </x:c>
      <x:c r="W267" s="43" t="n">
        <x:v>7.1</x:v>
      </x:c>
      <x:c r="X267" s="44" t="n">
        <x:v>0.25</x:v>
      </x:c>
      <x:c r="Y267" s="30" t="b">
        <x:v>0</x:v>
      </x:c>
      <x:c r="Z267" s="26" t="n">
        <x:v>5</x:v>
      </x:c>
      <x:c r="AA267" s="26" t="n">
        <x:v>38</x:v>
      </x:c>
      <x:c r="AB267" s="26" t="n">
        <x:v>360</x:v>
      </x:c>
      <x:c r="AC267" s="43" t="n">
        <x:v>36.44</x:v>
      </x:c>
    </x:row>
    <x:row r="268" ht="135" customHeight="1">
      <x:c r="A268" s="26" t="n">
        <x:v>267</x:v>
      </x:c>
      <x:c r="B268" s="26" t="str">
        <x:v>873964041286</x:v>
      </x:c>
      <x:c r="C268" s="26" t="str">
        <x:v>AC180</x:v>
      </x:c>
      <x:c r="D268" s="43" t="n">
        <x:v>36.44</x:v>
      </x:c>
      <x:c r="E268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F268" s="43" t="n">
        <x:v>36.44</x:v>
      </x:c>
      <x:c r="G268" s="43" t="n">
        <x:f>F268-D268</x:f>
        <x:v>0</x:v>
      </x:c>
      <x:c r="H268" s="26" t="str">
        <x:v>运输费46.54
−折扣18.15
＋燃油7.10
＝承运净额35.49
账单实收39.039（按既有收费规则）</x:v>
      </x:c>
      <x:c r="I268" s="43" t="n">
        <x:v>35.49</x:v>
      </x:c>
      <x:c r="J268" s="43" t="n">
        <x:v>39.039</x:v>
      </x:c>
      <x:c r="K268" s="43" t="n">
        <x:f>J268-D268</x:f>
        <x:v>2.5990000000000038</x:v>
      </x:c>
      <x:c r="L268" s="26" t="str">
        <x:v>未发现单一共同原因，需核验报价费率、原尺寸及原发票。</x:v>
      </x:c>
      <x:c r="M268" s="26" t="str">
        <x:v>账单已对账；预付试算接近（差≤0.15）</x:v>
      </x:c>
      <x:c r="N268" s="26" t="str">
        <x:v>20260706</x:v>
      </x:c>
      <x:c r="O268" s="26" t="n">
        <x:v>5</x:v>
      </x:c>
      <x:c r="P268" s="31" t="n">
        <x:v>37.98564777445441</x:v>
      </x:c>
      <x:c r="Q268" s="31" t="n">
        <x:v>41.5</x:v>
      </x:c>
      <x:c r="R268" s="26" t="n">
        <x:v>42</x:v>
      </x:c>
      <x:c r="S268" s="26" t="n">
        <x:v>166</x:v>
      </x:c>
      <x:c r="T268" s="43" t="n">
        <x:v>46.54</x:v>
      </x:c>
      <x:c r="U268" s="43" t="n">
        <x:v>-18.15</x:v>
      </x:c>
      <x:c r="V268" s="43" t="n">
        <x:v>0</x:v>
      </x:c>
      <x:c r="W268" s="43" t="n">
        <x:v>7.1</x:v>
      </x:c>
      <x:c r="X268" s="44" t="n">
        <x:v>0.25</x:v>
      </x:c>
      <x:c r="Y268" s="30" t="b">
        <x:v>0</x:v>
      </x:c>
      <x:c r="Z268" s="26" t="n">
        <x:v>5</x:v>
      </x:c>
      <x:c r="AA268" s="26" t="n">
        <x:v>38</x:v>
      </x:c>
      <x:c r="AB268" s="26" t="n">
        <x:v>272</x:v>
      </x:c>
      <x:c r="AC268" s="43" t="n">
        <x:v>36.44</x:v>
      </x:c>
    </x:row>
    <x:row r="269" ht="135" customHeight="1">
      <x:c r="A269" s="26" t="n">
        <x:v>268</x:v>
      </x:c>
      <x:c r="B269" s="26" t="str">
        <x:v>873913263995</x:v>
      </x:c>
      <x:c r="C269" s="26" t="str">
        <x:v>EL100V2</x:v>
      </x:c>
      <x:c r="D269" s="43" t="n">
        <x:v>21.72</x:v>
      </x:c>
      <x:c r="E269" s="26" t="str">
        <x:v>反推假设：25lb、Zone4（账单Zone4）。
标准运费25.83×61%≈15.76
＋假设折后附加费0.00
＋燃油(15.76＋0.00)×25.00%≈3.94
＝预估承运成本19.70
按既有收费规则折算→预付21.67；与原预付差-0.05。</x:v>
      </x:c>
      <x:c r="F269" s="43" t="n">
        <x:v>21.67</x:v>
      </x:c>
      <x:c r="G269" s="43" t="n">
        <x:f>F269-D269</x:f>
        <x:v>-0.04999999999999716</x:v>
      </x:c>
      <x:c r="H269" s="26" t="str">
        <x:v>运输费28.98
−折扣11.30
＋燃油4.42
＝承运净额22.10
账单实收24.310（按既有收费规则）</x:v>
      </x:c>
      <x:c r="I269" s="43" t="n">
        <x:v>22.1</x:v>
      </x:c>
      <x:c r="J269" s="43" t="n">
        <x:v>24.31</x:v>
      </x:c>
      <x:c r="K269" s="43" t="n">
        <x:f>J269-D269</x:f>
        <x:v>2.59</x:v>
      </x:c>
      <x:c r="L269" s="26" t="str">
        <x:v>未发现单一共同原因，需核验报价费率、原尺寸及原发票。</x:v>
      </x:c>
      <x:c r="M269" s="26" t="str">
        <x:v>账单已对账；预付试算接近（差≤0.15）</x:v>
      </x:c>
      <x:c r="N269" s="26" t="str">
        <x:v>20260714</x:v>
      </x:c>
      <x:c r="O269" s="26" t="n">
        <x:v>4</x:v>
      </x:c>
      <x:c r="P269" s="31" t="n">
        <x:v>25.000420531765116</x:v>
      </x:c>
      <x:c r="Q269" s="31" t="n">
        <x:v>28.5</x:v>
      </x:c>
      <x:c r="R269" s="26" t="n">
        <x:v>29</x:v>
      </x:c>
      <x:c r="S269" s="26" t="n">
        <x:v>166</x:v>
      </x:c>
      <x:c r="T269" s="43" t="n">
        <x:v>28.98</x:v>
      </x:c>
      <x:c r="U269" s="43" t="n">
        <x:v>-11.3</x:v>
      </x:c>
      <x:c r="V269" s="43" t="n">
        <x:v>0</x:v>
      </x:c>
      <x:c r="W269" s="43" t="n">
        <x:v>4.42</x:v>
      </x:c>
      <x:c r="X269" s="44" t="n">
        <x:v>0.25</x:v>
      </x:c>
      <x:c r="Y269" s="30" t="b">
        <x:v>0</x:v>
      </x:c>
      <x:c r="Z269" s="26" t="n">
        <x:v>4</x:v>
      </x:c>
      <x:c r="AA269" s="26" t="n">
        <x:v>25</x:v>
      </x:c>
      <x:c r="AB269" s="26" t="n">
        <x:v>398</x:v>
      </x:c>
      <x:c r="AC269" s="43" t="n">
        <x:v>21.67</x:v>
      </x:c>
    </x:row>
    <x:row r="270" ht="135" customHeight="1">
      <x:c r="A270" s="26" t="n">
        <x:v>269</x:v>
      </x:c>
      <x:c r="B270" s="26" t="str">
        <x:v>873246589963</x:v>
      </x:c>
      <x:c r="C270" s="26" t="str">
        <x:v>RV5</x:v>
      </x:c>
      <x:c r="D270" s="43" t="n">
        <x:v>29.14</x:v>
      </x:c>
      <x:c r="E270" s="26" t="str">
        <x:v>反推假设：36lb、Zone4（账单Zone4）。
标准运费34.46×61%≈21.02
＋假设折后附加费0.00
＋燃油(21.02＋0.00)×26.00%≈5.47
＝预估承运成本26.49
按既有收费规则折算→预付29.14；与原预付差+0.00。</x:v>
      </x:c>
      <x:c r="F270" s="43" t="n">
        <x:v>29.14</x:v>
      </x:c>
      <x:c r="G270" s="43" t="n">
        <x:f>F270-D270</x:f>
        <x:v>0</x:v>
      </x:c>
      <x:c r="H270" s="26" t="str">
        <x:v>运输费37.47
−折扣14.61
＋燃油5.94
＝承运净额28.80
账单实收31.680（按既有收费规则）</x:v>
      </x:c>
      <x:c r="I270" s="43" t="n">
        <x:v>28.8</x:v>
      </x:c>
      <x:c r="J270" s="43" t="n">
        <x:v>31.68</x:v>
      </x:c>
      <x:c r="K270" s="43" t="n">
        <x:f>J270-D270</x:f>
        <x:v>2.539999999999999</x:v>
      </x:c>
      <x:c r="L270" s="26" t="str">
        <x:v>未发现单一共同原因，需核验报价费率、原尺寸及原发票。</x:v>
      </x:c>
      <x:c r="M270" s="26" t="str">
        <x:v>账单已对账；预付试算接近（差≤0.15）</x:v>
      </x:c>
      <x:c r="N270" s="26" t="str">
        <x:v>20260619</x:v>
      </x:c>
      <x:c r="O270" s="26" t="n">
        <x:v>4</x:v>
      </x:c>
      <x:c r="P270" s="31" t="n">
        <x:v>35.27396194958041</x:v>
      </x:c>
      <x:c r="Q270" s="31" t="n">
        <x:v>38.3</x:v>
      </x:c>
      <x:c r="R270" s="26" t="n">
        <x:v>39</x:v>
      </x:c>
      <x:c r="S270" s="26" t="n">
        <x:v>166</x:v>
      </x:c>
      <x:c r="T270" s="43" t="n">
        <x:v>37.47</x:v>
      </x:c>
      <x:c r="U270" s="43" t="n">
        <x:v>-14.61</x:v>
      </x:c>
      <x:c r="V270" s="43" t="n">
        <x:v>0</x:v>
      </x:c>
      <x:c r="W270" s="43" t="n">
        <x:v>5.94</x:v>
      </x:c>
      <x:c r="X270" s="44" t="n">
        <x:v>0.26</x:v>
      </x:c>
      <x:c r="Y270" s="30" t="b">
        <x:v>0</x:v>
      </x:c>
      <x:c r="Z270" s="26" t="n">
        <x:v>4</x:v>
      </x:c>
      <x:c r="AA270" s="26" t="n">
        <x:v>36</x:v>
      </x:c>
      <x:c r="AB270" s="26" t="n">
        <x:v>87</x:v>
      </x:c>
      <x:c r="AC270" s="43" t="n">
        <x:v>29.14</x:v>
      </x:c>
    </x:row>
    <x:row r="271" ht="135" customHeight="1">
      <x:c r="A271" s="26" t="n">
        <x:v>270</x:v>
      </x:c>
      <x:c r="B271" s="26" t="str">
        <x:v>873543235287</x:v>
      </x:c>
      <x:c r="C271" s="26" t="str">
        <x:v>AC180</x:v>
      </x:c>
      <x:c r="D271" s="43" t="n">
        <x:v>29.02</x:v>
      </x:c>
      <x:c r="E271" s="26" t="str">
        <x:v>反推假设：36lb、Zone4（账单Zone4）。
标准运费34.46×61%≈21.02
＋假设折后附加费0.00
＋燃油(21.02＋0.00)×25.50%≈5.36
＝预估承运成本26.38
按既有收费规则折算→预付29.02；与原预付差+0.00。</x:v>
      </x:c>
      <x:c r="F271" s="43" t="n">
        <x:v>29.02</x:v>
      </x:c>
      <x:c r="G271" s="43" t="n">
        <x:f>F271-D271</x:f>
        <x:v>0</x:v>
      </x:c>
      <x:c r="H271" s="26" t="str">
        <x:v>运输费37.48
−折扣14.62
＋燃油5.83
＝承运净额28.69
账单实收31.559（按既有收费规则）</x:v>
      </x:c>
      <x:c r="I271" s="43" t="n">
        <x:v>28.69</x:v>
      </x:c>
      <x:c r="J271" s="43" t="n">
        <x:v>31.559</x:v>
      </x:c>
      <x:c r="K271" s="43" t="n">
        <x:f>J271-D271</x:f>
        <x:v>2.5390000000000015</x:v>
      </x:c>
      <x:c r="L271" s="26" t="str">
        <x:v>未发现单一共同原因，需核验报价费率、原尺寸及原发票。</x:v>
      </x:c>
      <x:c r="M271" s="26" t="str">
        <x:v>账单已对账；预付试算接近（差≤0.15）</x:v>
      </x:c>
      <x:c r="N271" s="26" t="str">
        <x:v>20260626</x:v>
      </x:c>
      <x:c r="O271" s="26" t="n">
        <x:v>4</x:v>
      </x:c>
      <x:c r="P271" s="31" t="n">
        <x:v>35.27396194958041</x:v>
      </x:c>
      <x:c r="Q271" s="31" t="n">
        <x:v>39.2</x:v>
      </x:c>
      <x:c r="R271" s="26" t="n">
        <x:v>40</x:v>
      </x:c>
      <x:c r="S271" s="26" t="n">
        <x:v>166</x:v>
      </x:c>
      <x:c r="T271" s="43" t="n">
        <x:v>37.48</x:v>
      </x:c>
      <x:c r="U271" s="43" t="n">
        <x:v>-14.62</x:v>
      </x:c>
      <x:c r="V271" s="43" t="n">
        <x:v>0</x:v>
      </x:c>
      <x:c r="W271" s="43" t="n">
        <x:v>5.83</x:v>
      </x:c>
      <x:c r="X271" s="44" t="n">
        <x:v>0.255</x:v>
      </x:c>
      <x:c r="Y271" s="30" t="b">
        <x:v>0</x:v>
      </x:c>
      <x:c r="Z271" s="26" t="n">
        <x:v>4</x:v>
      </x:c>
      <x:c r="AA271" s="26" t="n">
        <x:v>36</x:v>
      </x:c>
      <x:c r="AB271" s="26" t="n">
        <x:v>161</x:v>
      </x:c>
      <x:c r="AC271" s="43" t="n">
        <x:v>29.02</x:v>
      </x:c>
    </x:row>
    <x:row r="272" ht="135" customHeight="1">
      <x:c r="A272" s="26" t="n">
        <x:v>271</x:v>
      </x:c>
      <x:c r="B272" s="26" t="str">
        <x:v>873417139073</x:v>
      </x:c>
      <x:c r="C272" s="26" t="str">
        <x:v>AC180</x:v>
      </x:c>
      <x:c r="D272" s="43" t="n">
        <x:v>29.02</x:v>
      </x:c>
      <x:c r="E272" s="26" t="str">
        <x:v>反推假设：36lb、Zone4（账单Zone4）。
标准运费34.46×61%≈21.02
＋假设折后附加费0.00
＋燃油(21.02＋0.00)×25.50%≈5.36
＝预估承运成本26.38
按既有收费规则折算→预付29.02；与原预付差+0.00。</x:v>
      </x:c>
      <x:c r="F272" s="43" t="n">
        <x:v>29.02</x:v>
      </x:c>
      <x:c r="G272" s="43" t="n">
        <x:f>F272-D272</x:f>
        <x:v>0</x:v>
      </x:c>
      <x:c r="H272" s="26" t="str">
        <x:v>运输费37.47
−折扣14.61
＋燃油5.83
＝承运净额28.69
账单实收31.559（按既有收费规则）</x:v>
      </x:c>
      <x:c r="I272" s="43" t="n">
        <x:v>28.69</x:v>
      </x:c>
      <x:c r="J272" s="43" t="n">
        <x:v>31.559</x:v>
      </x:c>
      <x:c r="K272" s="43" t="n">
        <x:f>J272-D272</x:f>
        <x:v>2.5390000000000015</x:v>
      </x:c>
      <x:c r="L272" s="26" t="str">
        <x:v>未发现单一共同原因，需核验报价费率、原尺寸及原发票。</x:v>
      </x:c>
      <x:c r="M272" s="26" t="str">
        <x:v>账单已对账；预付试算接近（差≤0.15）</x:v>
      </x:c>
      <x:c r="N272" s="26" t="str">
        <x:v>20260626</x:v>
      </x:c>
      <x:c r="O272" s="26" t="n">
        <x:v>4</x:v>
      </x:c>
      <x:c r="P272" s="31" t="n">
        <x:v>35.27396194958041</x:v>
      </x:c>
      <x:c r="Q272" s="31" t="n">
        <x:v>38.5</x:v>
      </x:c>
      <x:c r="R272" s="26" t="n">
        <x:v>39</x:v>
      </x:c>
      <x:c r="S272" s="26" t="n">
        <x:v>166</x:v>
      </x:c>
      <x:c r="T272" s="43" t="n">
        <x:v>37.47</x:v>
      </x:c>
      <x:c r="U272" s="43" t="n">
        <x:v>-14.61</x:v>
      </x:c>
      <x:c r="V272" s="43" t="n">
        <x:v>0</x:v>
      </x:c>
      <x:c r="W272" s="43" t="n">
        <x:v>5.83</x:v>
      </x:c>
      <x:c r="X272" s="44" t="n">
        <x:v>0.255</x:v>
      </x:c>
      <x:c r="Y272" s="30" t="b">
        <x:v>0</x:v>
      </x:c>
      <x:c r="Z272" s="26" t="n">
        <x:v>4</x:v>
      </x:c>
      <x:c r="AA272" s="26" t="n">
        <x:v>36</x:v>
      </x:c>
      <x:c r="AB272" s="26" t="n">
        <x:v>149</x:v>
      </x:c>
      <x:c r="AC272" s="43" t="n">
        <x:v>29.02</x:v>
      </x:c>
    </x:row>
    <x:row r="273" ht="135" customHeight="1">
      <x:c r="A273" s="26" t="n">
        <x:v>272</x:v>
      </x:c>
      <x:c r="B273" s="26" t="str">
        <x:v>873551801515</x:v>
      </x:c>
      <x:c r="C273" s="26" t="str">
        <x:v>AC70</x:v>
      </x:c>
      <x:c r="D273" s="43" t="n">
        <x:v>16.62</x:v>
      </x:c>
      <x:c r="E273" s="26" t="str">
        <x:v>反推假设：16lb、Zone3（账单Zone2）。
标准运费19.91×61%≈12.15
＋假设折后附加费0.00
＋燃油(12.15＋0.00)×25.50%≈3.10
＝预估承运成本15.25
按既有收费规则折算→预付16.78；与原预付差+0.16。</x:v>
      </x:c>
      <x:c r="F273" s="43" t="n">
        <x:v>16.78</x:v>
      </x:c>
      <x:c r="G273" s="43" t="n">
        <x:f>F273-D273</x:f>
        <x:v>0.16000000000000014</x:v>
      </x:c>
      <x:c r="H273" s="26" t="str">
        <x:v>运输费22.74
−折扣8.87
＋燃油3.54
＝承运净额17.41
账单实收19.151（按既有收费规则）</x:v>
      </x:c>
      <x:c r="I273" s="43" t="n">
        <x:v>17.41</x:v>
      </x:c>
      <x:c r="J273" s="43" t="n">
        <x:v>19.151</x:v>
      </x:c>
      <x:c r="K273" s="43" t="n">
        <x:f>J273-D273</x:f>
        <x:v>2.530999999999999</x:v>
      </x:c>
      <x:c r="L273" s="26" t="str">
        <x:v>实际比预估重11.22lb，需核对称重与申报。
预付反推Zone3，最终Zone2；不代表分区错误，需查原邮编与合同。
试算偏差较大：缺原始报价/折扣/尺寸，不能强行归因。</x:v>
      </x:c>
      <x:c r="M273" s="26" t="str">
        <x:v>账单已对账；现有假设未还原预付</x:v>
      </x:c>
      <x:c r="N273" s="26" t="str">
        <x:v>20260626</x:v>
      </x:c>
      <x:c r="O273" s="26" t="n">
        <x:v>2</x:v>
      </x:c>
      <x:c r="P273" s="31" t="n">
        <x:v>15.983514008403624</x:v>
      </x:c>
      <x:c r="Q273" s="31" t="n">
        <x:v>27.2</x:v>
      </x:c>
      <x:c r="R273" s="26" t="n">
        <x:v>28</x:v>
      </x:c>
      <x:c r="S273" s="26" t="n">
        <x:v>166</x:v>
      </x:c>
      <x:c r="T273" s="43" t="n">
        <x:v>22.74</x:v>
      </x:c>
      <x:c r="U273" s="43" t="n">
        <x:v>-8.87</x:v>
      </x:c>
      <x:c r="V273" s="43" t="n">
        <x:v>0</x:v>
      </x:c>
      <x:c r="W273" s="43" t="n">
        <x:v>3.54</x:v>
      </x:c>
      <x:c r="X273" s="44" t="n">
        <x:v>0.255</x:v>
      </x:c>
      <x:c r="Y273" s="30" t="b">
        <x:v>0</x:v>
      </x:c>
      <x:c r="Z273" s="26" t="n">
        <x:v>3</x:v>
      </x:c>
      <x:c r="AA273" s="26" t="n">
        <x:v>16</x:v>
      </x:c>
      <x:c r="AB273" s="26" t="n">
        <x:v>164</x:v>
      </x:c>
      <x:c r="AC273" s="43" t="n">
        <x:v>15.49</x:v>
      </x:c>
    </x:row>
    <x:row r="274" ht="135" customHeight="1">
      <x:c r="A274" s="26" t="n">
        <x:v>273</x:v>
      </x:c>
      <x:c r="B274" s="26" t="str">
        <x:v>873866458032</x:v>
      </x:c>
      <x:c r="C274" s="26" t="str">
        <x:v>AC180</x:v>
      </x:c>
      <x:c r="D274" s="43" t="n">
        <x:v>36.51</x:v>
      </x:c>
      <x:c r="E274" s="26" t="str">
        <x:v>反推假设：38lb、Zone5（账单Zone5）。
标准运费43.44×61%≈26.50
＋假设折后附加费0.00
＋燃油(26.50＋0.00)×25.00%≈6.63
＝预估承运成本33.13
按既有收费规则折算→预付36.44；与原预付差-0.07。</x:v>
      </x:c>
      <x:c r="F274" s="43" t="n">
        <x:v>36.44</x:v>
      </x:c>
      <x:c r="G274" s="43" t="n">
        <x:f>F274-D274</x:f>
        <x:v>-0.07000000000000028</x:v>
      </x:c>
      <x:c r="H274" s="26" t="str">
        <x:v>运输费46.54
−折扣18.15
＋燃油7.10
＝承运净额35.49
账单实收39.039（按既有收费规则）</x:v>
      </x:c>
      <x:c r="I274" s="43" t="n">
        <x:v>35.49</x:v>
      </x:c>
      <x:c r="J274" s="43" t="n">
        <x:v>39.039</x:v>
      </x:c>
      <x:c r="K274" s="43" t="n">
        <x:f>J274-D274</x:f>
        <x:v>2.5290000000000035</x:v>
      </x:c>
      <x:c r="L274" s="26" t="str">
        <x:v>未发现单一共同原因，需核验报价费率、原尺寸及原发票。</x:v>
      </x:c>
      <x:c r="M274" s="26" t="str">
        <x:v>账单已对账；预付试算接近（差≤0.15）</x:v>
      </x:c>
      <x:c r="N274" s="26" t="str">
        <x:v>20260708</x:v>
      </x:c>
      <x:c r="O274" s="26" t="n">
        <x:v>5</x:v>
      </x:c>
      <x:c r="P274" s="31" t="n">
        <x:v>37.98564777445441</x:v>
      </x:c>
      <x:c r="Q274" s="31" t="n">
        <x:v>41.9</x:v>
      </x:c>
      <x:c r="R274" s="26" t="n">
        <x:v>42</x:v>
      </x:c>
      <x:c r="S274" s="26" t="n">
        <x:v>166</x:v>
      </x:c>
      <x:c r="T274" s="43" t="n">
        <x:v>46.54</x:v>
      </x:c>
      <x:c r="U274" s="43" t="n">
        <x:v>-18.15</x:v>
      </x:c>
      <x:c r="V274" s="43" t="n">
        <x:v>0</x:v>
      </x:c>
      <x:c r="W274" s="43" t="n">
        <x:v>7.1</x:v>
      </x:c>
      <x:c r="X274" s="44" t="n">
        <x:v>0.25</x:v>
      </x:c>
      <x:c r="Y274" s="30" t="b">
        <x:v>0</x:v>
      </x:c>
      <x:c r="Z274" s="26" t="n">
        <x:v>5</x:v>
      </x:c>
      <x:c r="AA274" s="26" t="n">
        <x:v>38</x:v>
      </x:c>
      <x:c r="AB274" s="26" t="n">
        <x:v>289</x:v>
      </x:c>
      <x:c r="AC274" s="43" t="n">
        <x:v>36.44</x:v>
      </x:c>
    </x:row>
    <x:row r="275" ht="135" customHeight="1">
      <x:c r="A275" s="26" t="n">
        <x:v>274</x:v>
      </x:c>
      <x:c r="B275" s="26" t="str">
        <x:v>873686666786</x:v>
      </x:c>
      <x:c r="C275" s="26" t="str">
        <x:v>EL30V2</x:v>
      </x:c>
      <x:c r="D275" s="43" t="n">
        <x:v>21.27</x:v>
      </x:c>
      <x:c r="E275" s="26" t="str">
        <x:v>反推假设：13lb、Zone6（账单Zone6）。
标准运费23.76×61%≈14.49
＋假设折后附加费0.00
＋燃油(14.49＋0.00)×25.25%≈3.66
＝预估承运成本18.15
按既有收费规则折算→预付19.97；与原预付差-1.30。</x:v>
      </x:c>
      <x:c r="F275" s="43" t="n">
        <x:v>19.97</x:v>
      </x:c>
      <x:c r="G275" s="43" t="n">
        <x:f>F275-D275</x:f>
        <x:v>-1.3000000000000007</x:v>
      </x:c>
      <x:c r="H275" s="26" t="str">
        <x:v>运输费26.54
−折扣9.29
＋燃油4.36
＝承运净额21.61
账单实收23.771（按既有收费规则）</x:v>
      </x:c>
      <x:c r="I275" s="43" t="n">
        <x:v>21.61</x:v>
      </x:c>
      <x:c r="J275" s="43" t="n">
        <x:v>23.771</x:v>
      </x:c>
      <x:c r="K275" s="43" t="n">
        <x:f>J275-D275</x:f>
        <x:v>2.5010000000000012</x:v>
      </x:c>
      <x:c r="L275" s="26" t="str">
        <x:v>实际重量不高于预估，不能用增重解释差额。
试算偏差较大：缺原始报价/折扣/尺寸，不能强行归因。</x:v>
      </x:c>
      <x:c r="M275" s="26" t="str">
        <x:v>账单已对账；现有假设未还原预付</x:v>
      </x:c>
      <x:c r="N275" s="26" t="str">
        <x:v>20260721</x:v>
      </x:c>
      <x:c r="O275" s="26" t="n">
        <x:v>6</x:v>
      </x:c>
      <x:c r="P275" s="31" t="n">
        <x:v>12.985227242689287</x:v>
      </x:c>
      <x:c r="Q275" s="31" t="n">
        <x:v>12.6</x:v>
      </x:c>
      <x:c r="R275" s="26" t="n">
        <x:v>15</x:v>
      </x:c>
      <x:c r="S275" s="26" t="n">
        <x:v>166</x:v>
      </x:c>
      <x:c r="T275" s="43" t="n">
        <x:v>26.54</x:v>
      </x:c>
      <x:c r="U275" s="43" t="n">
        <x:v>-9.29</x:v>
      </x:c>
      <x:c r="V275" s="43" t="n">
        <x:v>0</x:v>
      </x:c>
      <x:c r="W275" s="43" t="n">
        <x:v>4.36</x:v>
      </x:c>
      <x:c r="X275" s="44" t="n">
        <x:v>0.2525</x:v>
      </x:c>
      <x:c r="Y275" s="30" t="b">
        <x:v>0</x:v>
      </x:c>
      <x:c r="Z275" s="26" t="n">
        <x:v>6</x:v>
      </x:c>
      <x:c r="AA275" s="26" t="n">
        <x:v>13</x:v>
      </x:c>
      <x:c r="AB275" s="26" t="n">
        <x:v>479</x:v>
      </x:c>
      <x:c r="AC275" s="43" t="n">
        <x:v>19.97</x:v>
      </x:c>
    </x:row>
    <x:row r="276" ht="135" customHeight="1">
      <x:c r="A276" s="26" t="n">
        <x:v>275</x:v>
      </x:c>
      <x:c r="B276" s="26" t="str">
        <x:v>873225513272</x:v>
      </x:c>
      <x:c r="C276" s="26" t="str">
        <x:v>AC180</x:v>
      </x:c>
      <x:c r="D276" s="43" t="n">
        <x:v>35.08</x:v>
      </x:c>
      <x:c r="E276" s="26" t="str">
        <x:v>反推假设：35lb、Zone5（账单Zone5）。
标准运费40.50×61%≈24.71
＋假设折后附加费0.00
＋燃油(24.71＋0.00)×25.00%≈6.18
＝预估承运成本30.89
按既有收费规则折算→预付33.98；与原预付差-1.10。</x:v>
      </x:c>
      <x:c r="F276" s="43" t="n">
        <x:v>33.98</x:v>
      </x:c>
      <x:c r="G276" s="43" t="n">
        <x:f>F276-D276</x:f>
        <x:v>-1.1000000000000014</x:v>
      </x:c>
      <x:c r="H276" s="26" t="str">
        <x:v>运输费44.78
−折扣17.46
＋燃油6.83
＝承运净额34.15
账单实收37.565（按既有收费规则）</x:v>
      </x:c>
      <x:c r="I276" s="43" t="n">
        <x:v>34.15</x:v>
      </x:c>
      <x:c r="J276" s="43" t="n">
        <x:v>37.565</x:v>
      </x:c>
      <x:c r="K276" s="43" t="n">
        <x:f>J276-D276</x:f>
        <x:v>2.4849999999999994</x:v>
      </x:c>
      <x:c r="L276" s="26" t="str">
        <x:v>试算偏差较大：缺原始报价/折扣/尺寸，不能强行归因。</x:v>
      </x:c>
      <x:c r="M276" s="26" t="str">
        <x:v>账单已对账；现有假设未还原预付</x:v>
      </x:c>
      <x:c r="N276" s="26" t="str">
        <x:v>20260709</x:v>
      </x:c>
      <x:c r="O276" s="26" t="n">
        <x:v>5</x:v>
      </x:c>
      <x:c r="P276" s="31" t="n">
        <x:v>34.987361008740066</x:v>
      </x:c>
      <x:c r="Q276" s="31" t="n">
        <x:v>38.3</x:v>
      </x:c>
      <x:c r="R276" s="26" t="n">
        <x:v>39</x:v>
      </x:c>
      <x:c r="S276" s="26" t="n">
        <x:v>166</x:v>
      </x:c>
      <x:c r="T276" s="43" t="n">
        <x:v>44.78</x:v>
      </x:c>
      <x:c r="U276" s="43" t="n">
        <x:v>-17.46</x:v>
      </x:c>
      <x:c r="V276" s="43" t="n">
        <x:v>0</x:v>
      </x:c>
      <x:c r="W276" s="43" t="n">
        <x:v>6.83</x:v>
      </x:c>
      <x:c r="X276" s="44" t="n">
        <x:v>0.25</x:v>
      </x:c>
      <x:c r="Y276" s="30" t="b">
        <x:v>0</x:v>
      </x:c>
      <x:c r="Z276" s="26" t="n">
        <x:v>5</x:v>
      </x:c>
      <x:c r="AA276" s="26" t="n">
        <x:v>35</x:v>
      </x:c>
      <x:c r="AB276" s="26" t="n">
        <x:v>312</x:v>
      </x:c>
      <x:c r="AC276" s="43" t="n">
        <x:v>33.98</x:v>
      </x:c>
    </x:row>
    <x:row r="277" ht="135" customHeight="1">
      <x:c r="A277" s="26" t="n">
        <x:v>276</x:v>
      </x:c>
      <x:c r="B277" s="26" t="str">
        <x:v>874595862247</x:v>
      </x:c>
      <x:c r="C277" s="26" t="str">
        <x:v>AC180</x:v>
      </x:c>
      <x:c r="D277" s="43" t="n">
        <x:v>36.51</x:v>
      </x:c>
      <x:c r="E277" s="26" t="str">
        <x:v>反推假设：38lb、Zone5（账单Zone5）。
标准运费43.44×61%≈26.50
＋假设折后附加费0.00
＋燃油(26.50＋0.00)×25.25%≈6.69
＝预估承运成本33.19
按既有收费规则折算→预付36.51；与原预付差+0.00。</x:v>
      </x:c>
      <x:c r="F277" s="43" t="n">
        <x:v>36.51</x:v>
      </x:c>
      <x:c r="G277" s="43" t="n">
        <x:f>F277-D277</x:f>
        <x:v>0</x:v>
      </x:c>
      <x:c r="H277" s="26" t="str">
        <x:v>运输费46.39
−折扣18.09
＋燃油7.15
＝承运净额35.45
账单实收38.995（按既有收费规则）</x:v>
      </x:c>
      <x:c r="I277" s="43" t="n">
        <x:v>35.45</x:v>
      </x:c>
      <x:c r="J277" s="43" t="n">
        <x:v>38.995</x:v>
      </x:c>
      <x:c r="K277" s="43" t="n">
        <x:f>J277-D277</x:f>
        <x:v>2.4849999999999994</x:v>
      </x:c>
      <x:c r="L277" s="26" t="str">
        <x:v>未发现单一共同原因，需核验报价费率、原尺寸及原发票。</x:v>
      </x:c>
      <x:c r="M277" s="26" t="str">
        <x:v>账单已对账；预付试算接近（差≤0.15）</x:v>
      </x:c>
      <x:c r="N277" s="26" t="str">
        <x:v>20260724</x:v>
      </x:c>
      <x:c r="O277" s="26" t="n">
        <x:v>5</x:v>
      </x:c>
      <x:c r="P277" s="31" t="n">
        <x:v>37.98564777445441</x:v>
      </x:c>
      <x:c r="Q277" s="31" t="n">
        <x:v>40.9</x:v>
      </x:c>
      <x:c r="R277" s="26" t="n">
        <x:v>41</x:v>
      </x:c>
      <x:c r="S277" s="26" t="n">
        <x:v>166</x:v>
      </x:c>
      <x:c r="T277" s="43" t="n">
        <x:v>46.39</x:v>
      </x:c>
      <x:c r="U277" s="43" t="n">
        <x:v>-18.09</x:v>
      </x:c>
      <x:c r="V277" s="43" t="n">
        <x:v>0</x:v>
      </x:c>
      <x:c r="W277" s="43" t="n">
        <x:v>7.15</x:v>
      </x:c>
      <x:c r="X277" s="44" t="n">
        <x:v>0.2525</x:v>
      </x:c>
      <x:c r="Y277" s="30" t="b">
        <x:v>0</x:v>
      </x:c>
      <x:c r="Z277" s="26" t="n">
        <x:v>5</x:v>
      </x:c>
      <x:c r="AA277" s="26" t="n">
        <x:v>38</x:v>
      </x:c>
      <x:c r="AB277" s="26" t="n">
        <x:v>553</x:v>
      </x:c>
      <x:c r="AC277" s="43" t="n">
        <x:v>36.51</x:v>
      </x:c>
    </x:row>
    <x:row r="278" ht="135" customHeight="1">
      <x:c r="A278" s="26" t="n">
        <x:v>277</x:v>
      </x:c>
      <x:c r="B278" s="26" t="str">
        <x:v>874094969130</x:v>
      </x:c>
      <x:c r="C278" s="26" t="str">
        <x:v>AC180P</x:v>
      </x:c>
      <x:c r="D278" s="43" t="n">
        <x:v>36.44</x:v>
      </x:c>
      <x:c r="E278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F278" s="43" t="n">
        <x:v>36.44</x:v>
      </x:c>
      <x:c r="G278" s="43" t="n">
        <x:f>F278-D278</x:f>
        <x:v>0</x:v>
      </x:c>
      <x:c r="H278" s="26" t="str">
        <x:v>运输费46.39
−折扣18.09
＋燃油7.08
＝承运净额35.38
账单实收38.918（按既有收费规则）</x:v>
      </x:c>
      <x:c r="I278" s="43" t="n">
        <x:v>35.38</x:v>
      </x:c>
      <x:c r="J278" s="43" t="n">
        <x:v>38.918</x:v>
      </x:c>
      <x:c r="K278" s="43" t="n">
        <x:f>J278-D278</x:f>
        <x:v>2.4780000000000015</x:v>
      </x:c>
      <x:c r="L278" s="26" t="str">
        <x:v>未发现单一共同原因，需核验报价费率、原尺寸及原发票。</x:v>
      </x:c>
      <x:c r="M278" s="26" t="str">
        <x:v>账单已对账；预付试算接近（差≤0.15）</x:v>
      </x:c>
      <x:c r="N278" s="26" t="str">
        <x:v>20260708</x:v>
      </x:c>
      <x:c r="O278" s="26" t="n">
        <x:v>5</x:v>
      </x:c>
      <x:c r="P278" s="31" t="n">
        <x:v>37.98564777445441</x:v>
      </x:c>
      <x:c r="Q278" s="31" t="n">
        <x:v>40.7</x:v>
      </x:c>
      <x:c r="R278" s="26" t="n">
        <x:v>41</x:v>
      </x:c>
      <x:c r="S278" s="26" t="n">
        <x:v>166</x:v>
      </x:c>
      <x:c r="T278" s="43" t="n">
        <x:v>46.39</x:v>
      </x:c>
      <x:c r="U278" s="43" t="n">
        <x:v>-18.09</x:v>
      </x:c>
      <x:c r="V278" s="43" t="n">
        <x:v>0</x:v>
      </x:c>
      <x:c r="W278" s="43" t="n">
        <x:v>7.08</x:v>
      </x:c>
      <x:c r="X278" s="44" t="n">
        <x:v>0.25</x:v>
      </x:c>
      <x:c r="Y278" s="30" t="b">
        <x:v>0</x:v>
      </x:c>
      <x:c r="Z278" s="26" t="n">
        <x:v>5</x:v>
      </x:c>
      <x:c r="AA278" s="26" t="n">
        <x:v>38</x:v>
      </x:c>
      <x:c r="AB278" s="26" t="n">
        <x:v>354</x:v>
      </x:c>
      <x:c r="AC278" s="43" t="n">
        <x:v>36.44</x:v>
      </x:c>
    </x:row>
    <x:row r="279" ht="135" customHeight="1">
      <x:c r="A279" s="26" t="n">
        <x:v>278</x:v>
      </x:c>
      <x:c r="B279" s="26" t="str">
        <x:v>874140339270</x:v>
      </x:c>
      <x:c r="C279" s="26" t="str">
        <x:v>EL100V2</x:v>
      </x:c>
      <x:c r="D279" s="43" t="n">
        <x:v>20.9</x:v>
      </x:c>
      <x:c r="E279" s="26" t="str">
        <x:v>反推假设：26lb、Zone3（账单Zone3）。
标准运费24.91×61%≈15.20
＋假设折后附加费0.00
＋燃油(15.20＋0.00)×25.00%≈3.80
＝预估承运成本19.00
按既有收费规则折算→预付20.90；与原预付差+0.00。</x:v>
      </x:c>
      <x:c r="F279" s="43" t="n">
        <x:v>20.9</x:v>
      </x:c>
      <x:c r="G279" s="43" t="n">
        <x:f>F279-D279</x:f>
        <x:v>0</x:v>
      </x:c>
      <x:c r="H279" s="26" t="str">
        <x:v>运输费27.86
−折扣10.87
＋燃油4.25
＝承运净额21.24
账单实收23.364（按既有收费规则）</x:v>
      </x:c>
      <x:c r="I279" s="43" t="n">
        <x:v>21.24</x:v>
      </x:c>
      <x:c r="J279" s="43" t="n">
        <x:v>23.364</x:v>
      </x:c>
      <x:c r="K279" s="43" t="n">
        <x:f>J279-D279</x:f>
        <x:v>2.464000000000002</x:v>
      </x:c>
      <x:c r="L279" s="26" t="str">
        <x:v>未发现单一共同原因，需核验报价费率、原尺寸及原发票。</x:v>
      </x:c>
      <x:c r="M279" s="26" t="str">
        <x:v>账单已对账；预付试算接近（差≤0.15）</x:v>
      </x:c>
      <x:c r="N279" s="26" t="str">
        <x:v>20260710</x:v>
      </x:c>
      <x:c r="O279" s="26" t="n">
        <x:v>3</x:v>
      </x:c>
      <x:c r="P279" s="31" t="n">
        <x:v>25.35316015126092</x:v>
      </x:c>
      <x:c r="Q279" s="31"/>
      <x:c r="R279" s="26" t="n">
        <x:v>31</x:v>
      </x:c>
      <x:c r="S279" s="26" t="n">
        <x:v>166</x:v>
      </x:c>
      <x:c r="T279" s="43" t="n">
        <x:v>27.86</x:v>
      </x:c>
      <x:c r="U279" s="43" t="n">
        <x:v>-10.87</x:v>
      </x:c>
      <x:c r="V279" s="43" t="n">
        <x:v>0</x:v>
      </x:c>
      <x:c r="W279" s="43" t="n">
        <x:v>4.25</x:v>
      </x:c>
      <x:c r="X279" s="44" t="n">
        <x:v>0.25</x:v>
      </x:c>
      <x:c r="Y279" s="30" t="b">
        <x:v>0</x:v>
      </x:c>
      <x:c r="Z279" s="26" t="n">
        <x:v>3</x:v>
      </x:c>
      <x:c r="AA279" s="26" t="n">
        <x:v>26</x:v>
      </x:c>
      <x:c r="AB279" s="26" t="n">
        <x:v>359</x:v>
      </x:c>
      <x:c r="AC279" s="43" t="n">
        <x:v>20.9</x:v>
      </x:c>
    </x:row>
    <x:row r="280" ht="135" customHeight="1">
      <x:c r="A280" s="26" t="n">
        <x:v>279</x:v>
      </x:c>
      <x:c r="B280" s="26" t="str">
        <x:v>873861801661</x:v>
      </x:c>
      <x:c r="C280" s="26" t="str">
        <x:v>AC2A</x:v>
      </x:c>
      <x:c r="D280" s="43" t="n">
        <x:v>21.11</x:v>
      </x:c>
      <x:c r="E280" s="26" t="str">
        <x:v>反推假设：8lb、Zone8（账单Zone7）。
标准运费23.50×61%≈14.33
＋假设折后附加费0.00
＋燃油(14.33＋0.00)×25.25%≈3.62
＝预估承运成本17.95
按既有收费规则折算→预付19.75；与原预付差-1.36。</x:v>
      </x:c>
      <x:c r="F280" s="43" t="n">
        <x:v>19.75</x:v>
      </x:c>
      <x:c r="G280" s="43" t="n">
        <x:f>F280-D280</x:f>
        <x:v>-1.3599999999999994</x:v>
      </x:c>
      <x:c r="H280" s="26" t="str">
        <x:v>运输费26.31
−折扣9.21
＋燃油4.32
＝承运净额21.42
账单实收23.562（按既有收费规则）</x:v>
      </x:c>
      <x:c r="I280" s="43" t="n">
        <x:v>21.42</x:v>
      </x:c>
      <x:c r="J280" s="43" t="n">
        <x:v>23.562</x:v>
      </x:c>
      <x:c r="K280" s="43" t="n">
        <x:f>J280-D280</x:f>
        <x:v>2.4520000000000017</x:v>
      </x:c>
      <x:c r="L280" s="26" t="str">
        <x:v>预付反推Zone8，最终Zone7；不代表分区错误，需查原邮编与合同。
试算偏差较大：缺原始报价/折扣/尺寸，不能强行归因。</x:v>
      </x:c>
      <x:c r="M280" s="26" t="str">
        <x:v>账单已对账；现有假设未还原预付</x:v>
      </x:c>
      <x:c r="N280" s="26" t="str">
        <x:v>20260721</x:v>
      </x:c>
      <x:c r="O280" s="26" t="n">
        <x:v>7</x:v>
      </x:c>
      <x:c r="P280" s="31" t="n">
        <x:v>7.9807338910925685</x:v>
      </x:c>
      <x:c r="Q280" s="31" t="n">
        <x:v>10.4</x:v>
      </x:c>
      <x:c r="R280" s="26" t="n">
        <x:v>11</x:v>
      </x:c>
      <x:c r="S280" s="26" t="n">
        <x:v>166</x:v>
      </x:c>
      <x:c r="T280" s="43" t="n">
        <x:v>26.31</x:v>
      </x:c>
      <x:c r="U280" s="43" t="n">
        <x:v>-9.21</x:v>
      </x:c>
      <x:c r="V280" s="43" t="n">
        <x:v>0</x:v>
      </x:c>
      <x:c r="W280" s="43" t="n">
        <x:v>4.32</x:v>
      </x:c>
      <x:c r="X280" s="44" t="n">
        <x:v>0.2525</x:v>
      </x:c>
      <x:c r="Y280" s="30" t="b">
        <x:v>0</x:v>
      </x:c>
      <x:c r="Z280" s="26" t="n">
        <x:v>8</x:v>
      </x:c>
      <x:c r="AA280" s="26" t="n">
        <x:v>8</x:v>
      </x:c>
      <x:c r="AB280" s="26" t="n">
        <x:v>480</x:v>
      </x:c>
      <x:c r="AC280" s="43" t="n">
        <x:v>18.39</x:v>
      </x:c>
    </x:row>
    <x:row r="281" ht="135" customHeight="1">
      <x:c r="A281" s="26" t="n">
        <x:v>280</x:v>
      </x:c>
      <x:c r="B281" s="26" t="str">
        <x:v>874515937995</x:v>
      </x:c>
      <x:c r="C281" s="26"/>
      <x:c r="D281" s="43" t="n">
        <x:v>71.67</x:v>
      </x:c>
      <x:c r="E281" s="26" t="str">
        <x:v>反推假设：58lb、Zone4（账单Zone4）。
标准运费44.28×61%≈27.01
＋假设折后附加费25.13
＋燃油(27.01＋25.13)×25.25%≈13.17
＝预估承运成本65.31
按既有收费规则折算→预付71.84；与原预付差+0.17。</x:v>
      </x:c>
      <x:c r="F281" s="43" t="n">
        <x:v>71.84</x:v>
      </x:c>
      <x:c r="G281" s="43" t="n">
        <x:f>F281-D281</x:f>
        <x:v>0.1700000000000017</x:v>
      </x:c>
      <x:c r="H281" s="26" t="str">
        <x:v>运输费46.98
−折扣18.32
＋Add'l Handling-Weight 25.12
＋燃油13.58
＝承运净额67.36
账单实收74.096（按既有收费规则）</x:v>
      </x:c>
      <x:c r="I281" s="43" t="n">
        <x:v>67.36</x:v>
      </x:c>
      <x:c r="J281" s="43" t="n">
        <x:v>74.096</x:v>
      </x:c>
      <x:c r="K281" s="43" t="n">
        <x:f>J281-D281</x:f>
        <x:v>2.426000000000002</x:v>
      </x:c>
      <x:c r="L281" s="26" t="str">
        <x:v>试算偏差较大：缺原始报价/折扣/尺寸，不能强行归因。</x:v>
      </x:c>
      <x:c r="M281" s="26" t="str">
        <x:v>账单已对账；现有假设未还原预付</x:v>
      </x:c>
      <x:c r="N281" s="26" t="str">
        <x:v>20260720</x:v>
      </x:c>
      <x:c r="O281" s="26" t="n">
        <x:v>4</x:v>
      </x:c>
      <x:c r="P281" s="31" t="n">
        <x:v>57.9815749546228</x:v>
      </x:c>
      <x:c r="Q281" s="31" t="n">
        <x:v>62.1</x:v>
      </x:c>
      <x:c r="R281" s="26" t="n">
        <x:v>63</x:v>
      </x:c>
      <x:c r="S281" s="26" t="n">
        <x:v>166</x:v>
      </x:c>
      <x:c r="T281" s="43" t="n">
        <x:v>46.98</x:v>
      </x:c>
      <x:c r="U281" s="43" t="n">
        <x:v>-18.32</x:v>
      </x:c>
      <x:c r="V281" s="43" t="n">
        <x:v>25.12</x:v>
      </x:c>
      <x:c r="W281" s="43" t="n">
        <x:v>13.58</x:v>
      </x:c>
      <x:c r="X281" s="44" t="n">
        <x:v>0.2525</x:v>
      </x:c>
      <x:c r="Y281" s="30" t="b">
        <x:v>0</x:v>
      </x:c>
      <x:c r="Z281" s="26" t="n">
        <x:v>4</x:v>
      </x:c>
      <x:c r="AA281" s="26" t="n">
        <x:v>58</x:v>
      </x:c>
      <x:c r="AB281" s="26" t="n">
        <x:v>471</x:v>
      </x:c>
      <x:c r="AC281" s="43" t="n">
        <x:v>71.84</x:v>
      </x:c>
    </x:row>
    <x:row r="282" ht="135" customHeight="1">
      <x:c r="A282" s="26" t="n">
        <x:v>281</x:v>
      </x:c>
      <x:c r="B282" s="26" t="str">
        <x:v>875025085242</x:v>
      </x:c>
      <x:c r="C282" s="26" t="str">
        <x:v>EL100V2</x:v>
      </x:c>
      <x:c r="D282" s="43" t="n">
        <x:v>21.81</x:v>
      </x:c>
      <x:c r="E282" s="26" t="str">
        <x:v>缺核对明细，无法重建预付；原预付仅按基础表保留。</x:v>
      </x:c>
      <x:c r="F282" s="43"/>
      <x:c r="G282" s="43"/>
      <x:c r="H282" s="26" t="str">
        <x:v>缺原始核对明细，无法拆分。</x:v>
      </x:c>
      <x:c r="I282" s="43"/>
      <x:c r="J282" s="43" t="n">
        <x:v>24.233</x:v>
      </x:c>
      <x:c r="K282" s="43" t="n">
        <x:f>J282-D282</x:f>
        <x:v>2.423000000000002</x:v>
      </x:c>
      <x:c r="L282" s="26" t="str">
        <x:v>核对表无唯一匹配费用明细，无法确认差距原因；需补原始FedEx账单。</x:v>
      </x:c>
      <x:c r="M282" s="26" t="str">
        <x:v>缺核对明细，原因未确认</x:v>
      </x:c>
      <x:c r="N282" s="26"/>
      <x:c r="O282" s="26"/>
      <x:c r="P282" s="31"/>
      <x:c r="Q282" s="31"/>
      <x:c r="R282" s="26"/>
      <x:c r="S282" s="26"/>
      <x:c r="T282" s="43"/>
      <x:c r="U282" s="43"/>
      <x:c r="V282" s="43"/>
      <x:c r="W282" s="43"/>
      <x:c r="X282" s="44"/>
      <x:c r="Y282" s="26"/>
      <x:c r="Z282" s="26"/>
      <x:c r="AA282" s="26"/>
      <x:c r="AB282" s="26"/>
      <x:c r="AC282" s="43"/>
    </x:row>
    <x:row r="283" ht="135" customHeight="1">
      <x:c r="A283" s="26" t="n">
        <x:v>282</x:v>
      </x:c>
      <x:c r="B283" s="26" t="str">
        <x:v>873963408616</x:v>
      </x:c>
      <x:c r="C283" s="26" t="str">
        <x:v>EL100V2</x:v>
      </x:c>
      <x:c r="D283" s="43" t="n">
        <x:v>21.67</x:v>
      </x:c>
      <x:c r="E283" s="26" t="str">
        <x:v>反推假设：25lb、Zone4（账单Zone4）。
标准运费25.83×61%≈15.76
＋假设折后附加费0.00
＋燃油(15.76＋0.00)×25.00%≈3.94
＝预估承运成本19.70
按既有收费规则折算→预付21.67；与原预付差+0.00。</x:v>
      </x:c>
      <x:c r="F283" s="43" t="n">
        <x:v>21.67</x:v>
      </x:c>
      <x:c r="G283" s="43" t="n">
        <x:f>F283-D283</x:f>
        <x:v>0</x:v>
      </x:c>
      <x:c r="H283" s="26" t="str">
        <x:v>运输费28.72
−折扣11.20
＋燃油4.38
＝承运净额21.90
账单实收24.090（按既有收费规则）</x:v>
      </x:c>
      <x:c r="I283" s="43" t="n">
        <x:v>21.9</x:v>
      </x:c>
      <x:c r="J283" s="43" t="n">
        <x:v>24.09</x:v>
      </x:c>
      <x:c r="K283" s="43" t="n">
        <x:f>J283-D283</x:f>
        <x:v>2.419999999999998</x:v>
      </x:c>
      <x:c r="L283" s="26" t="str">
        <x:v>未发现单一共同原因，需核验报价费率、原尺寸及原发票。</x:v>
      </x:c>
      <x:c r="M283" s="26" t="str">
        <x:v>账单已对账；预付试算接近（差≤0.15）</x:v>
      </x:c>
      <x:c r="N283" s="26" t="str">
        <x:v>20260706</x:v>
      </x:c>
      <x:c r="O283" s="26" t="n">
        <x:v>4</x:v>
      </x:c>
      <x:c r="P283" s="31" t="n">
        <x:v>25.000420531765116</x:v>
      </x:c>
      <x:c r="Q283" s="31" t="n">
        <x:v>27.9</x:v>
      </x:c>
      <x:c r="R283" s="26" t="n">
        <x:v>28</x:v>
      </x:c>
      <x:c r="S283" s="26" t="n">
        <x:v>166</x:v>
      </x:c>
      <x:c r="T283" s="43" t="n">
        <x:v>28.72</x:v>
      </x:c>
      <x:c r="U283" s="43" t="n">
        <x:v>-11.2</x:v>
      </x:c>
      <x:c r="V283" s="43" t="n">
        <x:v>0</x:v>
      </x:c>
      <x:c r="W283" s="43" t="n">
        <x:v>4.38</x:v>
      </x:c>
      <x:c r="X283" s="44" t="n">
        <x:v>0.25</x:v>
      </x:c>
      <x:c r="Y283" s="30" t="b">
        <x:v>0</x:v>
      </x:c>
      <x:c r="Z283" s="26" t="n">
        <x:v>4</x:v>
      </x:c>
      <x:c r="AA283" s="26" t="n">
        <x:v>25</x:v>
      </x:c>
      <x:c r="AB283" s="26" t="n">
        <x:v>271</x:v>
      </x:c>
      <x:c r="AC283" s="43" t="n">
        <x:v>21.67</x:v>
      </x:c>
    </x:row>
    <x:row r="284" ht="135" customHeight="1">
      <x:c r="A284" s="26" t="n">
        <x:v>283</x:v>
      </x:c>
      <x:c r="B284" s="26" t="str">
        <x:v>874713748029</x:v>
      </x:c>
      <x:c r="C284" s="26"/>
      <x:c r="D284" s="43" t="n">
        <x:v>21.72</x:v>
      </x:c>
      <x:c r="E28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F284" s="43" t="n">
        <x:v>21.71</x:v>
      </x:c>
      <x:c r="G284" s="43" t="n">
        <x:f>F284-D284</x:f>
        <x:v>-0.00999999999999801</x:v>
      </x:c>
      <x:c r="H284" s="26" t="str">
        <x:v>运输费28.72
−折扣11.20
＋燃油4.42
＝承运净额21.94
账单实收24.134（按既有收费规则）</x:v>
      </x:c>
      <x:c r="I284" s="43" t="n">
        <x:v>21.94</x:v>
      </x:c>
      <x:c r="J284" s="43" t="n">
        <x:v>24.134</x:v>
      </x:c>
      <x:c r="K284" s="43" t="n">
        <x:f>J284-D284</x:f>
        <x:v>2.4140000000000015</x:v>
      </x:c>
      <x:c r="L284" s="26" t="str">
        <x:v>未发现单一共同原因，需核验报价费率、原尺寸及原发票。</x:v>
      </x:c>
      <x:c r="M284" s="26" t="str">
        <x:v>账单已对账；预付试算接近（差≤0.15）</x:v>
      </x:c>
      <x:c r="N284" s="26" t="str">
        <x:v>20260723</x:v>
      </x:c>
      <x:c r="O284" s="26" t="n">
        <x:v>4</x:v>
      </x:c>
      <x:c r="P284" s="31" t="n">
        <x:v>25.000420531765116</x:v>
      </x:c>
      <x:c r="Q284" s="31" t="n">
        <x:v>27.8</x:v>
      </x:c>
      <x:c r="R284" s="26" t="n">
        <x:v>28</x:v>
      </x:c>
      <x:c r="S284" s="26" t="n">
        <x:v>166</x:v>
      </x:c>
      <x:c r="T284" s="43" t="n">
        <x:v>28.72</x:v>
      </x:c>
      <x:c r="U284" s="43" t="n">
        <x:v>-11.2</x:v>
      </x:c>
      <x:c r="V284" s="43" t="n">
        <x:v>0</x:v>
      </x:c>
      <x:c r="W284" s="43" t="n">
        <x:v>4.42</x:v>
      </x:c>
      <x:c r="X284" s="44" t="n">
        <x:v>0.2525</x:v>
      </x:c>
      <x:c r="Y284" s="30" t="b">
        <x:v>0</x:v>
      </x:c>
      <x:c r="Z284" s="26" t="n">
        <x:v>4</x:v>
      </x:c>
      <x:c r="AA284" s="26" t="n">
        <x:v>25</x:v>
      </x:c>
      <x:c r="AB284" s="26" t="n">
        <x:v>537</x:v>
      </x:c>
      <x:c r="AC284" s="43" t="n">
        <x:v>21.71</x:v>
      </x:c>
    </x:row>
    <x:row r="285" ht="135" customHeight="1">
      <x:c r="A285" s="26" t="n">
        <x:v>284</x:v>
      </x:c>
      <x:c r="B285" s="26" t="str">
        <x:v>874514671390</x:v>
      </x:c>
      <x:c r="C285" s="26" t="str">
        <x:v>EL100V2</x:v>
      </x:c>
      <x:c r="D285" s="43" t="n">
        <x:v>16.94</x:v>
      </x:c>
      <x:c r="E285" s="26" t="str">
        <x:v>反推假设：23lb、Zone2（账单Zone2）。
标准运费20.20×61%≈12.32
＋假设折后附加费0.00
＋燃油(12.32＋0.00)×25.25%≈3.11
＝预估承运成本15.43
按既有收费规则折算→预付16.97；与原预付差+0.03。</x:v>
      </x:c>
      <x:c r="F285" s="43" t="n">
        <x:v>16.97</x:v>
      </x:c>
      <x:c r="G285" s="43" t="n">
        <x:f>F285-D285</x:f>
        <x:v>0.029999999999997584</x:v>
      </x:c>
      <x:c r="H285" s="26" t="str">
        <x:v>运输费23.02
−折扣8.98
＋燃油3.55
＝承运净额17.59
账单实收19.349（按既有收费规则）</x:v>
      </x:c>
      <x:c r="I285" s="43" t="n">
        <x:v>17.59</x:v>
      </x:c>
      <x:c r="J285" s="43" t="n">
        <x:v>19.349</x:v>
      </x:c>
      <x:c r="K285" s="43" t="n">
        <x:f>J285-D285</x:f>
        <x:v>2.408999999999999</x:v>
      </x:c>
      <x:c r="L285" s="26" t="str">
        <x:v>实际比预估重6.91lb，需核对称重与申报。</x:v>
      </x:c>
      <x:c r="M285" s="26" t="str">
        <x:v>账单已对账；预付试算接近（差≤0.15）</x:v>
      </x:c>
      <x:c r="N285" s="26" t="str">
        <x:v>20260722</x:v>
      </x:c>
      <x:c r="O285" s="26" t="n">
        <x:v>2</x:v>
      </x:c>
      <x:c r="P285" s="31" t="n">
        <x:v>22.99421394588273</x:v>
      </x:c>
      <x:c r="Q285" s="31" t="n">
        <x:v>29.9</x:v>
      </x:c>
      <x:c r="R285" s="26" t="n">
        <x:v>30</x:v>
      </x:c>
      <x:c r="S285" s="26" t="n">
        <x:v>166</x:v>
      </x:c>
      <x:c r="T285" s="43" t="n">
        <x:v>23.02</x:v>
      </x:c>
      <x:c r="U285" s="43" t="n">
        <x:v>-8.98</x:v>
      </x:c>
      <x:c r="V285" s="43" t="n">
        <x:v>0</x:v>
      </x:c>
      <x:c r="W285" s="43" t="n">
        <x:v>3.55</x:v>
      </x:c>
      <x:c r="X285" s="44" t="n">
        <x:v>0.2525</x:v>
      </x:c>
      <x:c r="Y285" s="30" t="b">
        <x:v>0</x:v>
      </x:c>
      <x:c r="Z285" s="26" t="n">
        <x:v>2</x:v>
      </x:c>
      <x:c r="AA285" s="26" t="n">
        <x:v>23</x:v>
      </x:c>
      <x:c r="AB285" s="26" t="n">
        <x:v>494</x:v>
      </x:c>
      <x:c r="AC285" s="43" t="n">
        <x:v>16.97</x:v>
      </x:c>
    </x:row>
    <x:row r="286" ht="135" customHeight="1">
      <x:c r="A286" s="26" t="n">
        <x:v>285</x:v>
      </x:c>
      <x:c r="B286" s="26" t="str">
        <x:v>874350305338</x:v>
      </x:c>
      <x:c r="C286" s="26" t="str">
        <x:v>EL100V2</x:v>
      </x:c>
      <x:c r="D286" s="43" t="n">
        <x:v>16.94</x:v>
      </x:c>
      <x:c r="E286" s="26" t="str">
        <x:v>反推假设：23lb、Zone2（账单Zone2）。
标准运费20.20×61%≈12.32
＋假设折后附加费0.00
＋燃油(12.32＋0.00)×25.25%≈3.11
＝预估承运成本15.43
按既有收费规则折算→预付16.97；与原预付差+0.03。</x:v>
      </x:c>
      <x:c r="F286" s="43" t="n">
        <x:v>16.97</x:v>
      </x:c>
      <x:c r="G286" s="43" t="n">
        <x:f>F286-D286</x:f>
        <x:v>0.029999999999997584</x:v>
      </x:c>
      <x:c r="H286" s="26" t="str">
        <x:v>运输费23.02
−折扣8.98
＋燃油3.55
＝承运净额17.59
账单实收19.349（按既有收费规则）</x:v>
      </x:c>
      <x:c r="I286" s="43" t="n">
        <x:v>17.59</x:v>
      </x:c>
      <x:c r="J286" s="43" t="n">
        <x:v>19.349</x:v>
      </x:c>
      <x:c r="K286" s="43" t="n">
        <x:f>J286-D286</x:f>
        <x:v>2.408999999999999</x:v>
      </x:c>
      <x:c r="L286" s="26" t="str">
        <x:v>实际比预估重6.61lb，需核对称重与申报。</x:v>
      </x:c>
      <x:c r="M286" s="26" t="str">
        <x:v>账单已对账；预付试算接近（差≤0.15）</x:v>
      </x:c>
      <x:c r="N286" s="26" t="str">
        <x:v>20260720</x:v>
      </x:c>
      <x:c r="O286" s="26" t="n">
        <x:v>2</x:v>
      </x:c>
      <x:c r="P286" s="31" t="n">
        <x:v>22.99421394588273</x:v>
      </x:c>
      <x:c r="Q286" s="31" t="n">
        <x:v>29.6</x:v>
      </x:c>
      <x:c r="R286" s="26" t="n">
        <x:v>30</x:v>
      </x:c>
      <x:c r="S286" s="26" t="n">
        <x:v>166</x:v>
      </x:c>
      <x:c r="T286" s="43" t="n">
        <x:v>23.02</x:v>
      </x:c>
      <x:c r="U286" s="43" t="n">
        <x:v>-8.98</x:v>
      </x:c>
      <x:c r="V286" s="43" t="n">
        <x:v>0</x:v>
      </x:c>
      <x:c r="W286" s="43" t="n">
        <x:v>3.55</x:v>
      </x:c>
      <x:c r="X286" s="44" t="n">
        <x:v>0.2525</x:v>
      </x:c>
      <x:c r="Y286" s="30" t="b">
        <x:v>0</x:v>
      </x:c>
      <x:c r="Z286" s="26" t="n">
        <x:v>2</x:v>
      </x:c>
      <x:c r="AA286" s="26" t="n">
        <x:v>23</x:v>
      </x:c>
      <x:c r="AB286" s="26" t="n">
        <x:v>456</x:v>
      </x:c>
      <x:c r="AC286" s="43" t="n">
        <x:v>16.97</x:v>
      </x:c>
    </x:row>
    <x:row r="287" ht="135" customHeight="1">
      <x:c r="A287" s="26" t="n">
        <x:v>286</x:v>
      </x:c>
      <x:c r="B287" s="26" t="str">
        <x:v>875025544912</x:v>
      </x:c>
      <x:c r="C287" s="26" t="str">
        <x:v>AP300</x:v>
      </x:c>
      <x:c r="D287" s="43" t="n">
        <x:v>110.17</x:v>
      </x:c>
      <x:c r="E287" s="26" t="str">
        <x:v>缺核对明细，无法重建预付；原预付仅按基础表保留。</x:v>
      </x:c>
      <x:c r="F287" s="43"/>
      <x:c r="G287" s="43"/>
      <x:c r="H287" s="26" t="str">
        <x:v>缺原始核对明细，无法拆分。</x:v>
      </x:c>
      <x:c r="I287" s="43"/>
      <x:c r="J287" s="43" t="n">
        <x:v>112.574</x:v>
      </x:c>
      <x:c r="K287" s="43" t="n">
        <x:f>J287-D287</x:f>
        <x:v>2.4039999999999964</x:v>
      </x:c>
      <x:c r="L287" s="26" t="str">
        <x:v>核对表无唯一匹配费用明细，无法确认差距原因；需补原始FedEx账单。</x:v>
      </x:c>
      <x:c r="M287" s="26" t="str">
        <x:v>缺核对明细，原因未确认</x:v>
      </x:c>
      <x:c r="N287" s="26"/>
      <x:c r="O287" s="26"/>
      <x:c r="P287" s="31"/>
      <x:c r="Q287" s="31"/>
      <x:c r="R287" s="26"/>
      <x:c r="S287" s="26"/>
      <x:c r="T287" s="43"/>
      <x:c r="U287" s="43"/>
      <x:c r="V287" s="43"/>
      <x:c r="W287" s="43"/>
      <x:c r="X287" s="44"/>
      <x:c r="Y287" s="26"/>
      <x:c r="Z287" s="26"/>
      <x:c r="AA287" s="26"/>
      <x:c r="AB287" s="26"/>
      <x:c r="AC287" s="43"/>
    </x:row>
    <x:row r="288" ht="135" customHeight="1">
      <x:c r="A288" s="26" t="n">
        <x:v>287</x:v>
      </x:c>
      <x:c r="B288" s="26" t="str">
        <x:v>873426897860</x:v>
      </x:c>
      <x:c r="C288" s="26" t="str">
        <x:v>EL100V2</x:v>
      </x:c>
      <x:c r="D288" s="43" t="n">
        <x:v>17</x:v>
      </x:c>
      <x:c r="E288" s="26" t="str">
        <x:v>反推假设：23lb、Zone2（账单Zone2）。
标准运费20.20×61%≈12.32
＋假设折后附加费0.00
＋燃油(12.32＋0.00)×25.50%≈3.14
＝预估承运成本15.46
按既有收费规则折算→预付17.01；与原预付差+0.01。</x:v>
      </x:c>
      <x:c r="F288" s="43" t="n">
        <x:v>17.01</x:v>
      </x:c>
      <x:c r="G288" s="43" t="n">
        <x:f>F288-D288</x:f>
        <x:v>0.010000000000001563</x:v>
      </x:c>
      <x:c r="H288" s="26" t="str">
        <x:v>运输费23.02
−折扣8.98
＋燃油3.58
＝承运净额17.62
账单实收19.382（按既有收费规则）</x:v>
      </x:c>
      <x:c r="I288" s="43" t="n">
        <x:v>17.62</x:v>
      </x:c>
      <x:c r="J288" s="43" t="n">
        <x:v>19.382</x:v>
      </x:c>
      <x:c r="K288" s="43" t="n">
        <x:f>J288-D288</x:f>
        <x:v>2.3820000000000014</x:v>
      </x:c>
      <x:c r="L288" s="26" t="str">
        <x:v>实际比预估重6.41lb，需核对称重与申报。</x:v>
      </x:c>
      <x:c r="M288" s="26" t="str">
        <x:v>账单已对账；预付试算接近（差≤0.15）</x:v>
      </x:c>
      <x:c r="N288" s="26" t="str">
        <x:v>20260624</x:v>
      </x:c>
      <x:c r="O288" s="26" t="n">
        <x:v>2</x:v>
      </x:c>
      <x:c r="P288" s="31" t="n">
        <x:v>22.99421394588273</x:v>
      </x:c>
      <x:c r="Q288" s="31" t="n">
        <x:v>29.4</x:v>
      </x:c>
      <x:c r="R288" s="26" t="n">
        <x:v>30</x:v>
      </x:c>
      <x:c r="S288" s="26" t="n">
        <x:v>166</x:v>
      </x:c>
      <x:c r="T288" s="43" t="n">
        <x:v>23.02</x:v>
      </x:c>
      <x:c r="U288" s="43" t="n">
        <x:v>-8.98</x:v>
      </x:c>
      <x:c r="V288" s="43" t="n">
        <x:v>0</x:v>
      </x:c>
      <x:c r="W288" s="43" t="n">
        <x:v>3.58</x:v>
      </x:c>
      <x:c r="X288" s="44" t="n">
        <x:v>0.255</x:v>
      </x:c>
      <x:c r="Y288" s="30" t="b">
        <x:v>0</x:v>
      </x:c>
      <x:c r="Z288" s="26" t="n">
        <x:v>2</x:v>
      </x:c>
      <x:c r="AA288" s="26" t="n">
        <x:v>23</x:v>
      </x:c>
      <x:c r="AB288" s="26" t="n">
        <x:v>131</x:v>
      </x:c>
      <x:c r="AC288" s="43" t="n">
        <x:v>17.01</x:v>
      </x:c>
    </x:row>
    <x:row r="289" ht="135" customHeight="1">
      <x:c r="A289" s="26" t="n">
        <x:v>288</x:v>
      </x:c>
      <x:c r="B289" s="26" t="str">
        <x:v>873177517802</x:v>
      </x:c>
      <x:c r="C289" s="26" t="str">
        <x:v>AC180</x:v>
      </x:c>
      <x:c r="D289" s="43" t="n">
        <x:v>26.5</x:v>
      </x:c>
      <x:c r="E289" s="26" t="str">
        <x:v>反推假设：38lb、Zone3（账单Zone3）。
标准运费31.34×61%≈19.12
＋假设折后附加费0.00
＋燃油(19.12＋0.00)×26.00%≈4.97
＝预估承运成本24.09
按既有收费规则折算→预付26.50；与原预付差+0.00。</x:v>
      </x:c>
      <x:c r="F289" s="43" t="n">
        <x:v>26.5</x:v>
      </x:c>
      <x:c r="G289" s="43" t="n">
        <x:f>F289-D289</x:f>
        <x:v>0</x:v>
      </x:c>
      <x:c r="H289" s="26" t="str">
        <x:v>运输费34.10
−折扣13.30
＋燃油5.41
＝承运净额26.21
账单实收28.831（按既有收费规则）</x:v>
      </x:c>
      <x:c r="I289" s="43" t="n">
        <x:v>26.21</x:v>
      </x:c>
      <x:c r="J289" s="43" t="n">
        <x:v>28.831</x:v>
      </x:c>
      <x:c r="K289" s="43" t="n">
        <x:f>J289-D289</x:f>
        <x:v>2.3309999999999995</x:v>
      </x:c>
      <x:c r="L289" s="26" t="str">
        <x:v>未发现单一共同原因，需核验报价费率、原尺寸及原发票。</x:v>
      </x:c>
      <x:c r="M289" s="26" t="str">
        <x:v>账单已对账；预付试算接近（差≤0.15）</x:v>
      </x:c>
      <x:c r="N289" s="26" t="str">
        <x:v>20260621</x:v>
      </x:c>
      <x:c r="O289" s="26" t="n">
        <x:v>3</x:v>
      </x:c>
      <x:c r="P289" s="31" t="n">
        <x:v>37.98564777445441</x:v>
      </x:c>
      <x:c r="Q289" s="31" t="n">
        <x:v>40.7</x:v>
      </x:c>
      <x:c r="R289" s="26" t="n">
        <x:v>41</x:v>
      </x:c>
      <x:c r="S289" s="26" t="n">
        <x:v>166</x:v>
      </x:c>
      <x:c r="T289" s="43" t="n">
        <x:v>34.1</x:v>
      </x:c>
      <x:c r="U289" s="43" t="n">
        <x:v>-13.3</x:v>
      </x:c>
      <x:c r="V289" s="43" t="n">
        <x:v>0</x:v>
      </x:c>
      <x:c r="W289" s="43" t="n">
        <x:v>5.41</x:v>
      </x:c>
      <x:c r="X289" s="44" t="n">
        <x:v>0.26</x:v>
      </x:c>
      <x:c r="Y289" s="30" t="b">
        <x:v>0</x:v>
      </x:c>
      <x:c r="Z289" s="26" t="n">
        <x:v>3</x:v>
      </x:c>
      <x:c r="AA289" s="26" t="n">
        <x:v>38</x:v>
      </x:c>
      <x:c r="AB289" s="26" t="n">
        <x:v>97</x:v>
      </x:c>
      <x:c r="AC289" s="43" t="n">
        <x:v>26.5</x:v>
      </x:c>
    </x:row>
    <x:row r="290" ht="135" customHeight="1">
      <x:c r="A290" s="26" t="n">
        <x:v>289</x:v>
      </x:c>
      <x:c r="B290" s="26" t="str">
        <x:v>874984443910</x:v>
      </x:c>
      <x:c r="C290" s="26" t="str">
        <x:v>AC200L</x:v>
      </x:c>
      <x:c r="D290" s="43" t="n">
        <x:v>69.59</x:v>
      </x:c>
      <x:c r="E290" s="26" t="str">
        <x:v>缺核对明细，无法重建预付；原预付仅按基础表保留。</x:v>
      </x:c>
      <x:c r="F290" s="43"/>
      <x:c r="G290" s="43"/>
      <x:c r="H290" s="26" t="str">
        <x:v>缺原始核对明细，无法拆分。</x:v>
      </x:c>
      <x:c r="I290" s="43"/>
      <x:c r="J290" s="43" t="n">
        <x:v>71.918</x:v>
      </x:c>
      <x:c r="K290" s="43" t="n">
        <x:f>J290-D290</x:f>
        <x:v>2.328000000000003</x:v>
      </x:c>
      <x:c r="L290" s="26" t="str">
        <x:v>核对表无唯一匹配费用明细，无法确认差距原因；需补原始FedEx账单。</x:v>
      </x:c>
      <x:c r="M290" s="26" t="str">
        <x:v>缺核对明细，原因未确认</x:v>
      </x:c>
      <x:c r="N290" s="26"/>
      <x:c r="O290" s="26"/>
      <x:c r="P290" s="31"/>
      <x:c r="Q290" s="31"/>
      <x:c r="R290" s="26"/>
      <x:c r="S290" s="26"/>
      <x:c r="T290" s="43"/>
      <x:c r="U290" s="43"/>
      <x:c r="V290" s="43"/>
      <x:c r="W290" s="43"/>
      <x:c r="X290" s="44"/>
      <x:c r="Y290" s="26"/>
      <x:c r="Z290" s="26"/>
      <x:c r="AA290" s="26"/>
      <x:c r="AB290" s="26"/>
      <x:c r="AC290" s="43"/>
    </x:row>
    <x:row r="291" ht="135" customHeight="1">
      <x:c r="A291" s="26" t="n">
        <x:v>290</x:v>
      </x:c>
      <x:c r="B291" s="26" t="str">
        <x:v>874409571020</x:v>
      </x:c>
      <x:c r="C291" s="26" t="str">
        <x:v>EL300</x:v>
      </x:c>
      <x:c r="D291" s="43" t="n">
        <x:v>97.2</x:v>
      </x:c>
      <x:c r="E291" s="26" t="str">
        <x:v>反推假设：60lb、Zone6（账单Zone6）。
标准运费69.79×61%≈42.57
＋假设折后附加费28.13
＋燃油(42.57＋28.13)×25.00%≈17.68
＝预估承运成本88.38
按既有收费规则折算→预付97.22；与原预付差+0.02。</x:v>
      </x:c>
      <x:c r="F291" s="43" t="n">
        <x:v>97.22</x:v>
      </x:c>
      <x:c r="G291" s="43" t="n">
        <x:f>F291-D291</x:f>
        <x:v>0.01999999999999602</x:v>
      </x:c>
      <x:c r="H291" s="26" t="str">
        <x:v>运输费72.55
−折扣28.29
＋Add'l Handling-Weight 28.12
＋燃油18.10
＝承运净额90.48
账单实收99.528（按既有收费规则）</x:v>
      </x:c>
      <x:c r="I291" s="43" t="n">
        <x:v>90.48</x:v>
      </x:c>
      <x:c r="J291" s="43" t="n">
        <x:v>99.528</x:v>
      </x:c>
      <x:c r="K291" s="43" t="n">
        <x:f>J291-D291</x:f>
        <x:v>2.328000000000003</x:v>
      </x:c>
      <x:c r="L291" s="26" t="str">
        <x:v>实际比预估重5.88lb，需核对称重与申报。</x:v>
      </x:c>
      <x:c r="M291" s="26" t="str">
        <x:v>账单已对账；预付试算接近（差≤0.15）</x:v>
      </x:c>
      <x:c r="N291" s="26" t="str">
        <x:v>20260715</x:v>
      </x:c>
      <x:c r="O291" s="26" t="n">
        <x:v>6</x:v>
      </x:c>
      <x:c r="P291" s="31" t="n">
        <x:v>59.52481078991694</x:v>
      </x:c>
      <x:c r="Q291" s="31" t="n">
        <x:v>65.4</x:v>
      </x:c>
      <x:c r="R291" s="26" t="n">
        <x:v>66</x:v>
      </x:c>
      <x:c r="S291" s="26" t="n">
        <x:v>166</x:v>
      </x:c>
      <x:c r="T291" s="43" t="n">
        <x:v>72.55</x:v>
      </x:c>
      <x:c r="U291" s="43" t="n">
        <x:v>-28.29</x:v>
      </x:c>
      <x:c r="V291" s="43" t="n">
        <x:v>28.12</x:v>
      </x:c>
      <x:c r="W291" s="43" t="n">
        <x:v>18.1</x:v>
      </x:c>
      <x:c r="X291" s="44" t="n">
        <x:v>0.25</x:v>
      </x:c>
      <x:c r="Y291" s="30" t="b">
        <x:v>0</x:v>
      </x:c>
      <x:c r="Z291" s="26" t="n">
        <x:v>6</x:v>
      </x:c>
      <x:c r="AA291" s="26" t="n">
        <x:v>60</x:v>
      </x:c>
      <x:c r="AB291" s="26" t="n">
        <x:v>449</x:v>
      </x:c>
      <x:c r="AC291" s="43" t="n">
        <x:v>97.22</x:v>
      </x:c>
    </x:row>
    <x:row r="292" ht="135" customHeight="1">
      <x:c r="A292" s="26" t="n">
        <x:v>291</x:v>
      </x:c>
      <x:c r="B292" s="26" t="str">
        <x:v>873744716460</x:v>
      </x:c>
      <x:c r="C292" s="26" t="str">
        <x:v>EL300</x:v>
      </x:c>
      <x:c r="D292" s="43" t="n">
        <x:v>97.4</x:v>
      </x:c>
      <x:c r="E292" s="26" t="str">
        <x:v>反推假设：60lb、Zone6（账单Zone6）。
标准运费69.79×61%≈42.57
＋假设折后附加费28.13
＋燃油(42.57＋28.13)×25.25%≈17.85
＝预估承运成本88.55
按既有收费规则折算→预付97.41；与原预付差+0.01。</x:v>
      </x:c>
      <x:c r="F292" s="43" t="n">
        <x:v>97.41</x:v>
      </x:c>
      <x:c r="G292" s="43" t="n">
        <x:f>F292-D292</x:f>
        <x:v>0.009999999999990905</x:v>
      </x:c>
      <x:c r="H292" s="26" t="str">
        <x:v>运输费72.55
−折扣28.29
＋Add'l Handling-Weight 28.12
＋燃油18.28
＝承运净额90.66
账单实收99.726（按既有收费规则）</x:v>
      </x:c>
      <x:c r="I292" s="43" t="n">
        <x:v>90.66</x:v>
      </x:c>
      <x:c r="J292" s="43" t="n">
        <x:v>99.726</x:v>
      </x:c>
      <x:c r="K292" s="43" t="n">
        <x:f>J292-D292</x:f>
        <x:v>2.3259999999999934</x:v>
      </x:c>
      <x:c r="L292" s="26" t="str">
        <x:v>实际比预估重6.08lb，需核对称重与申报。</x:v>
      </x:c>
      <x:c r="M292" s="26" t="str">
        <x:v>账单已对账；预付试算接近（差≤0.15）</x:v>
      </x:c>
      <x:c r="N292" s="26" t="str">
        <x:v>20260630</x:v>
      </x:c>
      <x:c r="O292" s="26" t="n">
        <x:v>6</x:v>
      </x:c>
      <x:c r="P292" s="31" t="n">
        <x:v>59.52481078991694</x:v>
      </x:c>
      <x:c r="Q292" s="31" t="n">
        <x:v>65.6</x:v>
      </x:c>
      <x:c r="R292" s="26" t="n">
        <x:v>66</x:v>
      </x:c>
      <x:c r="S292" s="26" t="n">
        <x:v>166</x:v>
      </x:c>
      <x:c r="T292" s="43" t="n">
        <x:v>72.55</x:v>
      </x:c>
      <x:c r="U292" s="43" t="n">
        <x:v>-28.29</x:v>
      </x:c>
      <x:c r="V292" s="43" t="n">
        <x:v>28.12</x:v>
      </x:c>
      <x:c r="W292" s="43" t="n">
        <x:v>18.28</x:v>
      </x:c>
      <x:c r="X292" s="44" t="n">
        <x:v>0.2525</x:v>
      </x:c>
      <x:c r="Y292" s="30" t="b">
        <x:v>0</x:v>
      </x:c>
      <x:c r="Z292" s="26" t="n">
        <x:v>6</x:v>
      </x:c>
      <x:c r="AA292" s="26" t="n">
        <x:v>60</x:v>
      </x:c>
      <x:c r="AB292" s="26" t="n">
        <x:v>227</x:v>
      </x:c>
      <x:c r="AC292" s="43" t="n">
        <x:v>97.41</x:v>
      </x:c>
    </x:row>
    <x:row r="293" ht="135" customHeight="1">
      <x:c r="A293" s="26" t="n">
        <x:v>292</x:v>
      </x:c>
      <x:c r="B293" s="26" t="str">
        <x:v>874356934394</x:v>
      </x:c>
      <x:c r="C293" s="26" t="str">
        <x:v>EL100V2</x:v>
      </x:c>
      <x:c r="D293" s="43" t="n">
        <x:v>20.7</x:v>
      </x:c>
      <x:c r="E293" s="26" t="str">
        <x:v>反推假设：23lb、Zone4（账单Zone4）。
标准运费24.68×61%≈15.05
＋假设折后附加费0.00
＋燃油(15.05＋0.00)×25.00%≈3.76
＝预估承运成本18.81
按既有收费规则折算→预付20.69；与原预付差-0.01。</x:v>
      </x:c>
      <x:c r="F293" s="43" t="n">
        <x:v>20.69</x:v>
      </x:c>
      <x:c r="G293" s="43" t="n">
        <x:f>F293-D293</x:f>
        <x:v>-0.00999999999999801</x:v>
      </x:c>
      <x:c r="H293" s="26" t="str">
        <x:v>运输费27.45
−折扣10.71
＋燃油4.19
＝承运净额20.93
账单实收23.023（按既有收费规则）</x:v>
      </x:c>
      <x:c r="I293" s="43" t="n">
        <x:v>20.93</x:v>
      </x:c>
      <x:c r="J293" s="43" t="n">
        <x:v>23.023</x:v>
      </x:c>
      <x:c r="K293" s="43" t="n">
        <x:f>J293-D293</x:f>
        <x:v>2.3230000000000004</x:v>
      </x:c>
      <x:c r="L293" s="26" t="str">
        <x:v>未发现单一共同原因，需核验报价费率、原尺寸及原发票。</x:v>
      </x:c>
      <x:c r="M293" s="26" t="str">
        <x:v>账单已对账；预付试算接近（差≤0.15）</x:v>
      </x:c>
      <x:c r="N293" s="26" t="str">
        <x:v>20260714</x:v>
      </x:c>
      <x:c r="O293" s="26" t="n">
        <x:v>4</x:v>
      </x:c>
      <x:c r="P293" s="31" t="n">
        <x:v>22.99421394588273</x:v>
      </x:c>
      <x:c r="Q293" s="31" t="n">
        <x:v>26.6</x:v>
      </x:c>
      <x:c r="R293" s="26" t="n">
        <x:v>27</x:v>
      </x:c>
      <x:c r="S293" s="26" t="n">
        <x:v>166</x:v>
      </x:c>
      <x:c r="T293" s="43" t="n">
        <x:v>27.45</x:v>
      </x:c>
      <x:c r="U293" s="43" t="n">
        <x:v>-10.71</x:v>
      </x:c>
      <x:c r="V293" s="43" t="n">
        <x:v>0</x:v>
      </x:c>
      <x:c r="W293" s="43" t="n">
        <x:v>4.19</x:v>
      </x:c>
      <x:c r="X293" s="44" t="n">
        <x:v>0.25</x:v>
      </x:c>
      <x:c r="Y293" s="30" t="b">
        <x:v>0</x:v>
      </x:c>
      <x:c r="Z293" s="26" t="n">
        <x:v>4</x:v>
      </x:c>
      <x:c r="AA293" s="26" t="n">
        <x:v>23</x:v>
      </x:c>
      <x:c r="AB293" s="26" t="n">
        <x:v>420</x:v>
      </x:c>
      <x:c r="AC293" s="43" t="n">
        <x:v>20.69</x:v>
      </x:c>
    </x:row>
    <x:row r="294" ht="135" customHeight="1">
      <x:c r="A294" s="26" t="n">
        <x:v>293</x:v>
      </x:c>
      <x:c r="B294" s="26" t="str">
        <x:v>873591534306</x:v>
      </x:c>
      <x:c r="C294" s="26" t="str">
        <x:v>AC70</x:v>
      </x:c>
      <x:c r="D294" s="43" t="n">
        <x:v>29.99</x:v>
      </x:c>
      <x:c r="E294" s="26" t="str">
        <x:v>反推假设：23lb、Zone6（账单Zone6）。
标准运费35.63×61%≈21.73
＋假设折后附加费0.00
＋燃油(21.73＋0.00)×25.25%≈5.49
＝预估承运成本27.22
按既有收费规则折算→预付29.94；与原预付差-0.05。</x:v>
      </x:c>
      <x:c r="F294" s="43" t="n">
        <x:v>29.94</x:v>
      </x:c>
      <x:c r="G294" s="43" t="n">
        <x:f>F294-D294</x:f>
        <x:v>-0.04999999999999716</x:v>
      </x:c>
      <x:c r="H294" s="26" t="str">
        <x:v>运输费38.41
−折扣14.98
＋燃油5.92
＝承运净额29.35
账单实收32.285（按既有收费规则）</x:v>
      </x:c>
      <x:c r="I294" s="43" t="n">
        <x:v>29.35</x:v>
      </x:c>
      <x:c r="J294" s="43" t="n">
        <x:v>32.285</x:v>
      </x:c>
      <x:c r="K294" s="43" t="n">
        <x:f>J294-D294</x:f>
        <x:v>2.294999999999998</x:v>
      </x:c>
      <x:c r="L294" s="26" t="str">
        <x:v>未发现单一共同原因，需核验报价费率、原尺寸及原发票。</x:v>
      </x:c>
      <x:c r="M294" s="26" t="str">
        <x:v>账单已对账；预付试算接近（差≤0.15）</x:v>
      </x:c>
      <x:c r="N294" s="26" t="str">
        <x:v>20260701</x:v>
      </x:c>
      <x:c r="O294" s="26" t="n">
        <x:v>6</x:v>
      </x:c>
      <x:c r="P294" s="31" t="n">
        <x:v>22.487150742857512</x:v>
      </x:c>
      <x:c r="Q294" s="31" t="n">
        <x:v>24.5</x:v>
      </x:c>
      <x:c r="R294" s="26" t="n">
        <x:v>25</x:v>
      </x:c>
      <x:c r="S294" s="26" t="n">
        <x:v>166</x:v>
      </x:c>
      <x:c r="T294" s="43" t="n">
        <x:v>38.41</x:v>
      </x:c>
      <x:c r="U294" s="43" t="n">
        <x:v>-14.98</x:v>
      </x:c>
      <x:c r="V294" s="43" t="n">
        <x:v>0</x:v>
      </x:c>
      <x:c r="W294" s="43" t="n">
        <x:v>5.92</x:v>
      </x:c>
      <x:c r="X294" s="44" t="n">
        <x:v>0.2525</x:v>
      </x:c>
      <x:c r="Y294" s="30" t="b">
        <x:v>0</x:v>
      </x:c>
      <x:c r="Z294" s="26" t="n">
        <x:v>6</x:v>
      </x:c>
      <x:c r="AA294" s="26" t="n">
        <x:v>23</x:v>
      </x:c>
      <x:c r="AB294" s="26" t="n">
        <x:v>220</x:v>
      </x:c>
      <x:c r="AC294" s="43" t="n">
        <x:v>29.94</x:v>
      </x:c>
    </x:row>
    <x:row r="295" ht="135" customHeight="1">
      <x:c r="A295" s="26" t="n">
        <x:v>294</x:v>
      </x:c>
      <x:c r="B295" s="26" t="str">
        <x:v>873809596522</x:v>
      </x:c>
      <x:c r="C295" s="26" t="str">
        <x:v>EL200V2</x:v>
      </x:c>
      <x:c r="D295" s="43" t="n">
        <x:v>56.37</x:v>
      </x:c>
      <x:c r="E295" s="26" t="str">
        <x:v>反推假设：54lb、Zone2（账单Zone2）。
标准运费29.37×61%≈17.92
＋假设折后附加费23.00
＋燃油(17.92＋23.00)×25.25%≈10.33
＝预估承运成本51.25
按既有收费规则折算→预付56.38；与原预付差+0.01。</x:v>
      </x:c>
      <x:c r="F295" s="43" t="n">
        <x:v>56.38</x:v>
      </x:c>
      <x:c r="G295" s="43" t="n">
        <x:f>F295-D295</x:f>
        <x:v>0.010000000000005116</x:v>
      </x:c>
      <x:c r="H295" s="26" t="str">
        <x:v>运输费32.08
−折扣12.51
＋Add'l Handling-Weight 23.00
＋燃油10.75
＝承运净额53.32
账单实收58.652（按既有收费规则）</x:v>
      </x:c>
      <x:c r="I295" s="43" t="n">
        <x:v>53.32</x:v>
      </x:c>
      <x:c r="J295" s="43" t="n">
        <x:v>58.652</x:v>
      </x:c>
      <x:c r="K295" s="43" t="n">
        <x:f>J295-D295</x:f>
        <x:v>2.2820000000000036</x:v>
      </x:c>
      <x:c r="L295" s="26" t="str">
        <x:v>实际比预估重8.90lb，需核对称重与申报。</x:v>
      </x:c>
      <x:c r="M295" s="26" t="str">
        <x:v>账单已对账；预付试算接近（差≤0.15）</x:v>
      </x:c>
      <x:c r="N295" s="26" t="str">
        <x:v>20260702</x:v>
      </x:c>
      <x:c r="O295" s="26" t="n">
        <x:v>2</x:v>
      </x:c>
      <x:c r="P295" s="31" t="n">
        <x:v>53.39595990117734</x:v>
      </x:c>
      <x:c r="Q295" s="31" t="n">
        <x:v>62.3</x:v>
      </x:c>
      <x:c r="R295" s="26" t="n">
        <x:v>63</x:v>
      </x:c>
      <x:c r="S295" s="26" t="n">
        <x:v>166</x:v>
      </x:c>
      <x:c r="T295" s="43" t="n">
        <x:v>32.08</x:v>
      </x:c>
      <x:c r="U295" s="43" t="n">
        <x:v>-12.51</x:v>
      </x:c>
      <x:c r="V295" s="43" t="n">
        <x:v>23</x:v>
      </x:c>
      <x:c r="W295" s="43" t="n">
        <x:v>10.75</x:v>
      </x:c>
      <x:c r="X295" s="44" t="n">
        <x:v>0.2525</x:v>
      </x:c>
      <x:c r="Y295" s="30" t="b">
        <x:v>0</x:v>
      </x:c>
      <x:c r="Z295" s="26" t="n">
        <x:v>2</x:v>
      </x:c>
      <x:c r="AA295" s="26" t="n">
        <x:v>54</x:v>
      </x:c>
      <x:c r="AB295" s="26" t="n">
        <x:v>239</x:v>
      </x:c>
      <x:c r="AC295" s="43" t="n">
        <x:v>56.38</x:v>
      </x:c>
    </x:row>
    <x:row r="296" ht="135" customHeight="1">
      <x:c r="A296" s="26" t="n">
        <x:v>295</x:v>
      </x:c>
      <x:c r="B296" s="26" t="str">
        <x:v>873236800602</x:v>
      </x:c>
      <x:c r="C296" s="26" t="str">
        <x:v>AC180</x:v>
      </x:c>
      <x:c r="D296" s="43" t="n">
        <x:v>36.73</x:v>
      </x:c>
      <x:c r="E296" s="26" t="str">
        <x:v>反推假设：38lb、Zone5（账单Zone5）。
标准运费43.44×61%≈26.50
＋假设折后附加费0.00
＋燃油(26.50＋0.00)×25.25%≈6.69
＝预估承运成本33.19
按既有收费规则折算→预付36.51；与原预付差-0.22。</x:v>
      </x:c>
      <x:c r="F296" s="43" t="n">
        <x:v>36.51</x:v>
      </x:c>
      <x:c r="G296" s="43" t="n">
        <x:f>F296-D296</x:f>
        <x:v>-0.21999999999999886</x:v>
      </x:c>
      <x:c r="H296" s="26" t="str">
        <x:v>运输费46.39
−折扣18.09
＋燃油7.15
＝承运净额35.45
账单实收38.995（按既有收费规则）</x:v>
      </x:c>
      <x:c r="I296" s="43" t="n">
        <x:v>35.45</x:v>
      </x:c>
      <x:c r="J296" s="43" t="n">
        <x:v>38.995</x:v>
      </x:c>
      <x:c r="K296" s="43" t="n">
        <x:f>J296-D296</x:f>
        <x:v>2.2650000000000006</x:v>
      </x:c>
      <x:c r="L296" s="26" t="str">
        <x:v>试算偏差较大：缺原始报价/折扣/尺寸，不能强行归因。</x:v>
      </x:c>
      <x:c r="M296" s="26" t="str">
        <x:v>账单已对账；现有假设未还原预付</x:v>
      </x:c>
      <x:c r="N296" s="26" t="str">
        <x:v>20260702</x:v>
      </x:c>
      <x:c r="O296" s="26" t="n">
        <x:v>5</x:v>
      </x:c>
      <x:c r="P296" s="31" t="n">
        <x:v>37.98564777445441</x:v>
      </x:c>
      <x:c r="Q296" s="31" t="n">
        <x:v>40.5</x:v>
      </x:c>
      <x:c r="R296" s="26" t="n">
        <x:v>41</x:v>
      </x:c>
      <x:c r="S296" s="26" t="n">
        <x:v>166</x:v>
      </x:c>
      <x:c r="T296" s="43" t="n">
        <x:v>46.39</x:v>
      </x:c>
      <x:c r="U296" s="43" t="n">
        <x:v>-18.09</x:v>
      </x:c>
      <x:c r="V296" s="43" t="n">
        <x:v>0</x:v>
      </x:c>
      <x:c r="W296" s="43" t="n">
        <x:v>7.15</x:v>
      </x:c>
      <x:c r="X296" s="44" t="n">
        <x:v>0.2525</x:v>
      </x:c>
      <x:c r="Y296" s="30" t="b">
        <x:v>0</x:v>
      </x:c>
      <x:c r="Z296" s="26" t="n">
        <x:v>5</x:v>
      </x:c>
      <x:c r="AA296" s="26" t="n">
        <x:v>38</x:v>
      </x:c>
      <x:c r="AB296" s="26" t="n">
        <x:v>212</x:v>
      </x:c>
      <x:c r="AC296" s="43" t="n">
        <x:v>36.51</x:v>
      </x:c>
    </x:row>
    <x:row r="297" ht="135" customHeight="1">
      <x:c r="A297" s="26" t="n">
        <x:v>296</x:v>
      </x:c>
      <x:c r="B297" s="26" t="str">
        <x:v>874657686413</x:v>
      </x:c>
      <x:c r="C297" s="26" t="str">
        <x:v>AC180</x:v>
      </x:c>
      <x:c r="D297" s="43" t="n">
        <x:v>45.03</x:v>
      </x:c>
      <x:c r="E297" s="26" t="str">
        <x:v>缺核对明细，无法重建预付；原预付仅按基础表保留。</x:v>
      </x:c>
      <x:c r="F297" s="43"/>
      <x:c r="G297" s="43"/>
      <x:c r="H297" s="26" t="str">
        <x:v>缺原始核对明细，无法拆分。</x:v>
      </x:c>
      <x:c r="I297" s="43"/>
      <x:c r="J297" s="43" t="n">
        <x:v>47.267</x:v>
      </x:c>
      <x:c r="K297" s="43" t="n">
        <x:f>J297-D297</x:f>
        <x:v>2.237000000000002</x:v>
      </x:c>
      <x:c r="L297" s="26" t="str">
        <x:v>核对表无唯一匹配费用明细，无法确认差距原因；需补原始FedEx账单。</x:v>
      </x:c>
      <x:c r="M297" s="26" t="str">
        <x:v>缺核对明细，原因未确认</x:v>
      </x:c>
      <x:c r="N297" s="26"/>
      <x:c r="O297" s="26"/>
      <x:c r="P297" s="31"/>
      <x:c r="Q297" s="31"/>
      <x:c r="R297" s="26"/>
      <x:c r="S297" s="26"/>
      <x:c r="T297" s="43"/>
      <x:c r="U297" s="43"/>
      <x:c r="V297" s="43"/>
      <x:c r="W297" s="43"/>
      <x:c r="X297" s="44"/>
      <x:c r="Y297" s="26"/>
      <x:c r="Z297" s="26"/>
      <x:c r="AA297" s="26"/>
      <x:c r="AB297" s="26"/>
      <x:c r="AC297" s="43"/>
    </x:row>
    <x:row r="298" ht="135" customHeight="1">
      <x:c r="A298" s="26" t="n">
        <x:v>297</x:v>
      </x:c>
      <x:c r="B298" s="26" t="str">
        <x:v>873601492219</x:v>
      </x:c>
      <x:c r="C298" s="26" t="str">
        <x:v>EL100V2</x:v>
      </x:c>
      <x:c r="D298" s="43" t="n">
        <x:v>46.88</x:v>
      </x:c>
      <x:c r="E298" s="26" t="str">
        <x:v>反推假设：27lb、Zone8（账单Zone8）。
标准运费55.65×61%≈33.95
＋假设折后附加费0.00
＋燃油(33.95＋0.00)×25.50%≈8.66
＝预估承运成本42.61
按既有收费规则折算→预付46.87；与原预付差-0.01。</x:v>
      </x:c>
      <x:c r="F298" s="43" t="n">
        <x:v>46.87</x:v>
      </x:c>
      <x:c r="G298" s="43" t="n">
        <x:f>F298-D298</x:f>
        <x:v>-0.010000000000005116</x:v>
      </x:c>
      <x:c r="H298" s="26" t="str">
        <x:v>运输费58.32
−折扣22.74
＋燃油9.07
＝承运净额44.65
账单实收49.115（按既有收费规则）</x:v>
      </x:c>
      <x:c r="I298" s="43" t="n">
        <x:v>44.65</x:v>
      </x:c>
      <x:c r="J298" s="43" t="n">
        <x:v>49.115</x:v>
      </x:c>
      <x:c r="K298" s="43" t="n">
        <x:f>J298-D298</x:f>
        <x:v>2.2349999999999994</x:v>
      </x:c>
      <x:c r="L298" s="26" t="str">
        <x:v>未发现单一共同原因，需核验报价费率、原尺寸及原发票。</x:v>
      </x:c>
      <x:c r="M298" s="26" t="str">
        <x:v>账单已对账；预付试算接近（差≤0.15）</x:v>
      </x:c>
      <x:c r="N298" s="26" t="str">
        <x:v>20260627</x:v>
      </x:c>
      <x:c r="O298" s="26" t="n">
        <x:v>8</x:v>
      </x:c>
      <x:c r="P298" s="31" t="n">
        <x:v>26.455471462185308</x:v>
      </x:c>
      <x:c r="Q298" s="31" t="n">
        <x:v>27.9</x:v>
      </x:c>
      <x:c r="R298" s="26" t="n">
        <x:v>28</x:v>
      </x:c>
      <x:c r="S298" s="26" t="n">
        <x:v>166</x:v>
      </x:c>
      <x:c r="T298" s="43" t="n">
        <x:v>58.32</x:v>
      </x:c>
      <x:c r="U298" s="43" t="n">
        <x:v>-22.74</x:v>
      </x:c>
      <x:c r="V298" s="43" t="n">
        <x:v>0</x:v>
      </x:c>
      <x:c r="W298" s="43" t="n">
        <x:v>9.07</x:v>
      </x:c>
      <x:c r="X298" s="44" t="n">
        <x:v>0.255</x:v>
      </x:c>
      <x:c r="Y298" s="30" t="b">
        <x:v>0</x:v>
      </x:c>
      <x:c r="Z298" s="26" t="n">
        <x:v>8</x:v>
      </x:c>
      <x:c r="AA298" s="26" t="n">
        <x:v>27</x:v>
      </x:c>
      <x:c r="AB298" s="26" t="n">
        <x:v>222</x:v>
      </x:c>
      <x:c r="AC298" s="43" t="n">
        <x:v>46.87</x:v>
      </x:c>
    </x:row>
    <x:row r="299" ht="135" customHeight="1">
      <x:c r="A299" s="26" t="n">
        <x:v>298</x:v>
      </x:c>
      <x:c r="B299" s="26" t="str">
        <x:v>874897403844</x:v>
      </x:c>
      <x:c r="C299" s="26" t="str">
        <x:v>EL100V2</x:v>
      </x:c>
      <x:c r="D299" s="43" t="n">
        <x:v>20.32</x:v>
      </x:c>
      <x:c r="E299" s="26" t="str">
        <x:v>缺核对明细，无法重建预付；原预付仅按基础表保留。</x:v>
      </x:c>
      <x:c r="F299" s="43"/>
      <x:c r="G299" s="43"/>
      <x:c r="H299" s="26" t="str">
        <x:v>缺原始核对明细，无法拆分。</x:v>
      </x:c>
      <x:c r="I299" s="43"/>
      <x:c r="J299" s="43" t="n">
        <x:v>22.55</x:v>
      </x:c>
      <x:c r="K299" s="43" t="n">
        <x:f>J299-D299</x:f>
        <x:v>2.2300000000000004</x:v>
      </x:c>
      <x:c r="L299" s="26" t="str">
        <x:v>核对表无唯一匹配费用明细，无法确认差距原因；需补原始FedEx账单。</x:v>
      </x:c>
      <x:c r="M299" s="26" t="str">
        <x:v>缺核对明细，原因未确认</x:v>
      </x:c>
      <x:c r="N299" s="26"/>
      <x:c r="O299" s="26"/>
      <x:c r="P299" s="31"/>
      <x:c r="Q299" s="31"/>
      <x:c r="R299" s="26"/>
      <x:c r="S299" s="26"/>
      <x:c r="T299" s="43"/>
      <x:c r="U299" s="43"/>
      <x:c r="V299" s="43"/>
      <x:c r="W299" s="43"/>
      <x:c r="X299" s="44"/>
      <x:c r="Y299" s="26"/>
      <x:c r="Z299" s="26"/>
      <x:c r="AA299" s="26"/>
      <x:c r="AB299" s="26"/>
      <x:c r="AC299" s="43"/>
    </x:row>
    <x:row r="300" ht="135" customHeight="1">
      <x:c r="A300" s="26" t="n">
        <x:v>299</x:v>
      </x:c>
      <x:c r="B300" s="26" t="str">
        <x:v>874660302430</x:v>
      </x:c>
      <x:c r="C300" s="26"/>
      <x:c r="D300" s="43" t="n">
        <x:v>23.06</x:v>
      </x:c>
      <x:c r="E300" s="26" t="str">
        <x:v>反推假设：27lb、Zone4（账单Zone4）。
标准运费27.45×61%≈16.74
＋假设折后附加费0.00
＋燃油(16.74＋0.00)×25.25%≈4.23
＝预估承运成本20.97
按既有收费规则折算→预付23.07；与原预付差+0.01。</x:v>
      </x:c>
      <x:c r="F300" s="43" t="n">
        <x:v>23.07</x:v>
      </x:c>
      <x:c r="G300" s="43" t="n">
        <x:f>F300-D300</x:f>
        <x:v>0.010000000000001563</x:v>
      </x:c>
      <x:c r="H300" s="26" t="str">
        <x:v>运输费30.08
−折扣11.73
＋燃油4.63
＝承运净额22.98
账单实收25.278（按既有收费规则）</x:v>
      </x:c>
      <x:c r="I300" s="43" t="n">
        <x:v>22.98</x:v>
      </x:c>
      <x:c r="J300" s="43" t="n">
        <x:v>25.278</x:v>
      </x:c>
      <x:c r="K300" s="43" t="n">
        <x:f>J300-D300</x:f>
        <x:v>2.218</x:v>
      </x:c>
      <x:c r="L300" s="26" t="str">
        <x:v>未发现单一共同原因，需核验报价费率、原尺寸及原发票。</x:v>
      </x:c>
      <x:c r="M300" s="26" t="str">
        <x:v>账单已对账；预付试算接近（差≤0.15）</x:v>
      </x:c>
      <x:c r="N300" s="26" t="str">
        <x:v>20260723</x:v>
      </x:c>
      <x:c r="O300" s="26" t="n">
        <x:v>4</x:v>
      </x:c>
      <x:c r="P300" s="31" t="n">
        <x:v>26.455471462185308</x:v>
      </x:c>
      <x:c r="Q300" s="31" t="n">
        <x:v>29.9</x:v>
      </x:c>
      <x:c r="R300" s="26" t="n">
        <x:v>30</x:v>
      </x:c>
      <x:c r="S300" s="26" t="n">
        <x:v>166</x:v>
      </x:c>
      <x:c r="T300" s="43" t="n">
        <x:v>30.08</x:v>
      </x:c>
      <x:c r="U300" s="43" t="n">
        <x:v>-11.73</x:v>
      </x:c>
      <x:c r="V300" s="43" t="n">
        <x:v>0</x:v>
      </x:c>
      <x:c r="W300" s="43" t="n">
        <x:v>4.63</x:v>
      </x:c>
      <x:c r="X300" s="44" t="n">
        <x:v>0.2525</x:v>
      </x:c>
      <x:c r="Y300" s="30" t="b">
        <x:v>0</x:v>
      </x:c>
      <x:c r="Z300" s="26" t="n">
        <x:v>4</x:v>
      </x:c>
      <x:c r="AA300" s="26" t="n">
        <x:v>27</x:v>
      </x:c>
      <x:c r="AB300" s="26" t="n">
        <x:v>530</x:v>
      </x:c>
      <x:c r="AC300" s="43" t="n">
        <x:v>23.07</x:v>
      </x:c>
    </x:row>
    <x:row r="301" ht="135" customHeight="1">
      <x:c r="A301" s="26" t="n">
        <x:v>300</x:v>
      </x:c>
      <x:c r="B301" s="26" t="str">
        <x:v>873651184982</x:v>
      </x:c>
      <x:c r="C301" s="26" t="str">
        <x:v>AC50B</x:v>
      </x:c>
      <x:c r="D301" s="43" t="n">
        <x:v>17.75</x:v>
      </x:c>
      <x:c r="E301" s="26" t="str">
        <x:v>反推假设：13lb、Zone5（账单Zone4）。
标准运费21.69×61%≈13.23
＋假设折后附加费0.00
＋燃油(13.23＋0.00)×25.50%≈3.37
＝预估承运成本16.60
按既有收费规则折算→预付18.26；与原预付差+0.51。</x:v>
      </x:c>
      <x:c r="F301" s="43" t="n">
        <x:v>18.26</x:v>
      </x:c>
      <x:c r="G301" s="43" t="n">
        <x:f>F301-D301</x:f>
        <x:v>0.5100000000000016</x:v>
      </x:c>
      <x:c r="H301" s="26" t="str">
        <x:v>运输费22.21
−折扣7.77
＋燃油3.68
＝承运净额18.12
账单实收19.932（按既有收费规则）</x:v>
      </x:c>
      <x:c r="I301" s="43" t="n">
        <x:v>18.12</x:v>
      </x:c>
      <x:c r="J301" s="43" t="n">
        <x:v>19.932</x:v>
      </x:c>
      <x:c r="K301" s="43" t="n">
        <x:f>J301-D301</x:f>
        <x:v>2.1819999999999986</x:v>
      </x:c>
      <x:c r="L301" s="26" t="str">
        <x:v>实际比预估重5.61lb，需核对称重与申报。
预付反推Zone5，最终Zone4；不代表分区错误，需查原邮编与合同。
试算偏差较大：缺原始报价/折扣/尺寸，不能强行归因。</x:v>
      </x:c>
      <x:c r="M301" s="26" t="str">
        <x:v>账单已对账；现有假设未还原预付</x:v>
      </x:c>
      <x:c r="N301" s="26" t="str">
        <x:v>20260627</x:v>
      </x:c>
      <x:c r="O301" s="26" t="n">
        <x:v>4</x:v>
      </x:c>
      <x:c r="P301" s="31" t="n">
        <x:v>12.985227242689287</x:v>
      </x:c>
      <x:c r="Q301" s="31" t="n">
        <x:v>18.6</x:v>
      </x:c>
      <x:c r="R301" s="26" t="n">
        <x:v>19</x:v>
      </x:c>
      <x:c r="S301" s="26" t="n">
        <x:v>166</x:v>
      </x:c>
      <x:c r="T301" s="43" t="n">
        <x:v>22.21</x:v>
      </x:c>
      <x:c r="U301" s="43" t="n">
        <x:v>-7.77</x:v>
      </x:c>
      <x:c r="V301" s="43" t="n">
        <x:v>0</x:v>
      </x:c>
      <x:c r="W301" s="43" t="n">
        <x:v>3.68</x:v>
      </x:c>
      <x:c r="X301" s="44" t="n">
        <x:v>0.255</x:v>
      </x:c>
      <x:c r="Y301" s="30" t="b">
        <x:v>0</x:v>
      </x:c>
      <x:c r="Z301" s="26" t="n">
        <x:v>5</x:v>
      </x:c>
      <x:c r="AA301" s="26" t="n">
        <x:v>13</x:v>
      </x:c>
      <x:c r="AB301" s="26" t="n">
        <x:v>178</x:v>
      </x:c>
      <x:c r="AC301" s="43" t="n">
        <x:v>16.65</x:v>
      </x:c>
    </x:row>
    <x:row r="302" ht="135" customHeight="1">
      <x:c r="A302" s="26" t="n">
        <x:v>301</x:v>
      </x:c>
      <x:c r="B302" s="26" t="str">
        <x:v>874401213522</x:v>
      </x:c>
      <x:c r="C302" s="26" t="str">
        <x:v>EL100V2</x:v>
      </x:c>
      <x:c r="D302" s="43" t="n">
        <x:v>20.7</x:v>
      </x:c>
      <x:c r="E302" s="26" t="str">
        <x:v>反推假设：23lb、Zone4（账单Zone3）。
标准运费24.68×61%≈15.05
＋假设折后附加费0.00
＋燃油(15.05＋0.00)×25.00%≈3.76
＝预估承运成本18.81
按既有收费规则折算→预付20.69；与原预付差-0.01。</x:v>
      </x:c>
      <x:c r="F302" s="43" t="n">
        <x:v>20.69</x:v>
      </x:c>
      <x:c r="G302" s="43" t="n">
        <x:f>F302-D302</x:f>
        <x:v>-0.00999999999999801</x:v>
      </x:c>
      <x:c r="H302" s="26" t="str">
        <x:v>运输费27.25
−折扣10.63
＋燃油4.16
＝承运净额20.78
账单实收22.858（按既有收费规则）</x:v>
      </x:c>
      <x:c r="I302" s="43" t="n">
        <x:v>20.78</x:v>
      </x:c>
      <x:c r="J302" s="43" t="n">
        <x:v>22.858</x:v>
      </x:c>
      <x:c r="K302" s="43" t="n">
        <x:f>J302-D302</x:f>
        <x:v>2.1580000000000013</x:v>
      </x:c>
      <x:c r="L302" s="26" t="str">
        <x:v>实际比预估重6.81lb，需核对称重与申报。
预付反推Zone4，最终Zone3；不代表分区错误，需查原邮编与合同。</x:v>
      </x:c>
      <x:c r="M302" s="26" t="str">
        <x:v>账单已对账；预付试算接近（差≤0.15）</x:v>
      </x:c>
      <x:c r="N302" s="26" t="str">
        <x:v>20260715</x:v>
      </x:c>
      <x:c r="O302" s="26" t="n">
        <x:v>3</x:v>
      </x:c>
      <x:c r="P302" s="31" t="n">
        <x:v>22.99421394588273</x:v>
      </x:c>
      <x:c r="Q302" s="31" t="n">
        <x:v>29.8</x:v>
      </x:c>
      <x:c r="R302" s="26" t="n">
        <x:v>30</x:v>
      </x:c>
      <x:c r="S302" s="26" t="n">
        <x:v>166</x:v>
      </x:c>
      <x:c r="T302" s="43" t="n">
        <x:v>27.25</x:v>
      </x:c>
      <x:c r="U302" s="43" t="n">
        <x:v>-10.63</x:v>
      </x:c>
      <x:c r="V302" s="43" t="n">
        <x:v>0</x:v>
      </x:c>
      <x:c r="W302" s="43" t="n">
        <x:v>4.16</x:v>
      </x:c>
      <x:c r="X302" s="44" t="n">
        <x:v>0.25</x:v>
      </x:c>
      <x:c r="Y302" s="30" t="b">
        <x:v>0</x:v>
      </x:c>
      <x:c r="Z302" s="26" t="n">
        <x:v>4</x:v>
      </x:c>
      <x:c r="AA302" s="26" t="n">
        <x:v>23</x:v>
      </x:c>
      <x:c r="AB302" s="26" t="n">
        <x:v>423</x:v>
      </x:c>
      <x:c r="AC302" s="43" t="n">
        <x:v>19.35</x:v>
      </x:c>
    </x:row>
    <x:row r="303" ht="135" customHeight="1">
      <x:c r="A303" s="26" t="n">
        <x:v>302</x:v>
      </x:c>
      <x:c r="B303" s="26" t="str">
        <x:v>874653084452</x:v>
      </x:c>
      <x:c r="C303" s="26" t="str">
        <x:v>EL100V2</x:v>
      </x:c>
      <x:c r="D303" s="43" t="n">
        <x:v>20.24</x:v>
      </x:c>
      <x:c r="E303" s="26" t="str">
        <x:v>反推假设：25lb、Zone3（账单Zone3）。
标准运费24.09×61%≈14.69
＋假设折后附加费0.00
＋燃油(14.69＋0.00)×25.25%≈3.71
＝预估承运成本18.40
按既有收费规则折算→预付20.24；与原预付差+0.00。</x:v>
      </x:c>
      <x:c r="F303" s="43" t="n">
        <x:v>20.24</x:v>
      </x:c>
      <x:c r="G303" s="43" t="n">
        <x:f>F303-D303</x:f>
        <x:v>0</x:v>
      </x:c>
      <x:c r="H303" s="26" t="str">
        <x:v>运输费26.62
−折扣10.38
＋燃油4.10
＝承运净额20.34
账单实收22.374（按既有收费规则）</x:v>
      </x:c>
      <x:c r="I303" s="43" t="n">
        <x:v>20.34</x:v>
      </x:c>
      <x:c r="J303" s="43" t="n">
        <x:v>22.374</x:v>
      </x:c>
      <x:c r="K303" s="43" t="n">
        <x:f>J303-D303</x:f>
        <x:v>2.1340000000000003</x:v>
      </x:c>
      <x:c r="L303" s="26" t="str">
        <x:v>未发现单一共同原因，需核验报价费率、原尺寸及原发票。</x:v>
      </x:c>
      <x:c r="M303" s="26" t="str">
        <x:v>账单已对账；预付试算接近（差≤0.15）</x:v>
      </x:c>
      <x:c r="N303" s="26" t="str">
        <x:v>20260721</x:v>
      </x:c>
      <x:c r="O303" s="26" t="n">
        <x:v>3</x:v>
      </x:c>
      <x:c r="P303" s="31" t="n">
        <x:v>25.000420531765116</x:v>
      </x:c>
      <x:c r="Q303" s="31" t="n">
        <x:v>28.4</x:v>
      </x:c>
      <x:c r="R303" s="26" t="n">
        <x:v>29</x:v>
      </x:c>
      <x:c r="S303" s="26" t="n">
        <x:v>166</x:v>
      </x:c>
      <x:c r="T303" s="43" t="n">
        <x:v>26.62</x:v>
      </x:c>
      <x:c r="U303" s="43" t="n">
        <x:v>-10.38</x:v>
      </x:c>
      <x:c r="V303" s="43" t="n">
        <x:v>0</x:v>
      </x:c>
      <x:c r="W303" s="43" t="n">
        <x:v>4.1</x:v>
      </x:c>
      <x:c r="X303" s="44" t="n">
        <x:v>0.2525</x:v>
      </x:c>
      <x:c r="Y303" s="30" t="b">
        <x:v>0</x:v>
      </x:c>
      <x:c r="Z303" s="26" t="n">
        <x:v>3</x:v>
      </x:c>
      <x:c r="AA303" s="26" t="n">
        <x:v>25</x:v>
      </x:c>
      <x:c r="AB303" s="26" t="n">
        <x:v>506</x:v>
      </x:c>
      <x:c r="AC303" s="43" t="n">
        <x:v>20.24</x:v>
      </x:c>
    </x:row>
    <x:row r="304" ht="135" customHeight="1">
      <x:c r="A304" s="26" t="n">
        <x:v>303</x:v>
      </x:c>
      <x:c r="B304" s="26" t="str">
        <x:v>874409838052</x:v>
      </x:c>
      <x:c r="C304" s="26" t="str">
        <x:v>EL100V2</x:v>
      </x:c>
      <x:c r="D304" s="43" t="n">
        <x:v>20.2</x:v>
      </x:c>
      <x:c r="E304" s="26" t="str">
        <x:v>反推假设：25lb、Zone3（账单Zone3）。
标准运费24.09×61%≈14.69
＋假设折后附加费0.00
＋燃油(14.69＋0.00)×25.00%≈3.67
＝预估承运成本18.36
按既有收费规则折算→预付20.20；与原预付差+0.00。</x:v>
      </x:c>
      <x:c r="F304" s="43" t="n">
        <x:v>20.2</x:v>
      </x:c>
      <x:c r="G304" s="43" t="n">
        <x:f>F304-D304</x:f>
        <x:v>0</x:v>
      </x:c>
      <x:c r="H304" s="26" t="str">
        <x:v>运输费26.62
−折扣10.38
＋燃油4.06
＝承运净额20.30
账单实收22.330（按既有收费规则）</x:v>
      </x:c>
      <x:c r="I304" s="43" t="n">
        <x:v>20.3</x:v>
      </x:c>
      <x:c r="J304" s="43" t="n">
        <x:v>22.33</x:v>
      </x:c>
      <x:c r="K304" s="43" t="n">
        <x:f>J304-D304</x:f>
        <x:v>2.129999999999999</x:v>
      </x:c>
      <x:c r="L304" s="26" t="str">
        <x:v>未发现单一共同原因，需核验报价费率、原尺寸及原发票。</x:v>
      </x:c>
      <x:c r="M304" s="26" t="str">
        <x:v>账单已对账；预付试算接近（差≤0.15）</x:v>
      </x:c>
      <x:c r="N304" s="26" t="str">
        <x:v>20260716</x:v>
      </x:c>
      <x:c r="O304" s="26" t="n">
        <x:v>3</x:v>
      </x:c>
      <x:c r="P304" s="31" t="n">
        <x:v>25.000420531765116</x:v>
      </x:c>
      <x:c r="Q304" s="31" t="n">
        <x:v>28.2</x:v>
      </x:c>
      <x:c r="R304" s="26" t="n">
        <x:v>29</x:v>
      </x:c>
      <x:c r="S304" s="26" t="n">
        <x:v>166</x:v>
      </x:c>
      <x:c r="T304" s="43" t="n">
        <x:v>26.62</x:v>
      </x:c>
      <x:c r="U304" s="43" t="n">
        <x:v>-10.38</x:v>
      </x:c>
      <x:c r="V304" s="43" t="n">
        <x:v>0</x:v>
      </x:c>
      <x:c r="W304" s="43" t="n">
        <x:v>4.06</x:v>
      </x:c>
      <x:c r="X304" s="44" t="n">
        <x:v>0.25</x:v>
      </x:c>
      <x:c r="Y304" s="30" t="b">
        <x:v>0</x:v>
      </x:c>
      <x:c r="Z304" s="26" t="n">
        <x:v>3</x:v>
      </x:c>
      <x:c r="AA304" s="26" t="n">
        <x:v>25</x:v>
      </x:c>
      <x:c r="AB304" s="26" t="n">
        <x:v>426</x:v>
      </x:c>
      <x:c r="AC304" s="43" t="n">
        <x:v>20.2</x:v>
      </x:c>
    </x:row>
    <x:row r="305" ht="135" customHeight="1">
      <x:c r="A305" s="26" t="n">
        <x:v>304</x:v>
      </x:c>
      <x:c r="B305" s="26" t="str">
        <x:v>874586407410</x:v>
      </x:c>
      <x:c r="C305" s="26" t="str">
        <x:v>AC180</x:v>
      </x:c>
      <x:c r="D305" s="43" t="n">
        <x:v>21.77</x:v>
      </x:c>
      <x:c r="E305" s="26" t="str">
        <x:v>反推假设：38lb、Zone2（账单Zone2）。
标准运费25.90×61%≈15.80
＋假设折后附加费0.00
＋燃油(15.80＋0.00)×25.25%≈3.99
＝预估承运成本19.79
按既有收费规则折算→预付21.77；与原预付差+0.00。</x:v>
      </x:c>
      <x:c r="F305" s="43" t="n">
        <x:v>21.77</x:v>
      </x:c>
      <x:c r="G305" s="43" t="n">
        <x:f>F305-D305</x:f>
        <x:v>0</x:v>
      </x:c>
      <x:c r="H305" s="26" t="str">
        <x:v>运输费28.36
−折扣11.06
＋燃油4.37
＝承运净额21.67
账单实收23.837（按既有收费规则）</x:v>
      </x:c>
      <x:c r="I305" s="43" t="n">
        <x:v>21.67</x:v>
      </x:c>
      <x:c r="J305" s="43" t="n">
        <x:v>23.837</x:v>
      </x:c>
      <x:c r="K305" s="43" t="n">
        <x:f>J305-D305</x:f>
        <x:v>2.067</x:v>
      </x:c>
      <x:c r="L305" s="26" t="str">
        <x:v>实际比预估重6.71lb，需核对称重与申报。</x:v>
      </x:c>
      <x:c r="M305" s="26" t="str">
        <x:v>账单已对账；预付试算接近（差≤0.15）</x:v>
      </x:c>
      <x:c r="N305" s="26" t="str">
        <x:v>20260720</x:v>
      </x:c>
      <x:c r="O305" s="26" t="n">
        <x:v>2</x:v>
      </x:c>
      <x:c r="P305" s="31" t="n">
        <x:v>37.98564777445441</x:v>
      </x:c>
      <x:c r="Q305" s="31" t="n">
        <x:v>44.7</x:v>
      </x:c>
      <x:c r="R305" s="26" t="n">
        <x:v>45</x:v>
      </x:c>
      <x:c r="S305" s="26" t="n">
        <x:v>166</x:v>
      </x:c>
      <x:c r="T305" s="43" t="n">
        <x:v>28.36</x:v>
      </x:c>
      <x:c r="U305" s="43" t="n">
        <x:v>-11.06</x:v>
      </x:c>
      <x:c r="V305" s="43" t="n">
        <x:v>0</x:v>
      </x:c>
      <x:c r="W305" s="43" t="n">
        <x:v>4.37</x:v>
      </x:c>
      <x:c r="X305" s="44" t="n">
        <x:v>0.2525</x:v>
      </x:c>
      <x:c r="Y305" s="30" t="b">
        <x:v>0</x:v>
      </x:c>
      <x:c r="Z305" s="26" t="n">
        <x:v>2</x:v>
      </x:c>
      <x:c r="AA305" s="26" t="n">
        <x:v>38</x:v>
      </x:c>
      <x:c r="AB305" s="26" t="n">
        <x:v>462</x:v>
      </x:c>
      <x:c r="AC305" s="43" t="n">
        <x:v>21.77</x:v>
      </x:c>
    </x:row>
    <x:row r="306" ht="135" customHeight="1">
      <x:c r="A306" s="26" t="n">
        <x:v>305</x:v>
      </x:c>
      <x:c r="B306" s="26" t="str">
        <x:v>873855911898</x:v>
      </x:c>
      <x:c r="C306" s="26" t="str">
        <x:v>AC180P</x:v>
      </x:c>
      <x:c r="D306" s="43" t="n">
        <x:v>21.77</x:v>
      </x:c>
      <x:c r="E306" s="26" t="str">
        <x:v>反推假设：38lb、Zone2（账单Zone2）。
标准运费25.90×61%≈15.80
＋假设折后附加费0.00
＋燃油(15.80＋0.00)×25.25%≈3.99
＝预估承运成本19.79
按既有收费规则折算→预付21.77；与原预付差+0.00。</x:v>
      </x:c>
      <x:c r="F306" s="43" t="n">
        <x:v>21.77</x:v>
      </x:c>
      <x:c r="G306" s="43" t="n">
        <x:f>F306-D306</x:f>
        <x:v>0</x:v>
      </x:c>
      <x:c r="H306" s="26" t="str">
        <x:v>运输费28.30
−折扣11.04
＋燃油4.36
＝承运净额21.62
账单实收23.782（按既有收费规则）</x:v>
      </x:c>
      <x:c r="I306" s="43" t="n">
        <x:v>21.62</x:v>
      </x:c>
      <x:c r="J306" s="43" t="n">
        <x:v>23.782</x:v>
      </x:c>
      <x:c r="K306" s="43" t="n">
        <x:f>J306-D306</x:f>
        <x:v>2.0120000000000005</x:v>
      </x:c>
      <x:c r="L306" s="26" t="str">
        <x:v>实际比预估重5.11lb，需核对称重与申报。</x:v>
      </x:c>
      <x:c r="M306" s="26" t="str">
        <x:v>账单已对账；预付试算接近（差≤0.15）</x:v>
      </x:c>
      <x:c r="N306" s="26" t="str">
        <x:v>20260702</x:v>
      </x:c>
      <x:c r="O306" s="26" t="n">
        <x:v>2</x:v>
      </x:c>
      <x:c r="P306" s="31" t="n">
        <x:v>37.98564777445441</x:v>
      </x:c>
      <x:c r="Q306" s="31" t="n">
        <x:v>43.1</x:v>
      </x:c>
      <x:c r="R306" s="26" t="n">
        <x:v>44</x:v>
      </x:c>
      <x:c r="S306" s="26" t="n">
        <x:v>166</x:v>
      </x:c>
      <x:c r="T306" s="43" t="n">
        <x:v>28.3</x:v>
      </x:c>
      <x:c r="U306" s="43" t="n">
        <x:v>-11.04</x:v>
      </x:c>
      <x:c r="V306" s="43" t="n">
        <x:v>0</x:v>
      </x:c>
      <x:c r="W306" s="43" t="n">
        <x:v>4.36</x:v>
      </x:c>
      <x:c r="X306" s="44" t="n">
        <x:v>0.2525</x:v>
      </x:c>
      <x:c r="Y306" s="30" t="b">
        <x:v>0</x:v>
      </x:c>
      <x:c r="Z306" s="26" t="n">
        <x:v>2</x:v>
      </x:c>
      <x:c r="AA306" s="26" t="n">
        <x:v>38</x:v>
      </x:c>
      <x:c r="AB306" s="26" t="n">
        <x:v>242</x:v>
      </x:c>
      <x:c r="AC306" s="43" t="n">
        <x:v>21.77</x:v>
      </x:c>
    </x:row>
    <x:row r="307" ht="135" customHeight="1">
      <x:c r="A307" s="26" t="n">
        <x:v>306</x:v>
      </x:c>
      <x:c r="B307" s="26" t="str">
        <x:v>874961321496</x:v>
      </x:c>
      <x:c r="C307" s="26" t="str">
        <x:v>AC50B</x:v>
      </x:c>
      <x:c r="D307" s="43" t="n">
        <x:v>17.4</x:v>
      </x:c>
      <x:c r="E307" s="26" t="str">
        <x:v>缺核对明细，无法重建预付；原预付仅按基础表保留。</x:v>
      </x:c>
      <x:c r="F307" s="43"/>
      <x:c r="G307" s="43"/>
      <x:c r="H307" s="26" t="str">
        <x:v>缺原始核对明细，无法拆分。</x:v>
      </x:c>
      <x:c r="I307" s="43"/>
      <x:c r="J307" s="43" t="n">
        <x:v>19.404</x:v>
      </x:c>
      <x:c r="K307" s="43" t="n">
        <x:f>J307-D307</x:f>
        <x:v>2.0040000000000013</x:v>
      </x:c>
      <x:c r="L307" s="26" t="str">
        <x:v>核对表无唯一匹配费用明细，无法确认差距原因；需补原始FedEx账单。</x:v>
      </x:c>
      <x:c r="M307" s="26" t="str">
        <x:v>缺核对明细，原因未确认</x:v>
      </x:c>
      <x:c r="N307" s="26"/>
      <x:c r="O307" s="26"/>
      <x:c r="P307" s="31"/>
      <x:c r="Q307" s="31"/>
      <x:c r="R307" s="26"/>
      <x:c r="S307" s="26"/>
      <x:c r="T307" s="43"/>
      <x:c r="U307" s="43"/>
      <x:c r="V307" s="43"/>
      <x:c r="W307" s="43"/>
      <x:c r="X307" s="44"/>
      <x:c r="Y307" s="26"/>
      <x:c r="Z307" s="26"/>
      <x:c r="AA307" s="26"/>
      <x:c r="AB307" s="26"/>
      <x:c r="AC307" s="43"/>
    </x:row>
    <x:row r="309">
      <x:c r="J309" t="str">
        <x:v>全量差额合计</x:v>
      </x:c>
      <x:c r="K309" s="45" t="n">
        <x:f>SUM(K2:K307)</x:f>
        <x:v>4716.480999999991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20" hidden="0" customWidth="1"/>
    <x:col min="3" max="3" width="20" hidden="0" customWidth="1"/>
    <x:col min="4" max="4" width="106" hidden="0" customWidth="1"/>
  </x:cols>
  <x:sheetData>
    <x:row r="1" ht="15" hidden="0" customHeight="1">
      <x:c r="A1" s="40" t="str">
        <x:v>核验项目</x:v>
      </x:c>
      <x:c r="B1" s="40" t="str">
        <x:v>全部306票</x:v>
      </x:c>
      <x:c r="C1" s="40" t="str">
        <x:v>剩余256票</x:v>
      </x:c>
      <x:c r="D1" s="40" t="str">
        <x:v>口径/结论</x:v>
      </x:c>
    </x:row>
    <x:row r="2" ht="15" hidden="0" customHeight="1">
      <x:c r="A2" s="16" t="str">
        <x:v>记录数</x:v>
      </x:c>
      <x:c r="B2" s="16" t="n">
        <x:v>306</x:v>
      </x:c>
      <x:c r="C2" s="16" t="n">
        <x:v>256</x:v>
      </x:c>
      <x:c r="D2" s="16" t="str">
        <x:v>全部按差额倒序；剩余指排名51—306。</x:v>
      </x:c>
    </x:row>
    <x:row r="3" ht="15" hidden="0" customHeight="1">
      <x:c r="A3" s="16" t="str">
        <x:v>补收差额合计USD</x:v>
      </x:c>
      <x:c r="B3" s="47" t="n">
        <x:v>4716.481</x:v>
      </x:c>
      <x:c r="C3" s="47" t="n">
        <x:v>1673.923000000001</x:v>
      </x:c>
      <x:c r="D3" s="16" t="str">
        <x:v>按未舍入数据汇总，显示2位小数。</x:v>
      </x:c>
    </x:row>
    <x:row r="4" ht="15" hidden="0" customHeight="1">
      <x:c r="A4" s="16" t="str">
        <x:v>找到费用核对明细</x:v>
      </x:c>
      <x:c r="B4" s="16" t="n">
        <x:v>251</x:v>
      </x:c>
      <x:c r="C4" s="16" t="n">
        <x:v>211</x:v>
      </x:c>
      <x:c r="D4" s="16" t="str">
        <x:v>运输费、折扣、附加费、燃油与承运净额逐票核对。</x:v>
      </x:c>
    </x:row>
    <x:row r="5" ht="15" hidden="0" customHeight="1">
      <x:c r="A5" s="16" t="str">
        <x:v>缺费用核对明细</x:v>
      </x:c>
      <x:c r="B5" s="16" t="n">
        <x:v>55</x:v>
      </x:c>
      <x:c r="C5" s="16" t="n">
        <x:v>45</x:v>
      </x:c>
      <x:c r="D5" s="16" t="str">
        <x:v>保留原预付与实收，不推造费用分项或原因。</x:v>
      </x:c>
    </x:row>
    <x:row r="6" ht="15" hidden="0" customHeight="1">
      <x:c r="A6" s="16" t="str">
        <x:v>预付试算差≤0.15美元</x:v>
      </x:c>
      <x:c r="B6" s="16" t="n">
        <x:v>177</x:v>
      </x:c>
      <x:c r="C6" s="16" t="n">
        <x:v>143</x:v>
      </x:c>
      <x:c r="D6" s="16" t="str">
        <x:v>同一组折扣假设下金额接近；不是确认原始报价规则。</x:v>
      </x:c>
    </x:row>
    <x:row r="7" ht="15" hidden="0" customHeight="1">
      <x:c r="A7" s="16" t="str">
        <x:v>有明细但预付未还原</x:v>
      </x:c>
      <x:c r="B7" s="16" t="n">
        <x:v>74</x:v>
      </x:c>
      <x:c r="C7" s="16" t="n">
        <x:v>68</x:v>
      </x:c>
      <x:c r="D7" s="16" t="str">
        <x:v>需原始API报价回包、尺寸、附加服务及合同。</x:v>
      </x:c>
    </x:row>
    <x:row r="8" ht="15" hidden="0" customHeight="1">
      <x:c r="A8" s="16" t="str">
        <x:v>7月13日无折扣、除数139批次</x:v>
      </x:c>
      <x:c r="B8" s="16" t="n">
        <x:v>22</x:v>
      </x:c>
      <x:c r="C8" s="16" t="n">
        <x:v>6</x:v>
      </x:c>
      <x:c r="D8" s="16" t="str">
        <x:v>基础运费吻合公开零售价；核验账户渠道、折扣和燃油计价，不直接认定错收。</x:v>
      </x:c>
    </x:row>
    <x:row r="9" ht="15" hidden="0" customHeight="1">
      <x:c r="A9" s="16" t="str">
        <x:v>吻合公开零售价</x:v>
      </x:c>
      <x:c r="B9" s="16" t="n">
        <x:v>22</x:v>
      </x:c>
      <x:c r="C9" s="16" t="n">
        <x:v>6</x:v>
      </x:c>
      <x:c r="D9" s="16" t="str">
        <x:v>按最终计费重量与账单Zone核对，零售价含燃油的说明与另列燃油之间存在待核实疑点。</x:v>
      </x:c>
    </x:row>
    <x:row r="10" ht="15" hidden="0" customHeight="1">
      <x:c r="A10" s="16" t="str">
        <x:v>预估≤50lb、实际&gt;50lb且有重量费</x:v>
      </x:c>
      <x:c r="B10" s="16" t="n">
        <x:v>18</x:v>
      </x:c>
      <x:c r="C10" s="16" t="n">
        <x:v>1</x:v>
      </x:c>
      <x:c r="D10" s="16" t="str">
        <x:v>使用预估重量字段，不等同于客户申报重量；不据此认定客户低报。</x:v>
      </x:c>
    </x:row>
    <x:row r="11" ht="15" hidden="0" customHeight="1">
      <x:c r="A11" s="16" t="str">
        <x:v>预估≤110lb、实际&gt;110lb且有Oversize</x:v>
      </x:c>
      <x:c r="B11" s="16" t="n">
        <x:v>2</x:v>
      </x:c>
      <x:c r="C11" s="16" t="n">
        <x:v>0</x:v>
      </x:c>
      <x:c r="D11" s="16" t="str">
        <x:v>需实际称重和适用合同证明；此类门槛费用会造成跳涨。</x:v>
      </x:c>
    </x:row>
    <x:row r="12" ht="15" hidden="0" customHeight="1">
      <x:c r="A12" s="16" t="str">
        <x:v>实际重量不高于预估</x:v>
      </x:c>
      <x:c r="B12" s="16" t="n">
        <x:v>9</x:v>
      </x:c>
      <x:c r="C12" s="16" t="n">
        <x:v>6</x:v>
      </x:c>
      <x:c r="D12" s="16" t="str">
        <x:v>不能以增重解释这些票的差额。</x:v>
      </x:c>
    </x:row>
    <x:row r="13" ht="15" hidden="0" customHeight="1">
      <x:c r="A13" s="16" t="str">
        <x:v>列有重量附加费（不代表低报）</x:v>
      </x:c>
      <x:c r="B13" s="16" t="n">
        <x:v>70</x:v>
      </x:c>
      <x:c r="C13" s="16"/>
      <x:c r="D13" s="16" t="str">
        <x:v>70票列有重量附加费；其中只有18票属于预估≤50lb实际&gt;50lb，不能把其他票都归因于跨门槛。</x:v>
      </x:c>
    </x:row>
    <x:row r="14" ht="15" hidden="0" customHeight="1">
      <x:c r="A14" s="16" t="str">
        <x:v>列有住宅派送费</x:v>
      </x:c>
      <x:c r="B14" s="16" t="n">
        <x:v>25</x:v>
      </x:c>
      <x:c r="C14" s="16" t="n">
        <x:v>22</x:v>
      </x:c>
      <x:c r="D14" s="16" t="str">
        <x:v>确认有此费用；是否预付漏估待核验报价。</x:v>
      </x:c>
    </x:row>
    <x:row r="15" ht="15" hidden="0" customHeight="1">
      <x:c r="A15" s="16" t="str">
        <x:v>列有派送区域/偏远费</x:v>
      </x:c>
      <x:c r="B15" s="16" t="n">
        <x:v>14</x:v>
      </x:c>
      <x:c r="C15" s="16" t="n">
        <x:v>12</x:v>
      </x:c>
      <x:c r="D15" s="16" t="str">
        <x:v>DAS各子类别按票去重；与住宅费用可同时存在。</x:v>
      </x:c>
    </x:row>
    <x:row r="16" ht="15" hidden="0" customHeight="1">
      <x:c r="A16" s="16" t="str">
        <x:v>列有尺寸额外处理费</x:v>
      </x:c>
      <x:c r="B16" s="16" t="n">
        <x:v>3</x:v>
      </x:c>
      <x:c r="C16" s="16" t="n">
        <x:v>2</x:v>
      </x:c>
      <x:c r="D16" s="16" t="str">
        <x:v>需原始包裹尺寸、测量单位和合同。</x:v>
      </x:c>
    </x:row>
    <x:row r="17" ht="15" hidden="0" customHeight="1">
      <x:c r="A17" s="16" t="str">
        <x:v>列有包装额外处理费</x:v>
      </x:c>
      <x:c r="B17" s="16" t="n">
        <x:v>2</x:v>
      </x:c>
      <x:c r="C17" s="16" t="n">
        <x:v>2</x:v>
      </x:c>
      <x:c r="D17" s="16" t="str">
        <x:v>需包装照片、FedEx处理记录及报价明细。</x:v>
      </x:c>
    </x:row>
    <x:row r="18" ht="15" hidden="0" customHeight="1">
      <x:c r="A18" s="16" t="str">
        <x:v>列有地址更正费</x:v>
      </x:c>
      <x:c r="B18" s="16" t="n">
        <x:v>1</x:v>
      </x:c>
      <x:c r="C18" s="16" t="n">
        <x:v>0</x:v>
      </x:c>
      <x:c r="D18" s="16" t="str">
        <x:v>需原始面单与更正后的地址记录。</x:v>
      </x:c>
    </x:row>
    <x:row r="19" ht="15" hidden="0" customHeight="1">
      <x:c r="A19" s="16" t="str">
        <x:v>尝试不同Zone的反推</x:v>
      </x:c>
      <x:c r="B19" s="16" t="n">
        <x:v>44</x:v>
      </x:c>
      <x:c r="C19" s="16" t="n">
        <x:v>35</x:v>
      </x:c>
      <x:c r="D19" s="16" t="str">
        <x:v>这是数值试算，不是已确认的分区错误；不能说客户手选了分区。</x:v>
      </x:c>
    </x:row>
    <x:row r="20" ht="15" hidden="0" customHeight="1">
      <x:c r="A20" s="16" t="str">
        <x:v>分类关系</x:v>
      </x:c>
      <x:c r="B20" s="16"/>
      <x:c r="C20" s="16"/>
      <x:c r="D20" s="16" t="str">
        <x:v>不同因素可重叠，数量不能直接相加；金额吻合不能证明归因。</x:v>
      </x:c>
    </x:row>
    <x:row r="21" ht="26.399999618530273" hidden="0" customHeight="1">
      <x:c r="A21" s="16" t="str">
        <x:v>报价试算方法</x:v>
      </x:c>
      <x:c r="B21" s="16"/>
      <x:c r="C21" s="16"/>
      <x:c r="D21" s="16" t="str">
        <x:v>预估重量向上取整（近整数0.01lb内视为kg舍入），标准运输费假设优惠39%、重量/超大费优惠50%；燃油率由核对金额反推到0.25个百分点。</x:v>
      </x:c>
    </x:row>
    <x:row r="22" ht="26.399999618530273" hidden="0" customHeight="1">
      <x:c r="A22" s="16" t="str">
        <x:v>分区试算方法</x:v>
      </x:c>
      <x:c r="B22" s="16"/>
      <x:c r="C22" s="16"/>
      <x:c r="D22" s="16" t="str">
        <x:v>优先账单Zone；若偏差&gt;1美元且其他Zone可改善至少0.50美元，另列候选。AC列保留按账单Zone计算的预付；原报价Zone未获证实。</x:v>
      </x:c>
    </x:row>
    <x:row r="23" ht="15" hidden="0" customHeight="1">
      <x:c r="A23" s="16" t="str">
        <x:v>数据缺口与限制</x:v>
      </x:c>
      <x:c r="B23" s="16"/>
      <x:c r="C23" s="16"/>
      <x:c r="D23" s="16" t="str">
        <x:v>最低收费、住宅/偏远等服务、申报尺寸、历史费率、报价API回包不足；不能用现有假设强行解释所有记录。</x:v>
      </x:c>
    </x:row>
    <x:row r="24" ht="15" hidden="0" customHeight="1">
      <x:c r="A24" s="16" t="str">
        <x:v>收费展示</x:v>
      </x:c>
      <x:c r="B24" s="16"/>
      <x:c r="C24" s="16"/>
      <x:c r="D24" s="16" t="str">
        <x:v>承运净额与账单实收分别列示，内部收费倍率不展示。原有基础表、前10和前50分析页均保留。</x:v>
      </x:c>
    </x:row>
    <x:row r="25" ht="15" hidden="0" customHeight="1">
      <x:c r="A25" s="16" t="str">
        <x:v>来源：基础</x:v>
      </x:c>
      <x:c r="B25" s="16"/>
      <x:c r="C25" s="16"/>
      <x:c r="D25" s="16" t="str">
        <x:v>盘库_前50票预付实收计算及差异说明.xlsx，本次读取版本。</x:v>
      </x:c>
    </x:row>
    <x:row r="26" ht="15" hidden="0" customHeight="1">
      <x:c r="A26" s="16" t="str">
        <x:v>来源：核对</x:v>
      </x:c>
      <x:c r="B26" s="16"/>
      <x:c r="C26" s="16"/>
      <x:c r="D26" s="16" t="str">
        <x:v>bluetti 打单成本价_中文表头.xlsx，Data页；全量逐票说明AB列给出来源行号。</x:v>
      </x:c>
    </x:row>
    <x:row r="27" ht="26.399999618530273" hidden="0" customHeight="1">
      <x:c r="A27" s="16" t="str">
        <x:v>官方标准费率</x:v>
      </x:c>
      <x:c r="B27" s="16"/>
      <x:c r="C27" s="16"/>
      <x:c r="D27" s="16" t="str">
        <x:v>https://images.fedex.com/content/dam/fedex/us-united-states/services/Service_Guide_2026.pdf；当前9月更新版仅作试算参考，历史协议需核对。</x:v>
      </x:c>
    </x:row>
    <x:row r="28" ht="15" hidden="0" customHeight="1">
      <x:c r="A28" s="16" t="str">
        <x:v>官方零售费率</x:v>
      </x:c>
      <x:c r="B28" s="16"/>
      <x:c r="C28" s="16"/>
      <x:c r="D28" s="16" t="str">
        <x:v>https://www.fedex.com/content/dam/fedex/us-united-states/services/FedEx_Retail_Rates_2026.pdf；当前已核验1—100lb对应表价。</x:v>
      </x:c>
    </x:row>
    <x:row r="29" ht="15" hidden="0" customHeight="1">
      <x:c r="A29" s="16" t="str">
        <x:v>优先补证顺序</x:v>
      </x:c>
      <x:c r="B29" s="16"/>
      <x:c r="C29" s="16"/>
      <x:c r="D29" s="16" t="str">
        <x:v>先核对7月13日批次发票和账户协议，再复核重量跨门槛票及候选Zone票；补齐55票缺失账单。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5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9" hidden="0" customWidth="1"/>
    <x:col min="13" max="13" width="23" hidden="0" customWidth="1"/>
    <x:col min="14" max="14" width="37" hidden="0" customWidth="1"/>
    <x:col min="15" max="15" width="23" hidden="0" customWidth="1"/>
    <x:col min="16" max="16" width="65" hidden="0" customWidth="1"/>
    <x:col min="17" max="17" width="65" hidden="0" customWidth="1"/>
  </x:cols>
  <x:sheetData>
    <x:row r="1" ht="52" customHeight="1">
      <x:c r="A1" s="52" t="str">
        <x:v>排名</x:v>
      </x:c>
      <x:c r="B1" s="53" t="str">
        <x:v>追踪号</x:v>
      </x:c>
      <x:c r="C1" s="52" t="str">
        <x:v>机型</x:v>
      </x:c>
      <x:c r="D1" s="52" t="str">
        <x:v>原预付USD</x:v>
      </x:c>
      <x:c r="E1" s="52" t="str">
        <x:v>计算预付USD（试算）</x:v>
      </x:c>
      <x:c r="F1" s="52" t="str">
        <x:v>预付计算减原值</x:v>
      </x:c>
      <x:c r="G1" s="52" t="str">
        <x:v>预付核验结果</x:v>
      </x:c>
      <x:c r="H1" s="52" t="str">
        <x:v>原实付USD</x:v>
      </x:c>
      <x:c r="I1" s="52" t="str">
        <x:v>核对表承运净额</x:v>
      </x:c>
      <x:c r="J1" s="52" t="str">
        <x:v>费用分项重算净额</x:v>
      </x:c>
      <x:c r="K1" s="52" t="str">
        <x:v>分项加总核验</x:v>
      </x:c>
      <x:c r="L1" s="52" t="str">
        <x:v>计算实付USD（此前统一口径）</x:v>
      </x:c>
      <x:c r="M1" s="52" t="str">
        <x:v>实付计算减原值</x:v>
      </x:c>
      <x:c r="N1" s="52" t="str">
        <x:v>实付核验结果</x:v>
      </x:c>
      <x:c r="O1" s="52" t="str">
        <x:v>核对表来源行号</x:v>
      </x:c>
      <x:c r="P1" s="52" t="str">
        <x:v>预付试算过程（假设）</x:v>
      </x:c>
      <x:c r="Q1" s="52" t="str">
        <x:v>实际费用分项</x:v>
      </x:c>
    </x:row>
    <x:row r="2" ht="120" customHeight="1">
      <x:c r="A2" s="26" t="n">
        <x:v>1</x:v>
      </x:c>
      <x:c r="B2" s="26" t="str">
        <x:v>874592682792</x:v>
      </x:c>
      <x:c r="C2" s="26" t="str">
        <x:v>B4810</x:v>
      </x:c>
      <x:c r="D2" s="31" t="n">
        <x:v>114.59</x:v>
      </x:c>
      <x:c r="E2" s="31" t="n">
        <x:v>114.6</x:v>
      </x:c>
      <x:c r="F2" s="31" t="n">
        <x:f>E2-D2</x:f>
        <x:v>0.009999999999990905</x:v>
      </x:c>
      <x:c r="G2" s="26" t="str">
        <x:v>仅接近（不超过0.15美元）</x:v>
      </x:c>
      <x:c r="H2" s="31" t="n">
        <x:v>308.55</x:v>
      </x:c>
      <x:c r="I2" s="31" t="n">
        <x:v>280.5</x:v>
      </x:c>
      <x:c r="J2" s="31" t="n">
        <x:v>280.5</x:v>
      </x:c>
      <x:c r="K2" s="26" t="str">
        <x:v>分项加总一致</x:v>
      </x:c>
      <x:c r="L2" s="31" t="n">
        <x:v>308.55</x:v>
      </x:c>
      <x:c r="M2" s="31" t="n">
        <x:f>L2-H2</x:f>
        <x:v>0</x:v>
      </x:c>
      <x:c r="N2" s="26" t="str">
        <x:v>一致（按此前统一收费口径）</x:v>
      </x:c>
      <x:c r="O2" s="26" t="n">
        <x:v>474</x:v>
      </x:c>
      <x:c r="P2" s="26" t="str">
        <x:v>反推假设：102lb、Zone5（账单Zone5）。
标准运费90.25×61%≈55.05
＋假设折后附加费28.13
＋燃油(55.05＋28.13)×25.25%≈21.00
＝预估承运成本104.18
按既有收费规则折算→预付114.60；与原预付差+0.01。</x:v>
      </x:c>
      <x:c r="Q2" s="26" t="str">
        <x:v>运输费104.83
−折扣40.88
＋Oversize Charge 160.00
＋燃油56.55
＝承运净额280.50
账单实收308.550（按既有收费规则）</x:v>
      </x:c>
    </x:row>
    <x:row r="3" ht="120" customHeight="1">
      <x:c r="A3" s="26" t="n">
        <x:v>2</x:v>
      </x:c>
      <x:c r="B3" s="26" t="str">
        <x:v>873982034526</x:v>
      </x:c>
      <x:c r="C3" s="26" t="str">
        <x:v>B500K</x:v>
      </x:c>
      <x:c r="D3" s="31" t="n">
        <x:v>108.51</x:v>
      </x:c>
      <x:c r="E3" s="31" t="n">
        <x:v>108.53</x:v>
      </x:c>
      <x:c r="F3" s="31" t="n">
        <x:f>E3-D3</x:f>
        <x:v>0.01999999999999602</x:v>
      </x:c>
      <x:c r="G3" s="26" t="str">
        <x:v>仅接近（不超过0.15美元）</x:v>
      </x:c>
      <x:c r="H3" s="31" t="n">
        <x:v>270.523</x:v>
      </x:c>
      <x:c r="I3" s="31" t="n">
        <x:v>245.93</x:v>
      </x:c>
      <x:c r="J3" s="31" t="n">
        <x:v>245.93</x:v>
      </x:c>
      <x:c r="K3" s="26" t="str">
        <x:v>分项加总一致</x:v>
      </x:c>
      <x:c r="L3" s="31" t="n">
        <x:v>270.523</x:v>
      </x:c>
      <x:c r="M3" s="31" t="n">
        <x:f>L3-H3</x:f>
        <x:v>0</x:v>
      </x:c>
      <x:c r="N3" s="26" t="str">
        <x:v>一致（按此前统一收费口径）</x:v>
      </x:c>
      <x:c r="O3" s="26" t="n">
        <x:v>338</x:v>
      </x:c>
      <x:c r="P3" s="26" t="str">
        <x:v>反推假设：107lb、Zone4（账单Zone4）。
标准运费88.19×61%≈53.80
＋假设折后附加费25.13
＋燃油(53.80＋25.13)×25.00%≈19.73
＝预估承运成本98.66
按既有收费规则折算→预付108.53；与原预付差+0.02。</x:v>
      </x:c>
      <x:c r="Q3" s="26" t="str">
        <x:v>运输费97.11
−折扣37.87
＋Oversize Charge 137.50
＋燃油49.19
＝承运净额245.93
账单实收270.523（按既有收费规则）</x:v>
      </x:c>
    </x:row>
    <x:row r="4" ht="120" customHeight="1">
      <x:c r="A4" s="26" t="n">
        <x:v>3</x:v>
      </x:c>
      <x:c r="B4" s="26" t="str">
        <x:v>874031949101</x:v>
      </x:c>
      <x:c r="C4" s="26" t="str">
        <x:v>EL300</x:v>
      </x:c>
      <x:c r="D4" s="31" t="n">
        <x:v>95.69</x:v>
      </x:c>
      <x:c r="E4" s="31" t="n">
        <x:v>95.69</x:v>
      </x:c>
      <x:c r="F4" s="31" t="n">
        <x:f>E4-D4</x:f>
        <x:v>0</x:v>
      </x:c>
      <x:c r="G4" s="26" t="str">
        <x:v>一致（精确到美分）</x:v>
      </x:c>
      <x:c r="H4" s="31" t="n">
        <x:v>237.831</x:v>
      </x:c>
      <x:c r="I4" s="31" t="n">
        <x:v>216.21</x:v>
      </x:c>
      <x:c r="J4" s="31" t="n">
        <x:v>216.21</x:v>
      </x:c>
      <x:c r="K4" s="26" t="str">
        <x:v>分项加总一致</x:v>
      </x:c>
      <x:c r="L4" s="31" t="n">
        <x:v>237.831</x:v>
      </x:c>
      <x:c r="M4" s="31" t="n">
        <x:f>L4-H4</x:f>
        <x:v>0</x:v>
      </x:c>
      <x:c r="N4" s="26" t="str">
        <x:v>一致（按此前统一收费口径）</x:v>
      </x:c>
      <x:c r="O4" s="26" t="n">
        <x:v>402</x:v>
      </x:c>
      <x:c r="P4" s="26" t="str">
        <x:v>反推假设：53lb、Zone6（账单Zone6）。
标准运费67.96×61%≈41.46
＋假设折后附加费28.13
＋燃油(41.46＋28.13)×25.00%≈17.40
＝预估承运成本86.99
按既有收费规则折算→预付95.69；与原预付差+0.00。</x:v>
      </x:c>
      <x:c r="Q4" s="26" t="str">
        <x:v>运输费116.72
＋Add'l Handling-Weight 56.25
＋燃油43.24
＝承运净额216.21
账单实收237.831（按既有收费规则）</x:v>
      </x:c>
    </x:row>
    <x:row r="5" ht="120" customHeight="1">
      <x:c r="A5" s="26" t="n">
        <x:v>4</x:v>
      </x:c>
      <x:c r="B5" s="26" t="str">
        <x:v>872732293053</x:v>
      </x:c>
      <x:c r="C5" s="26" t="str">
        <x:v>AC180</x:v>
      </x:c>
      <x:c r="D5" s="31" t="n">
        <x:v>31.24</x:v>
      </x:c>
      <x:c r="E5" s="31"/>
      <x:c r="F5" s="31"/>
      <x:c r="G5" s="26" t="str">
        <x:v>缺明细，无法试算</x:v>
      </x:c>
      <x:c r="H5" s="31" t="n">
        <x:v>171.512</x:v>
      </x:c>
      <x:c r="I5" s="31"/>
      <x:c r="J5" s="31"/>
      <x:c r="K5" s="26" t="str">
        <x:v>缺核对明细</x:v>
      </x:c>
      <x:c r="L5" s="31"/>
      <x:c r="M5" s="31"/>
      <x:c r="N5" s="26" t="str">
        <x:v>缺核对明细，无法核算</x:v>
      </x:c>
      <x:c r="O5" s="26"/>
      <x:c r="P5" s="26" t="str">
        <x:v>缺核对明细，无法重建预付；原预付仅按基础表保留。</x:v>
      </x:c>
      <x:c r="Q5" s="26" t="str">
        <x:v>缺原始核对明细，无法拆分。</x:v>
      </x:c>
    </x:row>
    <x:row r="6" ht="120" customHeight="1">
      <x:c r="A6" s="26" t="n">
        <x:v>5</x:v>
      </x:c>
      <x:c r="B6" s="26" t="str">
        <x:v>873651415340</x:v>
      </x:c>
      <x:c r="C6" s="26" t="str">
        <x:v>AC200M</x:v>
      </x:c>
      <x:c r="D6" s="31" t="n">
        <x:v>23.53</x:v>
      </x:c>
      <x:c r="E6" s="31" t="n">
        <x:v>23.43</x:v>
      </x:c>
      <x:c r="F6" s="31" t="n">
        <x:f>E6-D6</x:f>
        <x:v>-0.10000000000000142</x:v>
      </x:c>
      <x:c r="G6" s="26" t="str">
        <x:v>仅接近（不超过0.15美元）</x:v>
      </x:c>
      <x:c r="H6" s="31" t="n">
        <x:v>140.668</x:v>
      </x:c>
      <x:c r="I6" s="31" t="n">
        <x:v>127.88</x:v>
      </x:c>
      <x:c r="J6" s="31" t="n">
        <x:v>127.88</x:v>
      </x:c>
      <x:c r="K6" s="26" t="str">
        <x:v>分项加总一致</x:v>
      </x:c>
      <x:c r="L6" s="31" t="n">
        <x:v>140.668</x:v>
      </x:c>
      <x:c r="M6" s="31" t="n">
        <x:f>L6-H6</x:f>
        <x:v>0</x:v>
      </x:c>
      <x:c r="N6" s="26" t="str">
        <x:v>一致（按此前统一收费口径）</x:v>
      </x:c>
      <x:c r="O6" s="26" t="n">
        <x:v>365</x:v>
      </x:c>
      <x:c r="P6" s="26" t="str">
        <x:v>反推假设：43lb、Zone2（账单Zone2）。
标准运费27.93×61%≈17.04
＋假设折后附加费0.00
＋燃油(17.04＋0.00)×25.00%≈4.26
＝预估承运成本21.30
按既有收费规则折算→预付23.43；与原预付差-0.10。</x:v>
      </x:c>
      <x:c r="Q6" s="26" t="str">
        <x:v>运输费56.30
＋Add'l Handling-Weight 46.00
＋燃油25.58
＝承运净额127.88
账单实收140.668（按既有收费规则）</x:v>
      </x:c>
    </x:row>
    <x:row r="7" ht="120" customHeight="1">
      <x:c r="A7" s="26" t="n">
        <x:v>6</x:v>
      </x:c>
      <x:c r="B7" s="26" t="str">
        <x:v>874033170005</x:v>
      </x:c>
      <x:c r="C7" s="26" t="str">
        <x:v>Elite 200 V2</x:v>
      </x:c>
      <x:c r="D7" s="31" t="n">
        <x:v>88.7</x:v>
      </x:c>
      <x:c r="E7" s="31" t="n">
        <x:v>88.72</x:v>
      </x:c>
      <x:c r="F7" s="31" t="n">
        <x:f>E7-D7</x:f>
        <x:v>0.01999999999999602</x:v>
      </x:c>
      <x:c r="G7" s="26" t="str">
        <x:v>仅接近（不超过0.15美元）</x:v>
      </x:c>
      <x:c r="H7" s="31" t="n">
        <x:v>204.71</x:v>
      </x:c>
      <x:c r="I7" s="31" t="n">
        <x:v>186.1</x:v>
      </x:c>
      <x:c r="J7" s="31" t="n">
        <x:v>186.1</x:v>
      </x:c>
      <x:c r="K7" s="26" t="str">
        <x:v>分项加总一致</x:v>
      </x:c>
      <x:c r="L7" s="31" t="n">
        <x:v>204.71</x:v>
      </x:c>
      <x:c r="M7" s="31" t="n">
        <x:f>L7-H7</x:f>
        <x:v>0</x:v>
      </x:c>
      <x:c r="N7" s="26" t="str">
        <x:v>一致（按此前统一收费口径）</x:v>
      </x:c>
      <x:c r="O7" s="26" t="n">
        <x:v>381</x:v>
      </x:c>
      <x:c r="P7" s="26" t="str">
        <x:v>反推假设：64lb、Zone5（账单Zone5）。
标准运费59.65×61%≈36.39
＋假设折后附加费28.13
＋燃油(36.39＋28.13)×25.00%≈16.13
＝预估承运成本80.65
按既有收费规则折算→预付88.72；与原预付差+0.02。</x:v>
      </x:c>
      <x:c r="Q7" s="26" t="str">
        <x:v>运输费92.63
＋Add'l Handling-Weight 56.25
＋燃油37.22
＝承运净额186.10
账单实收204.710（按既有收费规则）</x:v>
      </x:c>
    </x:row>
    <x:row r="8" ht="120" customHeight="1">
      <x:c r="A8" s="26" t="n">
        <x:v>7</x:v>
      </x:c>
      <x:c r="B8" s="26" t="str">
        <x:v>874280719368</x:v>
      </x:c>
      <x:c r="C8" s="26" t="str">
        <x:v>AC200L</x:v>
      </x:c>
      <x:c r="D8" s="31" t="n">
        <x:v>71.65</x:v>
      </x:c>
      <x:c r="E8" s="31" t="n">
        <x:v>71.66</x:v>
      </x:c>
      <x:c r="F8" s="31" t="n">
        <x:f>E8-D8</x:f>
        <x:v>0.009999999999990905</x:v>
      </x:c>
      <x:c r="G8" s="26" t="str">
        <x:v>仅接近（不超过0.15美元）</x:v>
      </x:c>
      <x:c r="H8" s="31" t="n">
        <x:v>179.421</x:v>
      </x:c>
      <x:c r="I8" s="31" t="n">
        <x:v>163.11</x:v>
      </x:c>
      <x:c r="J8" s="31" t="n">
        <x:v>163.11</x:v>
      </x:c>
      <x:c r="K8" s="26" t="str">
        <x:v>分项加总一致</x:v>
      </x:c>
      <x:c r="L8" s="31" t="n">
        <x:v>179.421</x:v>
      </x:c>
      <x:c r="M8" s="31" t="n">
        <x:f>L8-H8</x:f>
        <x:v>0</x:v>
      </x:c>
      <x:c r="N8" s="26" t="str">
        <x:v>一致（按此前统一收费口径）</x:v>
      </x:c>
      <x:c r="O8" s="26" t="n">
        <x:v>392</x:v>
      </x:c>
      <x:c r="P8" s="26" t="str">
        <x:v>反推假设：56lb、Zone4（账单Zone4）。
标准运费44.24×61%≈26.99
＋假设折后附加费25.13
＋燃油(26.99＋25.13)×25.00%≈13.03
＝预估承运成本65.15
按既有收费规则折算→预付71.66；与原预付差+0.01。</x:v>
      </x:c>
      <x:c r="Q8" s="26" t="str">
        <x:v>运输费80.24
＋Add'l Handling-Weight 50.25
＋燃油32.62
＝承运净额163.11
账单实收179.421（按既有收费规则）</x:v>
      </x:c>
    </x:row>
    <x:row r="9" ht="120" customHeight="1">
      <x:c r="A9" s="26" t="n">
        <x:v>8</x:v>
      </x:c>
      <x:c r="B9" s="26" t="str">
        <x:v>874288041990</x:v>
      </x:c>
      <x:c r="C9" s="26" t="str">
        <x:v>AC180</x:v>
      </x:c>
      <x:c r="D9" s="31" t="n">
        <x:v>62.65</x:v>
      </x:c>
      <x:c r="E9" s="31" t="n">
        <x:v>62.65</x:v>
      </x:c>
      <x:c r="F9" s="31" t="n">
        <x:f>E9-D9</x:f>
        <x:v>0</x:v>
      </x:c>
      <x:c r="G9" s="26" t="str">
        <x:v>一致（精确到美分）</x:v>
      </x:c>
      <x:c r="H9" s="31" t="n">
        <x:v>168.916</x:v>
      </x:c>
      <x:c r="I9" s="31" t="n">
        <x:v>153.56</x:v>
      </x:c>
      <x:c r="J9" s="31" t="n">
        <x:v>153.56</x:v>
      </x:c>
      <x:c r="K9" s="26" t="str">
        <x:v>分项加总一致</x:v>
      </x:c>
      <x:c r="L9" s="31" t="n">
        <x:v>168.916</x:v>
      </x:c>
      <x:c r="M9" s="31" t="n">
        <x:f>L9-H9</x:f>
        <x:v>0</x:v>
      </x:c>
      <x:c r="N9" s="26" t="str">
        <x:v>一致（按此前统一收费口径）</x:v>
      </x:c>
      <x:c r="O9" s="26" t="n">
        <x:v>439</x:v>
      </x:c>
      <x:c r="P9" s="26" t="str">
        <x:v>反推假设：38lb、Zone8（账单Zone8）。
标准运费74.69×61%≈45.56
＋假设折后附加费0.00
＋燃油(45.56＋0.00)×25.00%≈11.39
＝预估承运成本56.95
按既有收费规则折算→预付62.65；与原预付差+0.00。</x:v>
      </x:c>
      <x:c r="Q9" s="26" t="str">
        <x:v>运输费122.85
＋燃油30.71
＝承运净额153.56
账单实收168.916（按既有收费规则）</x:v>
      </x:c>
    </x:row>
    <x:row r="10" ht="120" customHeight="1">
      <x:c r="A10" s="26" t="n">
        <x:v>9</x:v>
      </x:c>
      <x:c r="B10" s="26" t="str">
        <x:v>873966246974</x:v>
      </x:c>
      <x:c r="C10" s="26" t="str">
        <x:v>EL100V2</x:v>
      </x:c>
      <x:c r="D10" s="31" t="n">
        <x:v>26.2</x:v>
      </x:c>
      <x:c r="E10" s="31" t="n">
        <x:v>26.19</x:v>
      </x:c>
      <x:c r="F10" s="31" t="n">
        <x:f>E10-D10</x:f>
        <x:v>-0.00999999999999801</x:v>
      </x:c>
      <x:c r="G10" s="26" t="str">
        <x:v>仅接近（不超过0.15美元）</x:v>
      </x:c>
      <x:c r="H10" s="31" t="n">
        <x:v>130.416</x:v>
      </x:c>
      <x:c r="I10" s="31" t="n">
        <x:v>118.56</x:v>
      </x:c>
      <x:c r="J10" s="31" t="n">
        <x:v>118.56</x:v>
      </x:c>
      <x:c r="K10" s="26" t="str">
        <x:v>分项加总一致</x:v>
      </x:c>
      <x:c r="L10" s="31" t="n">
        <x:v>130.416</x:v>
      </x:c>
      <x:c r="M10" s="31" t="n">
        <x:f>L10-H10</x:f>
        <x:v>0</x:v>
      </x:c>
      <x:c r="N10" s="26" t="str">
        <x:v>一致（按此前统一收费口径）</x:v>
      </x:c>
      <x:c r="O10" s="26" t="n">
        <x:v>400</x:v>
      </x:c>
      <x:c r="P10" s="26" t="str">
        <x:v>反推假设：25lb、Zone5（账单Zone8）。
标准运费31.23×61%≈19.05
＋假设折后附加费0.00
＋燃油(19.05＋0.00)×25.00%≈4.76
＝预估承运成本23.81
按既有收费规则折算→预付26.19；与原预付差-0.01。</x:v>
      </x:c>
      <x:c r="Q10" s="26" t="str">
        <x:v>运输费94.85
＋燃油23.71
＝承运净额118.56
账单实收130.416（按既有收费规则）</x:v>
      </x:c>
    </x:row>
    <x:row r="11" ht="120" customHeight="1">
      <x:c r="A11" s="26" t="n">
        <x:v>10</x:v>
      </x:c>
      <x:c r="B11" s="26" t="str">
        <x:v>874516692368</x:v>
      </x:c>
      <x:c r="C11" s="26" t="str">
        <x:v>FRPOWER</x:v>
      </x:c>
      <x:c r="D11" s="31" t="n">
        <x:v>23.79</x:v>
      </x:c>
      <x:c r="E11" s="31" t="n">
        <x:v>23.84</x:v>
      </x:c>
      <x:c r="F11" s="31" t="n">
        <x:f>E11-D11</x:f>
        <x:v>0.05000000000000071</x:v>
      </x:c>
      <x:c r="G11" s="26" t="str">
        <x:v>仅接近（不超过0.15美元）</x:v>
      </x:c>
      <x:c r="H11" s="31" t="n">
        <x:v>118.074</x:v>
      </x:c>
      <x:c r="I11" s="31" t="n">
        <x:v>107.34</x:v>
      </x:c>
      <x:c r="J11" s="31" t="n">
        <x:v>107.34</x:v>
      </x:c>
      <x:c r="K11" s="26" t="str">
        <x:v>分项加总一致</x:v>
      </x:c>
      <x:c r="L11" s="31" t="n">
        <x:v>118.074</x:v>
      </x:c>
      <x:c r="M11" s="31" t="n">
        <x:f>L11-H11</x:f>
        <x:v>0</x:v>
      </x:c>
      <x:c r="N11" s="26" t="str">
        <x:v>一致（按此前统一收费口径）</x:v>
      </x:c>
      <x:c r="O11" s="26" t="n">
        <x:v>461</x:v>
      </x:c>
      <x:c r="P11" s="26" t="str">
        <x:v>反推假设：45lb、Zone2（账单Zone8）。
标准运费28.36×61%≈17.30
＋假设折后附加费0.00
＋燃油(17.30＋0.00)×25.25%≈4.37
＝预估承运成本21.67
按既有收费规则折算→预付23.84；与原预付差+0.05。</x:v>
      </x:c>
      <x:c r="Q11" s="26" t="str">
        <x:v>运输费92.35
−折扣36.02
＋Add'l Handling-Weight 29.37
＋燃油21.64
＝承运净额107.34
账单实收118.074（按既有收费规则）</x:v>
      </x:c>
    </x:row>
    <x:row r="12" ht="120" customHeight="1">
      <x:c r="A12" s="26" t="n">
        <x:v>11</x:v>
      </x:c>
      <x:c r="B12" s="26" t="str">
        <x:v>873808852054</x:v>
      </x:c>
      <x:c r="C12" s="26" t="str">
        <x:v>FRPOWER</x:v>
      </x:c>
      <x:c r="D12" s="31" t="n">
        <x:v>23.84</x:v>
      </x:c>
      <x:c r="E12" s="31" t="n">
        <x:v>23.84</x:v>
      </x:c>
      <x:c r="F12" s="31" t="n">
        <x:f>E12-D12</x:f>
        <x:v>0</x:v>
      </x:c>
      <x:c r="G12" s="26" t="str">
        <x:v>一致（精确到美分）</x:v>
      </x:c>
      <x:c r="H12" s="31" t="n">
        <x:v>118.074</x:v>
      </x:c>
      <x:c r="I12" s="31" t="n">
        <x:v>107.34</x:v>
      </x:c>
      <x:c r="J12" s="31" t="n">
        <x:v>107.34</x:v>
      </x:c>
      <x:c r="K12" s="26" t="str">
        <x:v>分项加总一致</x:v>
      </x:c>
      <x:c r="L12" s="31" t="n">
        <x:v>118.074</x:v>
      </x:c>
      <x:c r="M12" s="31" t="n">
        <x:f>L12-H12</x:f>
        <x:v>0</x:v>
      </x:c>
      <x:c r="N12" s="26" t="str">
        <x:v>一致（按此前统一收费口径）</x:v>
      </x:c>
      <x:c r="O12" s="26" t="n">
        <x:v>210</x:v>
      </x:c>
      <x:c r="P12" s="26" t="str">
        <x:v>反推假设：45lb、Zone2（账单Zone8）。
标准运费28.36×61%≈17.30
＋假设折后附加费0.00
＋燃油(17.30＋0.00)×25.25%≈4.37
＝预估承运成本21.67
按既有收费规则折算→预付23.84；与原预付差+0.00。</x:v>
      </x:c>
      <x:c r="Q12" s="26" t="str">
        <x:v>运输费92.35
−折扣36.02
＋Add'l Handling-Weight 29.37
＋燃油21.64
＝承运净额107.34
账单实收118.074（按既有收费规则）</x:v>
      </x:c>
    </x:row>
    <x:row r="13" ht="120" customHeight="1">
      <x:c r="A13" s="26" t="n">
        <x:v>12</x:v>
      </x:c>
      <x:c r="B13" s="26" t="str">
        <x:v>874499950834</x:v>
      </x:c>
      <x:c r="C13" s="26" t="str">
        <x:v>AP300</x:v>
      </x:c>
      <x:c r="D13" s="31" t="n">
        <x:v>36.44</x:v>
      </x:c>
      <x:c r="E13" s="31" t="n">
        <x:v>36.51</x:v>
      </x:c>
      <x:c r="F13" s="31" t="n">
        <x:f>E13-D13</x:f>
        <x:v>0.07000000000000028</x:v>
      </x:c>
      <x:c r="G13" s="26" t="str">
        <x:v>仅接近（不超过0.15美元）</x:v>
      </x:c>
      <x:c r="H13" s="31" t="n">
        <x:v>110.528</x:v>
      </x:c>
      <x:c r="I13" s="31" t="n">
        <x:v>100.48</x:v>
      </x:c>
      <x:c r="J13" s="31" t="n">
        <x:v>100.48</x:v>
      </x:c>
      <x:c r="K13" s="26" t="str">
        <x:v>分项加总一致</x:v>
      </x:c>
      <x:c r="L13" s="31" t="n">
        <x:v>110.528</x:v>
      </x:c>
      <x:c r="M13" s="31" t="n">
        <x:f>L13-H13</x:f>
        <x:v>0</x:v>
      </x:c>
      <x:c r="N13" s="26" t="str">
        <x:v>一致（按此前统一收费口径）</x:v>
      </x:c>
      <x:c r="O13" s="26" t="n">
        <x:v>492</x:v>
      </x:c>
      <x:c r="P13" s="26" t="str">
        <x:v>反推假设：38lb、Zone5（账单Zone5）。
标准运费43.44×61%≈26.50
＋假设折后附加费0.00
＋燃油(26.50＋0.00)×25.25%≈6.69
＝预估承运成本33.19
按既有收费规则折算→预付36.51；与原预付差+0.07。</x:v>
      </x:c>
      <x:c r="Q13" s="26" t="str">
        <x:v>运输费85.41
−折扣33.31
＋Add'l Handling-Weight 28.12
＋燃油20.26
＝承运净额100.48
账单实收110.528（按既有收费规则）</x:v>
      </x:c>
    </x:row>
    <x:row r="14" ht="120" customHeight="1">
      <x:c r="A14" s="26" t="n">
        <x:v>13</x:v>
      </x:c>
      <x:c r="B14" s="26" t="str">
        <x:v>874276968840</x:v>
      </x:c>
      <x:c r="C14" s="26" t="str">
        <x:v>EL300</x:v>
      </x:c>
      <x:c r="D14" s="31" t="n">
        <x:v>57.47</x:v>
      </x:c>
      <x:c r="E14" s="31" t="n">
        <x:v>57.46</x:v>
      </x:c>
      <x:c r="F14" s="31" t="n">
        <x:f>E14-D14</x:f>
        <x:v>-0.00999999999999801</x:v>
      </x:c>
      <x:c r="G14" s="26" t="str">
        <x:v>仅接近（不超过0.15美元）</x:v>
      </x:c>
      <x:c r="H14" s="31" t="n">
        <x:v>128.48</x:v>
      </x:c>
      <x:c r="I14" s="31" t="n">
        <x:v>116.8</x:v>
      </x:c>
      <x:c r="J14" s="31" t="n">
        <x:v>116.8</x:v>
      </x:c>
      <x:c r="K14" s="26" t="str">
        <x:v>分项加总一致</x:v>
      </x:c>
      <x:c r="L14" s="31" t="n">
        <x:v>128.48</x:v>
      </x:c>
      <x:c r="M14" s="31" t="n">
        <x:f>L14-H14</x:f>
        <x:v>0</x:v>
      </x:c>
      <x:c r="N14" s="26" t="str">
        <x:v>一致（按此前统一收费口径）</x:v>
      </x:c>
      <x:c r="O14" s="26" t="n">
        <x:v>374</x:v>
      </x:c>
      <x:c r="P14" s="26" t="str">
        <x:v>反推假设：61lb、Zone2（账单Zone2）。
标准运费30.80×61%≈18.79
＋假设折后附加费23.00
＋燃油(18.79＋23.00)×25.00%≈10.45
＝预估承运成本52.24
按既有收费规则折算→预付57.46；与原预付差-0.01。</x:v>
      </x:c>
      <x:c r="Q14" s="26" t="str">
        <x:v>运输费47.44
＋Add'l Handling-Weight 46.00
＋燃油23.36
＝承运净额116.80
账单实收128.480（按既有收费规则）</x:v>
      </x:c>
    </x:row>
    <x:row r="15" ht="120" customHeight="1">
      <x:c r="A15" s="26" t="n">
        <x:v>14</x:v>
      </x:c>
      <x:c r="B15" s="26" t="str">
        <x:v>875147813128</x:v>
      </x:c>
      <x:c r="C15" s="26"/>
      <x:c r="D15" s="31" t="n">
        <x:v>19.12</x:v>
      </x:c>
      <x:c r="E15" s="31"/>
      <x:c r="F15" s="31"/>
      <x:c r="G15" s="26" t="str">
        <x:v>缺明细，无法试算</x:v>
      </x:c>
      <x:c r="H15" s="31" t="n">
        <x:v>89.584</x:v>
      </x:c>
      <x:c r="I15" s="31"/>
      <x:c r="J15" s="31"/>
      <x:c r="K15" s="26" t="str">
        <x:v>缺核对明细</x:v>
      </x:c>
      <x:c r="L15" s="31"/>
      <x:c r="M15" s="31"/>
      <x:c r="N15" s="26" t="str">
        <x:v>缺核对明细，无法核算</x:v>
      </x:c>
      <x:c r="O15" s="26"/>
      <x:c r="P15" s="26" t="str">
        <x:v>缺核对明细，无法重建预付；原预付仅按基础表保留。</x:v>
      </x:c>
      <x:c r="Q15" s="26" t="str">
        <x:v>缺原始核对明细，无法拆分。</x:v>
      </x:c>
    </x:row>
    <x:row r="16" ht="120" customHeight="1">
      <x:c r="A16" s="26" t="n">
        <x:v>15</x:v>
      </x:c>
      <x:c r="B16" s="26" t="str">
        <x:v>873757186200</x:v>
      </x:c>
      <x:c r="C16" s="26" t="str">
        <x:v>EL200V2</x:v>
      </x:c>
      <x:c r="D16" s="31" t="n">
        <x:v>59.37</x:v>
      </x:c>
      <x:c r="E16" s="31" t="n">
        <x:v>59.37</x:v>
      </x:c>
      <x:c r="F16" s="31" t="n">
        <x:f>E16-D16</x:f>
        <x:v>0</x:v>
      </x:c>
      <x:c r="G16" s="26" t="str">
        <x:v>一致（精确到美分）</x:v>
      </x:c>
      <x:c r="H16" s="31" t="n">
        <x:v>120.637</x:v>
      </x:c>
      <x:c r="I16" s="31" t="n">
        <x:v>109.67</x:v>
      </x:c>
      <x:c r="J16" s="31" t="n">
        <x:v>109.67</x:v>
      </x:c>
      <x:c r="K16" s="26" t="str">
        <x:v>分项加总一致</x:v>
      </x:c>
      <x:c r="L16" s="31" t="n">
        <x:v>120.637</x:v>
      </x:c>
      <x:c r="M16" s="31" t="n">
        <x:f>L16-H16</x:f>
        <x:v>0</x:v>
      </x:c>
      <x:c r="N16" s="26" t="str">
        <x:v>一致（按此前统一收费口径）</x:v>
      </x:c>
      <x:c r="O16" s="26" t="n">
        <x:v>264</x:v>
      </x:c>
      <x:c r="P16" s="26" t="str">
        <x:v>反推假设：64lb、Zone2（账单Zone8）。
标准运费32.93×61%≈20.09
＋假设折后附加费23.00
＋燃油(20.09＋23.00)×25.25%≈10.88
＝预估承运成本53.97
按既有收费规则折算→预付59.37；与原预付差+0.00。</x:v>
      </x:c>
      <x:c r="Q16" s="26" t="str">
        <x:v>运输费95.40
−折扣37.21
＋Add'l Handling-Weight 29.37
＋燃油22.11
＝承运净额109.67
账单实收120.637（按既有收费规则）</x:v>
      </x:c>
    </x:row>
    <x:row r="17" ht="120" customHeight="1">
      <x:c r="A17" s="26" t="n">
        <x:v>16</x:v>
      </x:c>
      <x:c r="B17" s="26" t="str">
        <x:v>874206087834</x:v>
      </x:c>
      <x:c r="C17" s="26" t="str">
        <x:v>EL100V2</x:v>
      </x:c>
      <x:c r="D17" s="31" t="n">
        <x:v>37.47</x:v>
      </x:c>
      <x:c r="E17" s="31" t="n">
        <x:v>37.47</x:v>
      </x:c>
      <x:c r="F17" s="31" t="n">
        <x:f>E17-D17</x:f>
        <x:v>0</x:v>
      </x:c>
      <x:c r="G17" s="26" t="str">
        <x:v>一致（精确到美分）</x:v>
      </x:c>
      <x:c r="H17" s="31" t="n">
        <x:v>93.126</x:v>
      </x:c>
      <x:c r="I17" s="31" t="n">
        <x:v>84.66</x:v>
      </x:c>
      <x:c r="J17" s="31" t="n">
        <x:v>84.66</x:v>
      </x:c>
      <x:c r="K17" s="26" t="str">
        <x:v>分项加总一致</x:v>
      </x:c>
      <x:c r="L17" s="31" t="n">
        <x:v>93.126</x:v>
      </x:c>
      <x:c r="M17" s="31" t="n">
        <x:f>L17-H17</x:f>
        <x:v>0</x:v>
      </x:c>
      <x:c r="N17" s="26" t="str">
        <x:v>一致（按此前统一收费口径）</x:v>
      </x:c>
      <x:c r="O17" s="26" t="n">
        <x:v>408</x:v>
      </x:c>
      <x:c r="P17" s="26" t="str">
        <x:v>反推假设：29lb、Zone6（账单Zone6）。
标准运费44.68×61%≈27.25
＋假设折后附加费0.00
＋燃油(27.25＋0.00)×25.00%≈6.81
＝预估承运成本34.06
按既有收费规则折算→预付37.47；与原预付差+0.00。</x:v>
      </x:c>
      <x:c r="Q17" s="26" t="str">
        <x:v>运输费67.73
＋燃油16.93
＝承运净额84.66
账单实收93.126（按既有收费规则）</x:v>
      </x:c>
    </x:row>
    <x:row r="18" ht="120" customHeight="1">
      <x:c r="A18" s="26" t="n">
        <x:v>17</x:v>
      </x:c>
      <x:c r="B18" s="26" t="str">
        <x:v>873066802429</x:v>
      </x:c>
      <x:c r="C18" s="26" t="str">
        <x:v>AC200L</x:v>
      </x:c>
      <x:c r="D18" s="31" t="n">
        <x:v>19.51</x:v>
      </x:c>
      <x:c r="E18" s="31" t="n">
        <x:v>19.5</x:v>
      </x:c>
      <x:c r="F18" s="31" t="n">
        <x:f>E18-D18</x:f>
        <x:v>-0.010000000000001563</x:v>
      </x:c>
      <x:c r="G18" s="26" t="str">
        <x:v>仅接近（不超过0.15美元）</x:v>
      </x:c>
      <x:c r="H18" s="31" t="n">
        <x:v>71.016</x:v>
      </x:c>
      <x:c r="I18" s="31" t="n">
        <x:v>64.56</x:v>
      </x:c>
      <x:c r="J18" s="31" t="n">
        <x:v>64.56</x:v>
      </x:c>
      <x:c r="K18" s="26" t="str">
        <x:v>分项加总一致</x:v>
      </x:c>
      <x:c r="L18" s="31" t="n">
        <x:v>71.016</x:v>
      </x:c>
      <x:c r="M18" s="31" t="n">
        <x:f>L18-H18</x:f>
        <x:v>0</x:v>
      </x:c>
      <x:c r="N18" s="26" t="str">
        <x:v>一致（按此前统一收费口径）</x:v>
      </x:c>
      <x:c r="O18" s="26" t="n">
        <x:v>4</x:v>
      </x:c>
      <x:c r="P18" s="26" t="str">
        <x:v>反推假设：23lb、Zone3（账单Zone3）。
标准运费23.07×61%≈14.07
＋假设折后附加费0.00
＋燃油(14.07＋0.00)×26.00%≈3.66
＝预估承运成本17.73
按既有收费规则折算→预付19.50；与原预付差-0.01。</x:v>
      </x:c>
      <x:c r="Q18" s="26" t="str">
        <x:v>运输费42.82
−折扣16.70
＋Add'l Handling-Weight 25.12
＋燃油13.32
＝承运净额64.56
账单实收71.016（按既有收费规则）</x:v>
      </x:c>
    </x:row>
    <x:row r="19" ht="120" customHeight="1">
      <x:c r="A19" s="26" t="n">
        <x:v>18</x:v>
      </x:c>
      <x:c r="B19" s="26" t="str">
        <x:v>873550710598</x:v>
      </x:c>
      <x:c r="C19" s="26" t="str">
        <x:v>EL200</x:v>
      </x:c>
      <x:c r="D19" s="31" t="n">
        <x:v>60.52</x:v>
      </x:c>
      <x:c r="E19" s="31" t="n">
        <x:v>60.52</x:v>
      </x:c>
      <x:c r="F19" s="31" t="n">
        <x:f>E19-D19</x:f>
        <x:v>0</x:v>
      </x:c>
      <x:c r="G19" s="26" t="str">
        <x:v>一致（精确到美分）</x:v>
      </x:c>
      <x:c r="H19" s="31" t="n">
        <x:v>111.793</x:v>
      </x:c>
      <x:c r="I19" s="31" t="n">
        <x:v>101.63</x:v>
      </x:c>
      <x:c r="J19" s="31" t="n">
        <x:v>101.63</x:v>
      </x:c>
      <x:c r="K19" s="26" t="str">
        <x:v>分项加总一致</x:v>
      </x:c>
      <x:c r="L19" s="31" t="n">
        <x:v>111.793</x:v>
      </x:c>
      <x:c r="M19" s="31" t="n">
        <x:f>L19-H19</x:f>
        <x:v>0</x:v>
      </x:c>
      <x:c r="N19" s="26" t="str">
        <x:v>一致（按此前统一收费口径）</x:v>
      </x:c>
      <x:c r="O19" s="26" t="n">
        <x:v>174</x:v>
      </x:c>
      <x:c r="P19" s="26" t="str">
        <x:v>反推假设：43lb、Zone7（账单Zone7）。
标准运费71.87×61%≈43.84
＋假设折后附加费0.00
＋燃油(43.84＋0.00)×25.50%≈11.18
＝预估承运成本55.02
按既有收费规则折算→预付60.52；与原预付差+0.00。</x:v>
      </x:c>
      <x:c r="Q19" s="26" t="str">
        <x:v>运输费84.61
−折扣33.00
＋Add'l Handling-Weight 29.37
＋燃油20.65
＝承运净额101.63
账单实收111.793（按既有收费规则）</x:v>
      </x:c>
    </x:row>
    <x:row r="20" ht="120" customHeight="1">
      <x:c r="A20" s="26" t="n">
        <x:v>19</x:v>
      </x:c>
      <x:c r="B20" s="26" t="str">
        <x:v>873867357360</x:v>
      </x:c>
      <x:c r="C20" s="26" t="str">
        <x:v>EL400</x:v>
      </x:c>
      <x:c r="D20" s="31" t="n">
        <x:v>87.96</x:v>
      </x:c>
      <x:c r="E20" s="31" t="n">
        <x:v>87.98</x:v>
      </x:c>
      <x:c r="F20" s="31" t="n">
        <x:f>E20-D20</x:f>
        <x:v>0.020000000000010232</x:v>
      </x:c>
      <x:c r="G20" s="26" t="str">
        <x:v>仅接近（不超过0.15美元）</x:v>
      </x:c>
      <x:c r="H20" s="31" t="n">
        <x:v>138.974</x:v>
      </x:c>
      <x:c r="I20" s="31" t="n">
        <x:v>126.34</x:v>
      </x:c>
      <x:c r="J20" s="31" t="n">
        <x:v>126.34</x:v>
      </x:c>
      <x:c r="K20" s="26" t="str">
        <x:v>分项加总一致</x:v>
      </x:c>
      <x:c r="L20" s="31" t="n">
        <x:v>138.974</x:v>
      </x:c>
      <x:c r="M20" s="31" t="n">
        <x:f>L20-H20</x:f>
        <x:v>0</x:v>
      </x:c>
      <x:c r="N20" s="26" t="str">
        <x:v>一致（按此前统一收费口径）</x:v>
      </x:c>
      <x:c r="O20" s="26" t="n">
        <x:v>247</x:v>
      </x:c>
      <x:c r="P20" s="26" t="str">
        <x:v>反推假设：89lb、Zone3（账单Zone8）。
标准运费63.49×61%≈38.73
＋假设折后附加费25.13
＋燃油(38.73＋25.13)×25.25%≈16.12
＝预估承运成本79.98
按既有收费规则折算→预付87.98；与原预付差+0.02。</x:v>
      </x:c>
      <x:c r="Q20" s="26" t="str">
        <x:v>运输费117.21
−折扣45.71
＋Add'l Handling-Weight 29.37
＋燃油25.47
＝承运净额126.34
账单实收138.974（按既有收费规则）</x:v>
      </x:c>
    </x:row>
    <x:row r="21" ht="120" customHeight="1">
      <x:c r="A21" s="26" t="n">
        <x:v>20</x:v>
      </x:c>
      <x:c r="B21" s="26" t="str">
        <x:v>874146533931</x:v>
      </x:c>
      <x:c r="C21" s="26" t="str">
        <x:v>EL100V2</x:v>
      </x:c>
      <x:c r="D21" s="31" t="n">
        <x:v>26.2</x:v>
      </x:c>
      <x:c r="E21" s="31" t="n">
        <x:v>26.19</x:v>
      </x:c>
      <x:c r="F21" s="31" t="n">
        <x:f>E21-D21</x:f>
        <x:v>-0.00999999999999801</x:v>
      </x:c>
      <x:c r="G21" s="26" t="str">
        <x:v>仅接近（不超过0.15美元）</x:v>
      </x:c>
      <x:c r="H21" s="31" t="n">
        <x:v>76.725</x:v>
      </x:c>
      <x:c r="I21" s="31" t="n">
        <x:v>69.75</x:v>
      </x:c>
      <x:c r="J21" s="31" t="n">
        <x:v>69.75</x:v>
      </x:c>
      <x:c r="K21" s="26" t="str">
        <x:v>分项加总一致</x:v>
      </x:c>
      <x:c r="L21" s="31" t="n">
        <x:v>76.725</x:v>
      </x:c>
      <x:c r="M21" s="31" t="n">
        <x:f>L21-H21</x:f>
        <x:v>0</x:v>
      </x:c>
      <x:c r="N21" s="26" t="str">
        <x:v>一致（按此前统一收费口径）</x:v>
      </x:c>
      <x:c r="O21" s="26" t="n">
        <x:v>405</x:v>
      </x:c>
      <x:c r="P21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Q21" s="26" t="str">
        <x:v>运输费55.80
＋燃油13.95
＝承运净额69.75
账单实收76.725（按既有收费规则）</x:v>
      </x:c>
    </x:row>
    <x:row r="22" ht="120" customHeight="1">
      <x:c r="A22" s="26" t="n">
        <x:v>21</x:v>
      </x:c>
      <x:c r="B22" s="26" t="str">
        <x:v>874207551259</x:v>
      </x:c>
      <x:c r="C22" s="26" t="str">
        <x:v>AC70</x:v>
      </x:c>
      <x:c r="D22" s="31" t="n">
        <x:v>23.61</x:v>
      </x:c>
      <x:c r="E22" s="31" t="n">
        <x:v>25.2</x:v>
      </x:c>
      <x:c r="F22" s="31" t="n">
        <x:f>E22-D22</x:f>
        <x:v>1.5899999999999999</x:v>
      </x:c>
      <x:c r="G22" s="26" t="str">
        <x:v>未对上</x:v>
      </x:c>
      <x:c r="H22" s="31" t="n">
        <x:v>72.71</x:v>
      </x:c>
      <x:c r="I22" s="31" t="n">
        <x:v>66.1</x:v>
      </x:c>
      <x:c r="J22" s="31" t="n">
        <x:v>66.1</x:v>
      </x:c>
      <x:c r="K22" s="26" t="str">
        <x:v>分项加总一致</x:v>
      </x:c>
      <x:c r="L22" s="31" t="n">
        <x:v>72.71</x:v>
      </x:c>
      <x:c r="M22" s="31" t="n">
        <x:f>L22-H22</x:f>
        <x:v>0</x:v>
      </x:c>
      <x:c r="N22" s="26" t="str">
        <x:v>一致（按此前统一收费口径）</x:v>
      </x:c>
      <x:c r="O22" s="26" t="n">
        <x:v>411</x:v>
      </x:c>
      <x:c r="P22" s="26" t="str">
        <x:v>反推假设：18lb、Zone6（账单Zone5）。
标准运费30.05×61%≈18.33
＋假设折后附加费0.00
＋燃油(18.33＋0.00)×25.00%≈4.58
＝预估承运成本22.91
按既有收费规则折算→预付25.20；与原预付差+1.59。</x:v>
      </x:c>
      <x:c r="Q22" s="26" t="str">
        <x:v>运输费52.88
＋燃油13.22
＝承运净额66.10
账单实收72.710（按既有收费规则）</x:v>
      </x:c>
    </x:row>
    <x:row r="23" ht="120" customHeight="1">
      <x:c r="A23" s="26" t="n">
        <x:v>22</x:v>
      </x:c>
      <x:c r="B23" s="26" t="str">
        <x:v>873910359390</x:v>
      </x:c>
      <x:c r="C23" s="26" t="str">
        <x:v>EL100V2</x:v>
      </x:c>
      <x:c r="D23" s="31" t="n">
        <x:v>29.12</x:v>
      </x:c>
      <x:c r="E23" s="31" t="n">
        <x:v>29.07</x:v>
      </x:c>
      <x:c r="F23" s="31" t="n">
        <x:f>E23-D23</x:f>
        <x:v>-0.05000000000000071</x:v>
      </x:c>
      <x:c r="G23" s="26" t="str">
        <x:v>仅接近（不超过0.15美元）</x:v>
      </x:c>
      <x:c r="H23" s="31" t="n">
        <x:v>76.725</x:v>
      </x:c>
      <x:c r="I23" s="31" t="n">
        <x:v>69.75</x:v>
      </x:c>
      <x:c r="J23" s="31" t="n">
        <x:v>69.75</x:v>
      </x:c>
      <x:c r="K23" s="26" t="str">
        <x:v>分项加总一致</x:v>
      </x:c>
      <x:c r="L23" s="31" t="n">
        <x:v>76.725</x:v>
      </x:c>
      <x:c r="M23" s="31" t="n">
        <x:f>L23-H23</x:f>
        <x:v>0</x:v>
      </x:c>
      <x:c r="N23" s="26" t="str">
        <x:v>一致（按此前统一收费口径）</x:v>
      </x:c>
      <x:c r="O23" s="26" t="n">
        <x:v>378</x:v>
      </x:c>
      <x:c r="P23" s="26" t="str">
        <x:v>反推假设：28lb、Zone5（账单Zone5）。
标准运费34.65×61%≈21.14
＋假设折后附加费0.00
＋燃油(21.14＋0.00)×25.00%≈5.29
＝预估承运成本26.43
按既有收费规则折算→预付29.07；与原预付差-0.05。</x:v>
      </x:c>
      <x:c r="Q23" s="26" t="str">
        <x:v>运输费55.80
＋燃油13.95
＝承运净额69.75
账单实收76.725（按既有收费规则）</x:v>
      </x:c>
    </x:row>
    <x:row r="24" ht="120" customHeight="1">
      <x:c r="A24" s="26" t="n">
        <x:v>23</x:v>
      </x:c>
      <x:c r="B24" s="26" t="str">
        <x:v>873244180333</x:v>
      </x:c>
      <x:c r="C24" s="26" t="str">
        <x:v>EL200</x:v>
      </x:c>
      <x:c r="D24" s="31" t="n">
        <x:v>41.36</x:v>
      </x:c>
      <x:c r="E24" s="31" t="n">
        <x:v>41.11</x:v>
      </x:c>
      <x:c r="F24" s="31" t="n">
        <x:f>E24-D24</x:f>
        <x:v>-0.25</x:v>
      </x:c>
      <x:c r="G24" s="26" t="str">
        <x:v>未对上</x:v>
      </x:c>
      <x:c r="H24" s="31" t="n">
        <x:v>88.869</x:v>
      </x:c>
      <x:c r="I24" s="31" t="n">
        <x:v>80.79</x:v>
      </x:c>
      <x:c r="J24" s="31" t="n">
        <x:v>80.79</x:v>
      </x:c>
      <x:c r="K24" s="26" t="str">
        <x:v>分项加总一致</x:v>
      </x:c>
      <x:c r="L24" s="31" t="n">
        <x:v>88.869</x:v>
      </x:c>
      <x:c r="M24" s="31" t="n">
        <x:f>L24-H24</x:f>
        <x:v>0</x:v>
      </x:c>
      <x:c r="N24" s="26" t="str">
        <x:v>一致（按此前统一收费口径）</x:v>
      </x:c>
      <x:c r="O24" s="26" t="n">
        <x:v>213</x:v>
      </x:c>
      <x:c r="P24" s="26" t="str">
        <x:v>反推假设：43lb、Zone5（账单Zone5）。
标准运费48.91×61%≈29.84
＋假设折后附加费0.00
＋燃油(29.84＋0.00)×25.25%≈7.53
＝预估承运成本37.37
按既有收费规则折算→预付41.11；与原预付差-0.25。</x:v>
      </x:c>
      <x:c r="Q24" s="26" t="str">
        <x:v>运输费59.64
−折扣23.26
＋Add'l Handling-Weight 28.12
＋燃油16.29
＝承运净额80.79
账单实收88.869（按既有收费规则）</x:v>
      </x:c>
    </x:row>
    <x:row r="25" ht="120" customHeight="1">
      <x:c r="A25" s="26" t="n">
        <x:v>24</x:v>
      </x:c>
      <x:c r="B25" s="26" t="str">
        <x:v>873109426400</x:v>
      </x:c>
      <x:c r="C25" s="26"/>
      <x:c r="D25" s="31" t="n">
        <x:v>31.75</x:v>
      </x:c>
      <x:c r="E25" s="31" t="n">
        <x:v>19.03</x:v>
      </x:c>
      <x:c r="F25" s="31" t="n">
        <x:f>E25-D25</x:f>
        <x:v>-12.719999999999999</x:v>
      </x:c>
      <x:c r="G25" s="26" t="str">
        <x:v>未对上</x:v>
      </x:c>
      <x:c r="H25" s="31" t="n">
        <x:v>75.48</x:v>
      </x:c>
      <x:c r="I25" s="31" t="n">
        <x:v>62.9</x:v>
      </x:c>
      <x:c r="J25" s="31" t="n">
        <x:v>62.9</x:v>
      </x:c>
      <x:c r="K25" s="26" t="str">
        <x:v>分项加总一致</x:v>
      </x:c>
      <x:c r="L25" s="31" t="n">
        <x:v>69.19</x:v>
      </x:c>
      <x:c r="M25" s="31" t="n">
        <x:f>L25-H25</x:f>
        <x:v>-6.290000000000006</x:v>
      </x:c>
      <x:c r="N25" s="26" t="str">
        <x:v>未对上，收费口径待确认</x:v>
      </x:c>
      <x:c r="O25" s="26" t="n">
        <x:v>36</x:v>
      </x:c>
      <x:c r="P25" s="26" t="str">
        <x:v>反推假设：7lb、Zone8（账单Zone7）。
标准运费22.51×61%≈13.73
＋假设折后附加费0.00
＋燃油(13.73＋0.00)×26.00%≈3.57
＝预估承运成本17.30
按既有收费规则折算→预付19.03；与原预付差-12.72。</x:v>
      </x:c>
      <x:c r="Q25" s="26" t="str">
        <x:v>运输费29.04
−折扣7.84
＋Address Correction 25.50
＋Residential Delivery 3.22
＋燃油12.98
＝承运净额62.90
账单实收75.480（按既有收费规则）</x:v>
      </x:c>
    </x:row>
    <x:row r="26" ht="120" customHeight="1">
      <x:c r="A26" s="26" t="n">
        <x:v>25</x:v>
      </x:c>
      <x:c r="B26" s="26" t="str">
        <x:v>875028998897</x:v>
      </x:c>
      <x:c r="C26" s="26" t="str">
        <x:v>Elite 200 V2</x:v>
      </x:c>
      <x:c r="D26" s="31" t="n">
        <x:v>55.87</x:v>
      </x:c>
      <x:c r="E26" s="31"/>
      <x:c r="F26" s="31"/>
      <x:c r="G26" s="26" t="str">
        <x:v>缺明细，无法试算</x:v>
      </x:c>
      <x:c r="H26" s="31" t="n">
        <x:v>99.539</x:v>
      </x:c>
      <x:c r="I26" s="31"/>
      <x:c r="J26" s="31"/>
      <x:c r="K26" s="26" t="str">
        <x:v>缺核对明细</x:v>
      </x:c>
      <x:c r="L26" s="31"/>
      <x:c r="M26" s="31"/>
      <x:c r="N26" s="26" t="str">
        <x:v>缺核对明细，无法核算</x:v>
      </x:c>
      <x:c r="O26" s="26"/>
      <x:c r="P26" s="26" t="str">
        <x:v>缺核对明细，无法重建预付；原预付仅按基础表保留。</x:v>
      </x:c>
      <x:c r="Q26" s="26" t="str">
        <x:v>缺原始核对明细，无法拆分。</x:v>
      </x:c>
    </x:row>
    <x:row r="27" ht="120" customHeight="1">
      <x:c r="A27" s="26" t="n">
        <x:v>26</x:v>
      </x:c>
      <x:c r="B27" s="26" t="str">
        <x:v>875130751304</x:v>
      </x:c>
      <x:c r="C27" s="26" t="str">
        <x:v>FRPOWER</x:v>
      </x:c>
      <x:c r="D27" s="31" t="n">
        <x:v>42.02</x:v>
      </x:c>
      <x:c r="E27" s="31"/>
      <x:c r="F27" s="31"/>
      <x:c r="G27" s="26" t="str">
        <x:v>缺明细，无法试算</x:v>
      </x:c>
      <x:c r="H27" s="31" t="n">
        <x:v>84.403</x:v>
      </x:c>
      <x:c r="I27" s="31"/>
      <x:c r="J27" s="31"/>
      <x:c r="K27" s="26" t="str">
        <x:v>缺核对明细</x:v>
      </x:c>
      <x:c r="L27" s="31"/>
      <x:c r="M27" s="31"/>
      <x:c r="N27" s="26" t="str">
        <x:v>缺核对明细，无法核算</x:v>
      </x:c>
      <x:c r="O27" s="26"/>
      <x:c r="P27" s="26" t="str">
        <x:v>缺核对明细，无法重建预付；原预付仅按基础表保留。</x:v>
      </x:c>
      <x:c r="Q27" s="26" t="str">
        <x:v>缺原始核对明细，无法拆分。</x:v>
      </x:c>
    </x:row>
    <x:row r="28" ht="120" customHeight="1">
      <x:c r="A28" s="26" t="n">
        <x:v>27</x:v>
      </x:c>
      <x:c r="B28" s="26" t="str">
        <x:v>875134297499</x:v>
      </x:c>
      <x:c r="C28" s="26" t="str">
        <x:v>FRPOWER</x:v>
      </x:c>
      <x:c r="D28" s="31" t="n">
        <x:v>42.01</x:v>
      </x:c>
      <x:c r="E28" s="31"/>
      <x:c r="F28" s="31"/>
      <x:c r="G28" s="26" t="str">
        <x:v>缺明细，无法试算</x:v>
      </x:c>
      <x:c r="H28" s="31" t="n">
        <x:v>84.381</x:v>
      </x:c>
      <x:c r="I28" s="31"/>
      <x:c r="J28" s="31"/>
      <x:c r="K28" s="26" t="str">
        <x:v>缺核对明细</x:v>
      </x:c>
      <x:c r="L28" s="31"/>
      <x:c r="M28" s="31"/>
      <x:c r="N28" s="26" t="str">
        <x:v>缺核对明细，无法核算</x:v>
      </x:c>
      <x:c r="O28" s="26"/>
      <x:c r="P28" s="26" t="str">
        <x:v>缺核对明细，无法重建预付；原预付仅按基础表保留。</x:v>
      </x:c>
      <x:c r="Q28" s="26" t="str">
        <x:v>缺原始核对明细，无法拆分。</x:v>
      </x:c>
    </x:row>
    <x:row r="29" ht="120" customHeight="1">
      <x:c r="A29" s="26" t="n">
        <x:v>28</x:v>
      </x:c>
      <x:c r="B29" s="26" t="str">
        <x:v>874765539780</x:v>
      </x:c>
      <x:c r="C29" s="26" t="str">
        <x:v>AC200L</x:v>
      </x:c>
      <x:c r="D29" s="31" t="n">
        <x:v>30.61</x:v>
      </x:c>
      <x:c r="E29" s="31"/>
      <x:c r="F29" s="31"/>
      <x:c r="G29" s="26" t="str">
        <x:v>缺明细，无法试算</x:v>
      </x:c>
      <x:c r="H29" s="31" t="n">
        <x:v>72.809</x:v>
      </x:c>
      <x:c r="I29" s="31"/>
      <x:c r="J29" s="31"/>
      <x:c r="K29" s="26" t="str">
        <x:v>缺核对明细</x:v>
      </x:c>
      <x:c r="L29" s="31"/>
      <x:c r="M29" s="31"/>
      <x:c r="N29" s="26" t="str">
        <x:v>缺核对明细，无法核算</x:v>
      </x:c>
      <x:c r="O29" s="26"/>
      <x:c r="P29" s="26" t="str">
        <x:v>缺核对明细，无法重建预付；原预付仅按基础表保留。</x:v>
      </x:c>
      <x:c r="Q29" s="26" t="str">
        <x:v>缺原始核对明细，无法拆分。</x:v>
      </x:c>
    </x:row>
    <x:row r="30" ht="120" customHeight="1">
      <x:c r="A30" s="26" t="n">
        <x:v>29</x:v>
      </x:c>
      <x:c r="B30" s="26" t="str">
        <x:v>873914785670</x:v>
      </x:c>
      <x:c r="C30" s="26" t="str">
        <x:v>EL100V2</x:v>
      </x:c>
      <x:c r="D30" s="31" t="n">
        <x:v>26.25</x:v>
      </x:c>
      <x:c r="E30" s="31" t="n">
        <x:v>26.19</x:v>
      </x:c>
      <x:c r="F30" s="31" t="n">
        <x:f>E30-D30</x:f>
        <x:v>-0.05999999999999872</x:v>
      </x:c>
      <x:c r="G30" s="26" t="str">
        <x:v>仅接近（不超过0.15美元）</x:v>
      </x:c>
      <x:c r="H30" s="31" t="n">
        <x:v>68.178</x:v>
      </x:c>
      <x:c r="I30" s="31" t="n">
        <x:v>61.98</x:v>
      </x:c>
      <x:c r="J30" s="31" t="n">
        <x:v>61.98</x:v>
      </x:c>
      <x:c r="K30" s="26" t="str">
        <x:v>分项加总一致</x:v>
      </x:c>
      <x:c r="L30" s="31" t="n">
        <x:v>68.178</x:v>
      </x:c>
      <x:c r="M30" s="31" t="n">
        <x:f>L30-H30</x:f>
        <x:v>0</x:v>
      </x:c>
      <x:c r="N30" s="26" t="str">
        <x:v>一致（按此前统一收费口径）</x:v>
      </x:c>
      <x:c r="O30" s="26" t="n">
        <x:v>379</x:v>
      </x:c>
      <x:c r="P30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Q30" s="26" t="str">
        <x:v>运输费49.58
＋燃油12.40
＝承运净额61.98
账单实收68.178（按既有收费规则）</x:v>
      </x:c>
    </x:row>
    <x:row r="31" ht="120" customHeight="1">
      <x:c r="A31" s="26" t="n">
        <x:v>30</x:v>
      </x:c>
      <x:c r="B31" s="26" t="str">
        <x:v>873804755283</x:v>
      </x:c>
      <x:c r="C31" s="26" t="str">
        <x:v>FridgePower</x:v>
      </x:c>
      <x:c r="D31" s="31" t="n">
        <x:v>41.86</x:v>
      </x:c>
      <x:c r="E31" s="31" t="n">
        <x:v>41.86</x:v>
      </x:c>
      <x:c r="F31" s="31" t="n">
        <x:f>E31-D31</x:f>
        <x:v>0</x:v>
      </x:c>
      <x:c r="G31" s="26" t="str">
        <x:v>一致（精确到美分）</x:v>
      </x:c>
      <x:c r="H31" s="31" t="n">
        <x:v>83.71</x:v>
      </x:c>
      <x:c r="I31" s="31" t="n">
        <x:v>76.1</x:v>
      </x:c>
      <x:c r="J31" s="31" t="n">
        <x:v>76.1</x:v>
      </x:c>
      <x:c r="K31" s="26" t="str">
        <x:v>分项加总一致</x:v>
      </x:c>
      <x:c r="L31" s="31" t="n">
        <x:v>83.71</x:v>
      </x:c>
      <x:c r="M31" s="31" t="n">
        <x:f>L31-H31</x:f>
        <x:v>0</x:v>
      </x:c>
      <x:c r="N31" s="26" t="str">
        <x:v>一致（按此前统一收费口径）</x:v>
      </x:c>
      <x:c r="O31" s="26" t="n">
        <x:v>254</x:v>
      </x:c>
      <x:c r="P31" s="26" t="str">
        <x:v>反推假设：45lb、Zone5（账单Zone5）。
标准运费49.80×61%≈30.38
＋假设折后附加费0.00
＋燃油(30.38＋0.00)×25.25%≈7.67
＝预估承运成本38.05
按既有收费规则折算→预付41.86；与原预付差+0.00。</x:v>
      </x:c>
      <x:c r="Q31" s="26" t="str">
        <x:v>运输费53.51
−折扣20.87
＋Add'l Handling-Weight 28.12
＋燃油15.34
＝承运净额76.10
账单实收83.710（按既有收费规则）</x:v>
      </x:c>
    </x:row>
    <x:row r="32" ht="120" customHeight="1">
      <x:c r="A32" s="26" t="n">
        <x:v>31</x:v>
      </x:c>
      <x:c r="B32" s="26" t="str">
        <x:v>875020713663</x:v>
      </x:c>
      <x:c r="C32" s="26" t="str">
        <x:v>AC300</x:v>
      </x:c>
      <x:c r="D32" s="31" t="n">
        <x:v>55.45</x:v>
      </x:c>
      <x:c r="E32" s="31"/>
      <x:c r="F32" s="31"/>
      <x:c r="G32" s="26" t="str">
        <x:v>缺明细，无法试算</x:v>
      </x:c>
      <x:c r="H32" s="31" t="n">
        <x:v>96.602</x:v>
      </x:c>
      <x:c r="I32" s="31"/>
      <x:c r="J32" s="31"/>
      <x:c r="K32" s="26" t="str">
        <x:v>缺核对明细</x:v>
      </x:c>
      <x:c r="L32" s="31"/>
      <x:c r="M32" s="31"/>
      <x:c r="N32" s="26" t="str">
        <x:v>缺核对明细，无法核算</x:v>
      </x:c>
      <x:c r="O32" s="26"/>
      <x:c r="P32" s="26" t="str">
        <x:v>缺核对明细，无法重建预付；原预付仅按基础表保留。</x:v>
      </x:c>
      <x:c r="Q32" s="26" t="str">
        <x:v>缺原始核对明细，无法拆分。</x:v>
      </x:c>
    </x:row>
    <x:row r="33" ht="120" customHeight="1">
      <x:c r="A33" s="26" t="n">
        <x:v>32</x:v>
      </x:c>
      <x:c r="B33" s="26" t="str">
        <x:v>874042653905</x:v>
      </x:c>
      <x:c r="C33" s="26" t="str">
        <x:v>EL300</x:v>
      </x:c>
      <x:c r="D33" s="31" t="n">
        <x:v>33.66</x:v>
      </x:c>
      <x:c r="E33" s="31" t="n">
        <x:v>33.66</x:v>
      </x:c>
      <x:c r="F33" s="31" t="n">
        <x:f>E33-D33</x:f>
        <x:v>0</x:v>
      </x:c>
      <x:c r="G33" s="26" t="str">
        <x:v>一致（精确到美分）</x:v>
      </x:c>
      <x:c r="H33" s="31" t="n">
        <x:v>74.613</x:v>
      </x:c>
      <x:c r="I33" s="31" t="n">
        <x:v>67.83</x:v>
      </x:c>
      <x:c r="J33" s="31" t="n">
        <x:v>67.83</x:v>
      </x:c>
      <x:c r="K33" s="26" t="str">
        <x:v>分项加总一致</x:v>
      </x:c>
      <x:c r="L33" s="31" t="n">
        <x:v>74.613</x:v>
      </x:c>
      <x:c r="M33" s="31" t="n">
        <x:f>L33-H33</x:f>
        <x:v>0</x:v>
      </x:c>
      <x:c r="N33" s="26" t="str">
        <x:v>一致（按此前统一收费口径）</x:v>
      </x:c>
      <x:c r="O33" s="26" t="n">
        <x:v>345</x:v>
      </x:c>
      <x:c r="P33" s="26" t="str">
        <x:v>反推假设：43lb、Zone4（账单Zone4）。
标准运费40.13×61%≈24.48
＋假设折后附加费0.00
＋燃油(24.48＋0.00)×25.00%≈6.12
＝预估承运成本30.60
按既有收费规则折算→预付33.66；与原预付差+0.00。</x:v>
      </x:c>
      <x:c r="Q33" s="26" t="str">
        <x:v>运输费47.77
−折扣18.63
＋Add'l Handling-Weight 25.12
＋燃油13.57
＝承运净额67.83
账单实收74.613（按既有收费规则）</x:v>
      </x:c>
    </x:row>
    <x:row r="34" ht="120" customHeight="1">
      <x:c r="A34" s="26" t="n">
        <x:v>33</x:v>
      </x:c>
      <x:c r="B34" s="26" t="str">
        <x:v>873362675888</x:v>
      </x:c>
      <x:c r="C34" s="26" t="str">
        <x:v>AC300</x:v>
      </x:c>
      <x:c r="D34" s="31" t="n">
        <x:v>44.6</x:v>
      </x:c>
      <x:c r="E34" s="31" t="n">
        <x:v>44.61</x:v>
      </x:c>
      <x:c r="F34" s="31" t="n">
        <x:f>E34-D34</x:f>
        <x:v>0.00999999999999801</x:v>
      </x:c>
      <x:c r="G34" s="26" t="str">
        <x:v>仅接近（不超过0.15美元）</x:v>
      </x:c>
      <x:c r="H34" s="31" t="n">
        <x:v>84.348</x:v>
      </x:c>
      <x:c r="I34" s="31" t="n">
        <x:v>76.68</x:v>
      </x:c>
      <x:c r="J34" s="31" t="n">
        <x:v>76.68</x:v>
      </x:c>
      <x:c r="K34" s="26" t="str">
        <x:v>分项加总一致</x:v>
      </x:c>
      <x:c r="L34" s="31" t="n">
        <x:v>84.348</x:v>
      </x:c>
      <x:c r="M34" s="31" t="n">
        <x:f>L34-H34</x:f>
        <x:v>0</x:v>
      </x:c>
      <x:c r="N34" s="26" t="str">
        <x:v>一致（按此前统一收费口径）</x:v>
      </x:c>
      <x:c r="O34" s="26" t="n">
        <x:v>147</x:v>
      </x:c>
      <x:c r="P34" s="26" t="str">
        <x:v>反推假设：49lb、Zone5（账单Zone5）。
标准运费52.96×61%≈32.31
＋假设折后附加费0.00
＋燃油(32.31＋0.00)×25.50%≈8.24
＝预估承运成本40.55
按既有收费规则折算→预付44.61；与原预付差+0.01。</x:v>
      </x:c>
      <x:c r="Q34" s="26" t="str">
        <x:v>运输费54.07
−折扣21.09
＋Add'l Handling-Weight 28.12
＋燃油15.58
＝承运净额76.68
账单实收84.348（按既有收费规则）</x:v>
      </x:c>
    </x:row>
    <x:row r="35" ht="120" customHeight="1">
      <x:c r="A35" s="26" t="n">
        <x:v>34</x:v>
      </x:c>
      <x:c r="B35" s="26" t="str">
        <x:v>874284365236</x:v>
      </x:c>
      <x:c r="C35" s="26" t="str">
        <x:v>AC300</x:v>
      </x:c>
      <x:c r="D35" s="31" t="n">
        <x:v>44.42</x:v>
      </x:c>
      <x:c r="E35" s="31" t="n">
        <x:v>44.42</x:v>
      </x:c>
      <x:c r="F35" s="31" t="n">
        <x:f>E35-D35</x:f>
        <x:v>0</x:v>
      </x:c>
      <x:c r="G35" s="26" t="str">
        <x:v>一致（精确到美分）</x:v>
      </x:c>
      <x:c r="H35" s="31" t="n">
        <x:v>84.128</x:v>
      </x:c>
      <x:c r="I35" s="31" t="n">
        <x:v>76.48</x:v>
      </x:c>
      <x:c r="J35" s="31" t="n">
        <x:v>76.48</x:v>
      </x:c>
      <x:c r="K35" s="26" t="str">
        <x:v>分项加总一致</x:v>
      </x:c>
      <x:c r="L35" s="31" t="n">
        <x:v>84.128</x:v>
      </x:c>
      <x:c r="M35" s="31" t="n">
        <x:f>L35-H35</x:f>
        <x:v>0</x:v>
      </x:c>
      <x:c r="N35" s="26" t="str">
        <x:v>一致（按此前统一收费口径）</x:v>
      </x:c>
      <x:c r="O35" s="26" t="n">
        <x:v>437</x:v>
      </x:c>
      <x:c r="P35" s="26" t="str">
        <x:v>反推假设：48lb、Zone5（账单Zone5）。
标准运费52.95×61%≈32.30
＋假设折后附加费0.00
＋燃油(32.30＋0.00)×25.00%≈8.08
＝预估承运成本40.38
按既有收费规则折算→预付44.42；与原预付差+0.00。</x:v>
      </x:c>
      <x:c r="Q35" s="26" t="str">
        <x:v>运输费54.19
−折扣21.13
＋Add'l Handling-Weight 28.12
＋燃油15.30
＝承运净额76.48
账单实收84.128（按既有收费规则）</x:v>
      </x:c>
    </x:row>
    <x:row r="36" ht="120" customHeight="1">
      <x:c r="A36" s="26" t="n">
        <x:v>35</x:v>
      </x:c>
      <x:c r="B36" s="26" t="str">
        <x:v>874658545575</x:v>
      </x:c>
      <x:c r="C36" s="26" t="str">
        <x:v>AC200L</x:v>
      </x:c>
      <x:c r="D36" s="31" t="n">
        <x:v>23.47</x:v>
      </x:c>
      <x:c r="E36" s="31" t="n">
        <x:v>23.47</x:v>
      </x:c>
      <x:c r="F36" s="31" t="n">
        <x:f>E36-D36</x:f>
        <x:v>0</x:v>
      </x:c>
      <x:c r="G36" s="26" t="str">
        <x:v>一致（精确到美分）</x:v>
      </x:c>
      <x:c r="H36" s="31" t="n">
        <x:v>62.711</x:v>
      </x:c>
      <x:c r="I36" s="31" t="n">
        <x:v>57.01</x:v>
      </x:c>
      <x:c r="J36" s="31" t="n">
        <x:v>57.01</x:v>
      </x:c>
      <x:c r="K36" s="26" t="str">
        <x:v>分项加总一致</x:v>
      </x:c>
      <x:c r="L36" s="31" t="n">
        <x:v>62.711</x:v>
      </x:c>
      <x:c r="M36" s="31" t="n">
        <x:f>L36-H36</x:f>
        <x:v>0</x:v>
      </x:c>
      <x:c r="N36" s="26" t="str">
        <x:v>一致（按此前统一收费口径）</x:v>
      </x:c>
      <x:c r="O36" s="26" t="n">
        <x:v>529</x:v>
      </x:c>
      <x:c r="P36" s="26" t="str">
        <x:v>反推假设：43lb、Zone2（账单Zone2）。
标准运费27.93×61%≈17.04
＋假设折后附加费0.00
＋燃油(17.04＋0.00)×25.25%≈4.30
＝预估承运成本21.34
按既有收费规则折算→预付23.47；与原预付差+0.00。</x:v>
      </x:c>
      <x:c r="Q36" s="26" t="str">
        <x:v>运输费36.91
−折扣14.39
＋Add'l Handling-Weight 23.00
＋燃油11.49
＝承运净额57.01
账单实收62.711（按既有收费规则）</x:v>
      </x:c>
    </x:row>
    <x:row r="37" ht="120" customHeight="1">
      <x:c r="A37" s="26" t="n">
        <x:v>36</x:v>
      </x:c>
      <x:c r="B37" s="26" t="str">
        <x:v>874349396659</x:v>
      </x:c>
      <x:c r="C37" s="26" t="str">
        <x:v>FP2</x:v>
      </x:c>
      <x:c r="D37" s="31" t="n">
        <x:v>34.54</x:v>
      </x:c>
      <x:c r="E37" s="31"/>
      <x:c r="F37" s="31"/>
      <x:c r="G37" s="26" t="str">
        <x:v>缺明细，无法试算</x:v>
      </x:c>
      <x:c r="H37" s="31" t="n">
        <x:v>71.995</x:v>
      </x:c>
      <x:c r="I37" s="31"/>
      <x:c r="J37" s="31"/>
      <x:c r="K37" s="26" t="str">
        <x:v>缺核对明细</x:v>
      </x:c>
      <x:c r="L37" s="31"/>
      <x:c r="M37" s="31"/>
      <x:c r="N37" s="26" t="str">
        <x:v>缺核对明细，无法核算</x:v>
      </x:c>
      <x:c r="O37" s="26"/>
      <x:c r="P37" s="26" t="str">
        <x:v>缺核对明细，无法重建预付；原预付仅按基础表保留。</x:v>
      </x:c>
      <x:c r="Q37" s="26" t="str">
        <x:v>缺原始核对明细，无法拆分。</x:v>
      </x:c>
    </x:row>
    <x:row r="38" ht="120" customHeight="1">
      <x:c r="A38" s="26" t="n">
        <x:v>37</x:v>
      </x:c>
      <x:c r="B38" s="26" t="str">
        <x:v>874825347598</x:v>
      </x:c>
      <x:c r="C38" s="26" t="str">
        <x:v>FP2</x:v>
      </x:c>
      <x:c r="D38" s="31" t="n">
        <x:v>34.6</x:v>
      </x:c>
      <x:c r="E38" s="31" t="n">
        <x:v>34.61</x:v>
      </x:c>
      <x:c r="F38" s="31" t="n">
        <x:f>E38-D38</x:f>
        <x:v>0.00999999999999801</x:v>
      </x:c>
      <x:c r="G38" s="26" t="str">
        <x:v>仅接近（不超过0.15美元）</x:v>
      </x:c>
      <x:c r="H38" s="31" t="n">
        <x:v>71.687</x:v>
      </x:c>
      <x:c r="I38" s="31" t="n">
        <x:v>65.17</x:v>
      </x:c>
      <x:c r="J38" s="31" t="n">
        <x:v>65.17</x:v>
      </x:c>
      <x:c r="K38" s="26" t="str">
        <x:v>分项加总一致</x:v>
      </x:c>
      <x:c r="L38" s="31" t="n">
        <x:v>71.687</x:v>
      </x:c>
      <x:c r="M38" s="31" t="n">
        <x:f>L38-H38</x:f>
        <x:v>0</x:v>
      </x:c>
      <x:c r="N38" s="26" t="str">
        <x:v>一致（按此前统一收费口径）</x:v>
      </x:c>
      <x:c r="O38" s="26" t="n">
        <x:v>545</x:v>
      </x:c>
      <x:c r="P38" s="26" t="str">
        <x:v>反推假设：45lb、Zone4（账单Zone4）。
标准运费41.18×61%≈25.12
＋假设折后附加费0.00
＋燃油(25.12＋0.00)×25.25%≈6.34
＝预估承运成本31.46
按既有收费规则折算→预付34.61；与原预付差+0.01。</x:v>
      </x:c>
      <x:c r="Q38" s="26" t="str">
        <x:v>运输费44.12
−折扣17.21
＋Add'l Handling-Weight 25.12
＋燃油13.14
＝承运净额65.17
账单实收71.687（按既有收费规则）</x:v>
      </x:c>
    </x:row>
    <x:row r="39" ht="120" customHeight="1">
      <x:c r="A39" s="26" t="n">
        <x:v>38</x:v>
      </x:c>
      <x:c r="B39" s="26" t="str">
        <x:v>874712976955</x:v>
      </x:c>
      <x:c r="C39" s="26" t="str">
        <x:v>Elite 200 V2</x:v>
      </x:c>
      <x:c r="D39" s="31" t="n">
        <x:v>30.61</x:v>
      </x:c>
      <x:c r="E39" s="31" t="n">
        <x:v>30.73</x:v>
      </x:c>
      <x:c r="F39" s="31" t="n">
        <x:f>E39-D39</x:f>
        <x:v>0.120000000000001</x:v>
      </x:c>
      <x:c r="G39" s="26" t="str">
        <x:v>仅接近（不超过0.15美元）</x:v>
      </x:c>
      <x:c r="H39" s="31" t="n">
        <x:v>67.166</x:v>
      </x:c>
      <x:c r="I39" s="31" t="n">
        <x:v>61.06</x:v>
      </x:c>
      <x:c r="J39" s="31" t="n">
        <x:v>61.06</x:v>
      </x:c>
      <x:c r="K39" s="26" t="str">
        <x:v>分项加总一致</x:v>
      </x:c>
      <x:c r="L39" s="31" t="n">
        <x:v>67.166</x:v>
      </x:c>
      <x:c r="M39" s="31" t="n">
        <x:f>L39-H39</x:f>
        <x:v>0</x:v>
      </x:c>
      <x:c r="N39" s="26" t="str">
        <x:v>一致（按此前统一收费口径）</x:v>
      </x:c>
      <x:c r="O39" s="26" t="n">
        <x:v>560</x:v>
      </x:c>
      <x:c r="P39" s="26" t="str">
        <x:v>反推假设：48lb、Zone3（账单Zone3）。
标准运费36.42×61%≈22.22
＋假设折后附加费0.00
＋燃油(22.22＋0.00)×25.75%≈5.72
＝预估承运成本27.94
按既有收费规则折算→预付30.73；与原预付差+0.12。</x:v>
      </x:c>
      <x:c r="Q39" s="26" t="str">
        <x:v>运输费38.43
−折扣14.99
＋Add'l Handling-Weight 25.12
＋燃油12.50
＝承运净额61.06
账单实收67.166（按既有收费规则）</x:v>
      </x:c>
    </x:row>
    <x:row r="40" ht="120" customHeight="1">
      <x:c r="A40" s="26" t="n">
        <x:v>39</x:v>
      </x:c>
      <x:c r="B40" s="26" t="str">
        <x:v>874587829088</x:v>
      </x:c>
      <x:c r="C40" s="26" t="str">
        <x:v>AC300</x:v>
      </x:c>
      <x:c r="D40" s="31" t="n">
        <x:v>36.7</x:v>
      </x:c>
      <x:c r="E40" s="31"/>
      <x:c r="F40" s="31"/>
      <x:c r="G40" s="26" t="str">
        <x:v>缺明细，无法试算</x:v>
      </x:c>
      <x:c r="H40" s="31" t="n">
        <x:v>71.973</x:v>
      </x:c>
      <x:c r="I40" s="31"/>
      <x:c r="J40" s="31"/>
      <x:c r="K40" s="26" t="str">
        <x:v>缺核对明细</x:v>
      </x:c>
      <x:c r="L40" s="31"/>
      <x:c r="M40" s="31"/>
      <x:c r="N40" s="26" t="str">
        <x:v>缺核对明细，无法核算</x:v>
      </x:c>
      <x:c r="O40" s="26"/>
      <x:c r="P40" s="26" t="str">
        <x:v>缺核对明细，无法重建预付；原预付仅按基础表保留。</x:v>
      </x:c>
      <x:c r="Q40" s="26" t="str">
        <x:v>缺原始核对明细，无法拆分。</x:v>
      </x:c>
    </x:row>
    <x:row r="41" ht="120" customHeight="1">
      <x:c r="A41" s="26" t="n">
        <x:v>40</x:v>
      </x:c>
      <x:c r="B41" s="26" t="str">
        <x:v>874036973093</x:v>
      </x:c>
      <x:c r="C41" s="26" t="str">
        <x:v>FP2</x:v>
      </x:c>
      <x:c r="D41" s="31" t="n">
        <x:v>36.63</x:v>
      </x:c>
      <x:c r="E41" s="31" t="n">
        <x:v>36.63</x:v>
      </x:c>
      <x:c r="F41" s="31" t="n">
        <x:f>E41-D41</x:f>
        <x:v>0</x:v>
      </x:c>
      <x:c r="G41" s="26" t="str">
        <x:v>一致（精确到美分）</x:v>
      </x:c>
      <x:c r="H41" s="31" t="n">
        <x:v>71.544</x:v>
      </x:c>
      <x:c r="I41" s="31" t="n">
        <x:v>65.04</x:v>
      </x:c>
      <x:c r="J41" s="31" t="n">
        <x:v>65.04</x:v>
      </x:c>
      <x:c r="K41" s="26" t="str">
        <x:v>分项加总一致</x:v>
      </x:c>
      <x:c r="L41" s="31" t="n">
        <x:v>71.544</x:v>
      </x:c>
      <x:c r="M41" s="31" t="n">
        <x:f>L41-H41</x:f>
        <x:v>0</x:v>
      </x:c>
      <x:c r="N41" s="26" t="str">
        <x:v>一致（按此前统一收费口径）</x:v>
      </x:c>
      <x:c r="O41" s="26" t="n">
        <x:v>342</x:v>
      </x:c>
      <x:c r="P41" s="26" t="str">
        <x:v>反推假设：48lb、Zone4（账单Zone4）。
标准运费43.67×61%≈26.64
＋假设折后附加费0.00
＋燃油(26.64＋0.00)×25.00%≈6.66
＝预估承运成本33.30
按既有收费规则折算→预付36.63；与原预付差+0.00。</x:v>
      </x:c>
      <x:c r="Q41" s="26" t="str">
        <x:v>运输费44.12
−折扣17.21
＋Add'l Handling-Weight 25.12
＋燃油13.01
＝承运净额65.04
账单实收71.544（按既有收费规则）</x:v>
      </x:c>
    </x:row>
    <x:row r="42" ht="120" customHeight="1">
      <x:c r="A42" s="26" t="n">
        <x:v>41</x:v>
      </x:c>
      <x:c r="B42" s="26" t="str">
        <x:v>873132283590</x:v>
      </x:c>
      <x:c r="C42" s="26"/>
      <x:c r="D42" s="31" t="n">
        <x:v>37.69</x:v>
      </x:c>
      <x:c r="E42" s="31" t="n">
        <x:v>34.82</x:v>
      </x:c>
      <x:c r="F42" s="31" t="n">
        <x:f>E42-D42</x:f>
        <x:v>-2.8699999999999974</x:v>
      </x:c>
      <x:c r="G42" s="26" t="str">
        <x:v>未对上</x:v>
      </x:c>
      <x:c r="H42" s="31" t="n">
        <x:v>72.138</x:v>
      </x:c>
      <x:c r="I42" s="31" t="n">
        <x:v>65.58</x:v>
      </x:c>
      <x:c r="J42" s="31" t="n">
        <x:v>65.58</x:v>
      </x:c>
      <x:c r="K42" s="26" t="str">
        <x:v>分项加总一致</x:v>
      </x:c>
      <x:c r="L42" s="31" t="n">
        <x:v>72.138</x:v>
      </x:c>
      <x:c r="M42" s="31" t="n">
        <x:f>L42-H42</x:f>
        <x:v>0</x:v>
      </x:c>
      <x:c r="N42" s="26" t="str">
        <x:v>一致（按此前统一收费口径）</x:v>
      </x:c>
      <x:c r="O42" s="26" t="n">
        <x:v>79</x:v>
      </x:c>
      <x:c r="P42" s="26" t="str">
        <x:v>反推假设：45lb、Zone4（账单Zone4）。
标准运费41.18×61%≈25.12
＋假设折后附加费0.00
＋燃油(25.12＋0.00)×26.00%≈6.53
＝预估承运成本31.65
按既有收费规则折算→预付34.82；与原预付差-2.87。</x:v>
      </x:c>
      <x:c r="Q42" s="26" t="str">
        <x:v>运输费44.14
−折扣17.21
＋Add'l Handling-Weight 25.12
＋燃油13.53
＝承运净额65.58
账单实收72.138（按既有收费规则）</x:v>
      </x:c>
    </x:row>
    <x:row r="43" ht="120" customHeight="1">
      <x:c r="A43" s="26" t="n">
        <x:v>42</x:v>
      </x:c>
      <x:c r="B43" s="26" t="str">
        <x:v>874289169525</x:v>
      </x:c>
      <x:c r="C43" s="26" t="str">
        <x:v>EL100V2</x:v>
      </x:c>
      <x:c r="D43" s="31" t="n">
        <x:v>22.58</x:v>
      </x:c>
      <x:c r="E43" s="31" t="n">
        <x:v>22.58</x:v>
      </x:c>
      <x:c r="F43" s="31" t="n">
        <x:f>E43-D43</x:f>
        <x:v>0</x:v>
      </x:c>
      <x:c r="G43" s="26" t="str">
        <x:v>一致（精确到美分）</x:v>
      </x:c>
      <x:c r="H43" s="31" t="n">
        <x:v>55.363</x:v>
      </x:c>
      <x:c r="I43" s="31" t="n">
        <x:v>50.33</x:v>
      </x:c>
      <x:c r="J43" s="31" t="n">
        <x:v>50.33</x:v>
      </x:c>
      <x:c r="K43" s="26" t="str">
        <x:v>分项加总一致</x:v>
      </x:c>
      <x:c r="L43" s="31" t="n">
        <x:v>55.363</x:v>
      </x:c>
      <x:c r="M43" s="31" t="n">
        <x:f>L43-H43</x:f>
        <x:v>0</x:v>
      </x:c>
      <x:c r="N43" s="26" t="str">
        <x:v>一致（按此前统一收费口径）</x:v>
      </x:c>
      <x:c r="O43" s="26" t="n">
        <x:v>393</x:v>
      </x:c>
      <x:c r="P43" s="26" t="str">
        <x:v>反推假设：26lb、Zone4（账单Zone4）。
标准运费26.91×61%≈16.42
＋假设折后附加费0.00
＋燃油(16.42＋0.00)×25.00%≈4.11
＝预估承运成本20.53
按既有收费规则折算→预付22.58；与原预付差+0.00。</x:v>
      </x:c>
      <x:c r="Q43" s="26" t="str">
        <x:v>运输费40.26
＋燃油10.07
＝承运净额50.33
账单实收55.363（按既有收费规则）</x:v>
      </x:c>
    </x:row>
    <x:row r="44" ht="120" customHeight="1">
      <x:c r="A44" s="26" t="n">
        <x:v>43</x:v>
      </x:c>
      <x:c r="B44" s="26" t="str">
        <x:v>873475760387</x:v>
      </x:c>
      <x:c r="C44" s="26" t="str">
        <x:v>FridgePower</x:v>
      </x:c>
      <x:c r="D44" s="31" t="n">
        <x:v>23.88</x:v>
      </x:c>
      <x:c r="E44" s="31" t="n">
        <x:v>23.79</x:v>
      </x:c>
      <x:c r="F44" s="31" t="n">
        <x:f>E44-D44</x:f>
        <x:v>-0.08999999999999986</x:v>
      </x:c>
      <x:c r="G44" s="26" t="str">
        <x:v>仅接近（不超过0.15美元）</x:v>
      </x:c>
      <x:c r="H44" s="31" t="n">
        <x:v>56.243</x:v>
      </x:c>
      <x:c r="I44" s="31" t="n">
        <x:v>51.13</x:v>
      </x:c>
      <x:c r="J44" s="31" t="n">
        <x:v>51.13</x:v>
      </x:c>
      <x:c r="K44" s="26" t="str">
        <x:v>分项加总一致</x:v>
      </x:c>
      <x:c r="L44" s="31" t="n">
        <x:v>56.243</x:v>
      </x:c>
      <x:c r="M44" s="31" t="n">
        <x:f>L44-H44</x:f>
        <x:v>0</x:v>
      </x:c>
      <x:c r="N44" s="26" t="str">
        <x:v>一致（按此前统一收费口径）</x:v>
      </x:c>
      <x:c r="O44" s="26" t="n">
        <x:v>249</x:v>
      </x:c>
      <x:c r="P44" s="26" t="str">
        <x:v>反推假设：45lb、Zone2（账单Zone2）。
标准运费28.36×61%≈17.30
＋假设折后附加费0.00
＋燃油(17.30＋0.00)×25.00%≈4.33
＝预估承运成本21.63
按既有收费规则折算→预付23.79；与原预付差-0.09。</x:v>
      </x:c>
      <x:c r="Q44" s="26" t="str">
        <x:v>运输费29.35
−折扣11.45
＋Add'l Handling-Weight 23.00
＋燃油10.23
＝承运净额51.13
账单实收56.243（按既有收费规则）</x:v>
      </x:c>
    </x:row>
    <x:row r="45" ht="120" customHeight="1">
      <x:c r="A45" s="26" t="n">
        <x:v>44</x:v>
      </x:c>
      <x:c r="B45" s="26" t="str">
        <x:v>873124536230</x:v>
      </x:c>
      <x:c r="C45" s="26" t="str">
        <x:v>EL400</x:v>
      </x:c>
      <x:c r="D45" s="31" t="n">
        <x:v>73.15</x:v>
      </x:c>
      <x:c r="E45" s="31" t="n">
        <x:v>73.17</x:v>
      </x:c>
      <x:c r="F45" s="31" t="n">
        <x:f>E45-D45</x:f>
        <x:v>0.01999999999999602</x:v>
      </x:c>
      <x:c r="G45" s="26" t="str">
        <x:v>仅接近（不超过0.15美元）</x:v>
      </x:c>
      <x:c r="H45" s="31" t="n">
        <x:v>104.544</x:v>
      </x:c>
      <x:c r="I45" s="31" t="n">
        <x:v>95.04</x:v>
      </x:c>
      <x:c r="J45" s="31" t="n">
        <x:v>95.04</x:v>
      </x:c>
      <x:c r="K45" s="26" t="str">
        <x:v>分项加总一致</x:v>
      </x:c>
      <x:c r="L45" s="31" t="n">
        <x:v>104.544</x:v>
      </x:c>
      <x:c r="M45" s="31" t="n">
        <x:f>L45-H45</x:f>
        <x:v>0</x:v>
      </x:c>
      <x:c r="N45" s="26" t="str">
        <x:v>一致（按此前统一收费口径）</x:v>
      </x:c>
      <x:c r="O45" s="26" t="n">
        <x:v>60</x:v>
      </x:c>
      <x:c r="P45" s="26" t="str">
        <x:v>反推假设：60lb、Zone4（账单Zone4）。
标准运费45.35×61%≈27.66
＋假设折后附加费25.13
＋燃油(27.66＋25.13)×26.00%≈13.73
＝预估承运成本66.52
按既有收费规则折算→预付73.17；与原预付差+0.02。</x:v>
      </x:c>
      <x:c r="Q45" s="26" t="str">
        <x:v>运输费82.48
−折扣32.17
＋Add'l Handling-Weight 25.12
＋燃油19.61
＝承运净额95.04
账单实收104.544（按既有收费规则）</x:v>
      </x:c>
    </x:row>
    <x:row r="46" ht="120" customHeight="1">
      <x:c r="A46" s="26" t="n">
        <x:v>45</x:v>
      </x:c>
      <x:c r="B46" s="26" t="str">
        <x:v>874147241971</x:v>
      </x:c>
      <x:c r="C46" s="26" t="str">
        <x:v>EL100V2</x:v>
      </x:c>
      <x:c r="D46" s="31" t="n">
        <x:v>23.02</x:v>
      </x:c>
      <x:c r="E46" s="31" t="n">
        <x:v>23.02</x:v>
      </x:c>
      <x:c r="F46" s="31" t="n">
        <x:f>E46-D46</x:f>
        <x:v>0</x:v>
      </x:c>
      <x:c r="G46" s="26" t="str">
        <x:v>一致（精确到美分）</x:v>
      </x:c>
      <x:c r="H46" s="31" t="n">
        <x:v>53.933</x:v>
      </x:c>
      <x:c r="I46" s="31" t="n">
        <x:v>49.03</x:v>
      </x:c>
      <x:c r="J46" s="31" t="n">
        <x:v>49.03</x:v>
      </x:c>
      <x:c r="K46" s="26" t="str">
        <x:v>分项加总一致</x:v>
      </x:c>
      <x:c r="L46" s="31" t="n">
        <x:v>53.933</x:v>
      </x:c>
      <x:c r="M46" s="31" t="n">
        <x:f>L46-H46</x:f>
        <x:v>0</x:v>
      </x:c>
      <x:c r="N46" s="26" t="str">
        <x:v>一致（按此前统一收费口径）</x:v>
      </x:c>
      <x:c r="O46" s="26" t="n">
        <x:v>387</x:v>
      </x:c>
      <x:c r="P46" s="26" t="str">
        <x:v>反推假设：27lb、Zone4（账单Zone4）。
标准运费27.45×61%≈16.74
＋假设折后附加费0.00
＋燃油(16.74＋0.00)×25.00%≈4.19
＝预估承运成本20.93
按既有收费规则折算→预付23.02；与原预付差+0.00。</x:v>
      </x:c>
      <x:c r="Q46" s="26" t="str">
        <x:v>运输费39.22
＋燃油9.81
＝承运净额49.03
账单实收53.933（按既有收费规则）</x:v>
      </x:c>
    </x:row>
    <x:row r="47" ht="120" customHeight="1">
      <x:c r="A47" s="26" t="n">
        <x:v>46</x:v>
      </x:c>
      <x:c r="B47" s="26" t="str">
        <x:v>874085171465</x:v>
      </x:c>
      <x:c r="C47" s="26" t="str">
        <x:v>EL100V2</x:v>
      </x:c>
      <x:c r="D47" s="31" t="n">
        <x:v>21.67</x:v>
      </x:c>
      <x:c r="E47" s="31" t="n">
        <x:v>21.67</x:v>
      </x:c>
      <x:c r="F47" s="31" t="n">
        <x:f>E47-D47</x:f>
        <x:v>0</x:v>
      </x:c>
      <x:c r="G47" s="26" t="str">
        <x:v>一致（精确到美分）</x:v>
      </x:c>
      <x:c r="H47" s="31" t="n">
        <x:v>51.216</x:v>
      </x:c>
      <x:c r="I47" s="31" t="n">
        <x:v>46.56</x:v>
      </x:c>
      <x:c r="J47" s="31" t="n">
        <x:v>46.56</x:v>
      </x:c>
      <x:c r="K47" s="26" t="str">
        <x:v>分项加总一致</x:v>
      </x:c>
      <x:c r="L47" s="31" t="n">
        <x:v>51.216</x:v>
      </x:c>
      <x:c r="M47" s="31" t="n">
        <x:f>L47-H47</x:f>
        <x:v>0</x:v>
      </x:c>
      <x:c r="N47" s="26" t="str">
        <x:v>一致（按此前统一收费口径）</x:v>
      </x:c>
      <x:c r="O47" s="26" t="n">
        <x:v>382</x:v>
      </x:c>
      <x:c r="P47" s="26" t="str">
        <x:v>反推假设：25lb、Zone4（账单Zone4）。
标准运费25.83×61%≈15.76
＋假设折后附加费0.00
＋燃油(15.76＋0.00)×25.00%≈3.94
＝预估承运成本19.70
按既有收费规则折算→预付21.67；与原预付差+0.00。</x:v>
      </x:c>
      <x:c r="Q47" s="26" t="str">
        <x:v>运输费37.25
＋燃油9.31
＝承运净额46.56
账单实收51.216（按既有收费规则）</x:v>
      </x:c>
    </x:row>
    <x:row r="48" ht="120" customHeight="1">
      <x:c r="A48" s="26" t="n">
        <x:v>47</x:v>
      </x:c>
      <x:c r="B48" s="26" t="str">
        <x:v>874909437335</x:v>
      </x:c>
      <x:c r="C48" s="26" t="str">
        <x:v>EL100V2</x:v>
      </x:c>
      <x:c r="D48" s="31" t="n">
        <x:v>23.15</x:v>
      </x:c>
      <x:c r="E48" s="31"/>
      <x:c r="F48" s="31"/>
      <x:c r="G48" s="26" t="str">
        <x:v>缺明细，无法试算</x:v>
      </x:c>
      <x:c r="H48" s="31" t="n">
        <x:v>52.14</x:v>
      </x:c>
      <x:c r="I48" s="31"/>
      <x:c r="J48" s="31"/>
      <x:c r="K48" s="26" t="str">
        <x:v>缺核对明细</x:v>
      </x:c>
      <x:c r="L48" s="31"/>
      <x:c r="M48" s="31"/>
      <x:c r="N48" s="26" t="str">
        <x:v>缺核对明细，无法核算</x:v>
      </x:c>
      <x:c r="O48" s="26"/>
      <x:c r="P48" s="26" t="str">
        <x:v>缺核对明细，无法重建预付；原预付仅按基础表保留。</x:v>
      </x:c>
      <x:c r="Q48" s="26" t="str">
        <x:v>缺原始核对明细，无法拆分。</x:v>
      </x:c>
    </x:row>
    <x:row r="49" ht="120" customHeight="1">
      <x:c r="A49" s="26" t="n">
        <x:v>48</x:v>
      </x:c>
      <x:c r="B49" s="26" t="str">
        <x:v>873149110472</x:v>
      </x:c>
      <x:c r="C49" s="26"/>
      <x:c r="D49" s="31" t="n">
        <x:v>113.73</x:v>
      </x:c>
      <x:c r="E49" s="31" t="n">
        <x:v>112.65</x:v>
      </x:c>
      <x:c r="F49" s="31" t="n">
        <x:f>E49-D49</x:f>
        <x:v>-1.0799999999999983</x:v>
      </x:c>
      <x:c r="G49" s="26" t="str">
        <x:v>未对上</x:v>
      </x:c>
      <x:c r="H49" s="31" t="n">
        <x:v>142.644</x:v>
      </x:c>
      <x:c r="I49" s="31" t="n">
        <x:v>118.87</x:v>
      </x:c>
      <x:c r="J49" s="31" t="n">
        <x:v>118.87</x:v>
      </x:c>
      <x:c r="K49" s="26" t="str">
        <x:v>分项加总一致</x:v>
      </x:c>
      <x:c r="L49" s="31" t="n">
        <x:v>130.757</x:v>
      </x:c>
      <x:c r="M49" s="31" t="n">
        <x:f>L49-H49</x:f>
        <x:v>-11.887</x:v>
      </x:c>
      <x:c r="N49" s="26" t="str">
        <x:v>未对上，收费口径待确认</x:v>
      </x:c>
      <x:c r="O49" s="26" t="n">
        <x:v>61</x:v>
      </x:c>
      <x:c r="P49" s="26" t="str">
        <x:v>反推假设：66lb、Zone7（账单Zone5）。
标准运费85.08×61%≈51.90
＋假设折后附加费29.38
＋燃油(51.90＋29.38)×26.00%≈21.13
＝预估承运成本102.41
按既有收费规则折算→预付112.65；与原预付差-1.08。</x:v>
      </x:c>
      <x:c r="Q49" s="26" t="str">
        <x:v>运输费87.80
−折扣28.10
＋Add'l Handling-Weight 28.12
＋Residential Delivery 3.22
＋DAS Residential 3.30
＋燃油24.53
＝承运净额118.87
账单实收142.644（按既有收费规则）</x:v>
      </x:c>
    </x:row>
    <x:row r="50" ht="120" customHeight="1">
      <x:c r="A50" s="26" t="n">
        <x:v>49</x:v>
      </x:c>
      <x:c r="B50" s="26" t="str">
        <x:v>874200404197</x:v>
      </x:c>
      <x:c r="C50" s="26" t="str">
        <x:v>EL100V2</x:v>
      </x:c>
      <x:c r="D50" s="31" t="n">
        <x:v>21.9</x:v>
      </x:c>
      <x:c r="E50" s="31" t="n">
        <x:v>21.9</x:v>
      </x:c>
      <x:c r="F50" s="31" t="n">
        <x:f>E50-D50</x:f>
        <x:v>0</x:v>
      </x:c>
      <x:c r="G50" s="26" t="str">
        <x:v>一致（精确到美分）</x:v>
      </x:c>
      <x:c r="H50" s="31" t="n">
        <x:v>49.159</x:v>
      </x:c>
      <x:c r="I50" s="31" t="n">
        <x:v>44.69</x:v>
      </x:c>
      <x:c r="J50" s="31" t="n">
        <x:v>44.69</x:v>
      </x:c>
      <x:c r="K50" s="26" t="str">
        <x:v>分项加总一致</x:v>
      </x:c>
      <x:c r="L50" s="31" t="n">
        <x:v>49.159</x:v>
      </x:c>
      <x:c r="M50" s="31" t="n">
        <x:f>L50-H50</x:f>
        <x:v>0</x:v>
      </x:c>
      <x:c r="N50" s="26" t="str">
        <x:v>一致（按此前统一收费口径）</x:v>
      </x:c>
      <x:c r="O50" s="26" t="n">
        <x:v>373</x:v>
      </x:c>
      <x:c r="P50" s="26" t="str">
        <x:v>反推假设：28lb、Zone3（账单Zone3）。
标准运费26.12×61%≈15.93
＋假设折后附加费0.00
＋燃油(15.93＋0.00)×25.00%≈3.98
＝预估承运成本19.91
按既有收费规则折算→预付21.90；与原预付差+0.00。</x:v>
      </x:c>
      <x:c r="Q50" s="26" t="str">
        <x:v>运输费35.75
＋燃油8.94
＝承运净额44.69
账单实收49.159（按既有收费规则）</x:v>
      </x:c>
    </x:row>
    <x:row r="51" ht="120" customHeight="1">
      <x:c r="A51" s="26" t="n">
        <x:v>50</x:v>
      </x:c>
      <x:c r="B51" s="26" t="str">
        <x:v>873599566482</x:v>
      </x:c>
      <x:c r="C51" s="26"/>
      <x:c r="D51" s="31" t="n">
        <x:v>52.56</x:v>
      </x:c>
      <x:c r="E51" s="31" t="n">
        <x:v>49.1</x:v>
      </x:c>
      <x:c r="F51" s="31" t="n">
        <x:f>E51-D51</x:f>
        <x:v>-3.460000000000001</x:v>
      </x:c>
      <x:c r="G51" s="26" t="str">
        <x:v>未对上</x:v>
      </x:c>
      <x:c r="H51" s="31" t="n">
        <x:v>78.969</x:v>
      </x:c>
      <x:c r="I51" s="31" t="n">
        <x:v>71.79</x:v>
      </x:c>
      <x:c r="J51" s="31" t="n">
        <x:v>71.79</x:v>
      </x:c>
      <x:c r="K51" s="26" t="str">
        <x:v>分项加总一致</x:v>
      </x:c>
      <x:c r="L51" s="31" t="n">
        <x:v>78.969</x:v>
      </x:c>
      <x:c r="M51" s="31" t="n">
        <x:f>L51-H51</x:f>
        <x:v>0</x:v>
      </x:c>
      <x:c r="N51" s="26" t="str">
        <x:v>一致（按此前统一收费口径）</x:v>
      </x:c>
      <x:c r="O51" s="26" t="n">
        <x:v>221</x:v>
      </x:c>
      <x:c r="P51" s="26" t="str">
        <x:v>反推假设：41lb、Zone6（账单Zone5）。
标准运费58.42×61%≈35.64
＋假设折后附加费0.00
＋燃油(35.64＋0.00)×25.25%≈9.00
＝预估承运成本44.64
按既有收费规则折算→预付49.10；与原预付差-3.46。</x:v>
      </x:c>
      <x:c r="Q51" s="26" t="str">
        <x:v>运输费46.39
−折扣14.84
＋Residential Delivery 3.22
＋DAS Residential 3.30
＋Add'l Handling-Dimension 19.25
＋燃油14.47
＝承运净额71.79
账单实收78.969（按既有收费规则）</x:v>
      </x:c>
    </x:row>
    <x:row r="52" ht="120" customHeight="1">
      <x:c r="A52" s="26" t="n">
        <x:v>51</x:v>
      </x:c>
      <x:c r="B52" s="26" t="str">
        <x:v>873803439087</x:v>
      </x:c>
      <x:c r="C52" s="26" t="str">
        <x:v>AC70</x:v>
      </x:c>
      <x:c r="D52" s="31" t="n">
        <x:v>24.44</x:v>
      </x:c>
      <x:c r="E52" s="31" t="n">
        <x:v>24.4</x:v>
      </x:c>
      <x:c r="F52" s="31" t="n">
        <x:f>E52-D52</x:f>
        <x:v>-0.0400000000000027</x:v>
      </x:c>
      <x:c r="G52" s="26" t="str">
        <x:v>仅接近（不超过0.15美元）</x:v>
      </x:c>
      <x:c r="H52" s="31" t="n">
        <x:v>49.94</x:v>
      </x:c>
      <x:c r="I52" s="31" t="n">
        <x:v>45.4</x:v>
      </x:c>
      <x:c r="J52" s="31" t="n">
        <x:v>45.4</x:v>
      </x:c>
      <x:c r="K52" s="26" t="str">
        <x:v>分项加总一致</x:v>
      </x:c>
      <x:c r="L52" s="31" t="n">
        <x:v>49.94</x:v>
      </x:c>
      <x:c r="M52" s="31" t="n">
        <x:f>L52-H52</x:f>
        <x:v>0</x:v>
      </x:c>
      <x:c r="N52" s="26" t="str">
        <x:v>一致（按此前统一收费口径）</x:v>
      </x:c>
      <x:c r="O52" s="26" t="n">
        <x:v>431</x:v>
      </x:c>
      <x:c r="P52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Q52" s="26" t="str">
        <x:v>运输费32.50
−折扣12.68
＋Add'l Handling-Packaging 16.50
＋燃油9.08
＝承运净额45.40
账单实收49.940（按既有收费规则）</x:v>
      </x:c>
    </x:row>
    <x:row r="53" ht="120" customHeight="1">
      <x:c r="A53" s="26" t="n">
        <x:v>52</x:v>
      </x:c>
      <x:c r="B53" s="26" t="str">
        <x:v>873743038264</x:v>
      </x:c>
      <x:c r="C53" s="26" t="str">
        <x:v>PV350</x:v>
      </x:c>
      <x:c r="D53" s="31" t="n">
        <x:v>25.79</x:v>
      </x:c>
      <x:c r="E53" s="31"/>
      <x:c r="F53" s="31"/>
      <x:c r="G53" s="26" t="str">
        <x:v>缺明细，无法试算</x:v>
      </x:c>
      <x:c r="H53" s="31" t="n">
        <x:v>50.424</x:v>
      </x:c>
      <x:c r="I53" s="31"/>
      <x:c r="J53" s="31"/>
      <x:c r="K53" s="26" t="str">
        <x:v>缺核对明细</x:v>
      </x:c>
      <x:c r="L53" s="31"/>
      <x:c r="M53" s="31"/>
      <x:c r="N53" s="26" t="str">
        <x:v>缺核对明细，无法核算</x:v>
      </x:c>
      <x:c r="O53" s="26"/>
      <x:c r="P53" s="26" t="str">
        <x:v>缺核对明细，无法重建预付；原预付仅按基础表保留。</x:v>
      </x:c>
      <x:c r="Q53" s="26" t="str">
        <x:v>缺原始核对明细，无法拆分。</x:v>
      </x:c>
    </x:row>
    <x:row r="54" ht="120" customHeight="1">
      <x:c r="A54" s="26" t="n">
        <x:v>53</x:v>
      </x:c>
      <x:c r="B54" s="26" t="str">
        <x:v>873967903896</x:v>
      </x:c>
      <x:c r="C54" s="26" t="str">
        <x:v>EL30V2</x:v>
      </x:c>
      <x:c r="D54" s="31" t="n">
        <x:v>19.69</x:v>
      </x:c>
      <x:c r="E54" s="31" t="n">
        <x:v>20.02</x:v>
      </x:c>
      <x:c r="F54" s="31" t="n">
        <x:f>E54-D54</x:f>
        <x:v>0.3299999999999983</x:v>
      </x:c>
      <x:c r="G54" s="26" t="str">
        <x:v>未对上</x:v>
      </x:c>
      <x:c r="H54" s="31" t="n">
        <x:v>44.209</x:v>
      </x:c>
      <x:c r="I54" s="31" t="n">
        <x:v>40.19</x:v>
      </x:c>
      <x:c r="J54" s="31" t="n">
        <x:v>40.19</x:v>
      </x:c>
      <x:c r="K54" s="26" t="str">
        <x:v>分项加总一致</x:v>
      </x:c>
      <x:c r="L54" s="31" t="n">
        <x:v>44.209</x:v>
      </x:c>
      <x:c r="M54" s="31" t="n">
        <x:f>L54-H54</x:f>
        <x:v>0</x:v>
      </x:c>
      <x:c r="N54" s="26" t="str">
        <x:v>一致（按此前统一收费口径）</x:v>
      </x:c>
      <x:c r="O54" s="26" t="n">
        <x:v>380</x:v>
      </x:c>
      <x:c r="P54" s="26" t="str">
        <x:v>反推假设：10lb、Zone7（账单Zone5）。
标准运费23.87×61%≈14.56
＋假设折后附加费0.00
＋燃油(14.56＋0.00)×25.00%≈3.64
＝预估承运成本18.20
按既有收费规则折算→预付20.02；与原预付差+0.33。</x:v>
      </x:c>
      <x:c r="Q54" s="26" t="str">
        <x:v>运输费32.15
＋燃油8.04
＝承运净额40.19
账单实收44.209（按既有收费规则）</x:v>
      </x:c>
    </x:row>
    <x:row r="55" ht="120" customHeight="1">
      <x:c r="A55" s="26" t="n">
        <x:v>54</x:v>
      </x:c>
      <x:c r="B55" s="26" t="str">
        <x:v>874596029426</x:v>
      </x:c>
      <x:c r="C55" s="26" t="str">
        <x:v>PV350</x:v>
      </x:c>
      <x:c r="D55" s="31" t="n">
        <x:v>20.19</x:v>
      </x:c>
      <x:c r="E55" s="31" t="n">
        <x:v>20.26</x:v>
      </x:c>
      <x:c r="F55" s="31" t="n">
        <x:f>E55-D55</x:f>
        <x:v>0.07000000000000028</x:v>
      </x:c>
      <x:c r="G55" s="26" t="str">
        <x:v>仅接近（不超过0.15美元）</x:v>
      </x:c>
      <x:c r="H55" s="31" t="n">
        <x:v>43.01</x:v>
      </x:c>
      <x:c r="I55" s="31" t="n">
        <x:v>39.1</x:v>
      </x:c>
      <x:c r="J55" s="31" t="n">
        <x:v>39.1</x:v>
      </x:c>
      <x:c r="K55" s="26" t="str">
        <x:v>分项加总一致</x:v>
      </x:c>
      <x:c r="L55" s="31" t="n">
        <x:v>43.01</x:v>
      </x:c>
      <x:c r="M55" s="31" t="n">
        <x:f>L55-H55</x:f>
        <x:v>0</x:v>
      </x:c>
      <x:c r="N55" s="26" t="str">
        <x:v>一致（按此前统一收费口径）</x:v>
      </x:c>
      <x:c r="O55" s="26" t="n">
        <x:v>555</x:v>
      </x:c>
      <x:c r="P55" s="26" t="str">
        <x:v>反推假设：31lb、Zone2（账单Zone2）。
标准运费24.01×61%≈14.65
＋假设折后附加费0.00
＋燃油(14.65＋0.00)×25.75%≈3.77
＝预估承运成本18.42
按既有收费规则折算→预付20.26；与原预付差+0.07。</x:v>
      </x:c>
      <x:c r="Q55" s="26" t="str">
        <x:v>运输费26.79
−折扣10.45
＋Add'l Handling-Dimension 14.75
＋燃油8.01
＝承运净额39.10
账单实收43.010（按既有收费规则）</x:v>
      </x:c>
    </x:row>
    <x:row r="56" ht="120" customHeight="1">
      <x:c r="A56" s="26" t="n">
        <x:v>55</x:v>
      </x:c>
      <x:c r="B56" s="26" t="str">
        <x:v>874585659895</x:v>
      </x:c>
      <x:c r="C56" s="26" t="str">
        <x:v>AC300</x:v>
      </x:c>
      <x:c r="D56" s="31" t="n">
        <x:v>59.67</x:v>
      </x:c>
      <x:c r="E56" s="31" t="n">
        <x:v>59.91</x:v>
      </x:c>
      <x:c r="F56" s="31" t="n">
        <x:f>E56-D56</x:f>
        <x:v>0.23999999999999488</x:v>
      </x:c>
      <x:c r="G56" s="26" t="str">
        <x:v>未对上</x:v>
      </x:c>
      <x:c r="H56" s="31" t="n">
        <x:v>82.313</x:v>
      </x:c>
      <x:c r="I56" s="31" t="n">
        <x:v>74.83</x:v>
      </x:c>
      <x:c r="J56" s="31" t="n">
        <x:v>74.83</x:v>
      </x:c>
      <x:c r="K56" s="26" t="str">
        <x:v>分项加总一致</x:v>
      </x:c>
      <x:c r="L56" s="31" t="n">
        <x:v>82.313</x:v>
      </x:c>
      <x:c r="M56" s="31" t="n">
        <x:f>L56-H56</x:f>
        <x:v>0</x:v>
      </x:c>
      <x:c r="N56" s="26" t="str">
        <x:v>一致（按此前统一收费口径）</x:v>
      </x:c>
      <x:c r="O56" s="26" t="n">
        <x:v>548</x:v>
      </x:c>
      <x:c r="P56" s="26" t="str">
        <x:v>反推假设：65lb、Zone2（账单Zone2）。
标准运费33.29×61%≈20.31
＋假设折后附加费23.00
＋燃油(20.31＋23.00)×25.75%≈11.15
＝预估承运成本54.46
按既有收费规则折算→预付59.91；与原预付差+0.24。</x:v>
      </x:c>
      <x:c r="Q56" s="26" t="str">
        <x:v>运输费59.86
−折扣23.35
＋Add'l Handling-Weight 23.00
＋燃油15.32
＝承运净额74.83
账单实收82.313（按既有收费规则）</x:v>
      </x:c>
    </x:row>
    <x:row r="57" ht="120" customHeight="1">
      <x:c r="A57" s="26" t="n">
        <x:v>56</x:v>
      </x:c>
      <x:c r="B57" s="26" t="str">
        <x:v>874206828837</x:v>
      </x:c>
      <x:c r="C57" s="26" t="str">
        <x:v>EL300</x:v>
      </x:c>
      <x:c r="D57" s="31" t="n">
        <x:v>149.24</x:v>
      </x:c>
      <x:c r="E57" s="31" t="n">
        <x:v>126.31</x:v>
      </x:c>
      <x:c r="F57" s="31" t="n">
        <x:f>E57-D57</x:f>
        <x:v>-22.930000000000007</x:v>
      </x:c>
      <x:c r="G57" s="26" t="str">
        <x:v>未对上</x:v>
      </x:c>
      <x:c r="H57" s="31" t="n">
        <x:v>171.776</x:v>
      </x:c>
      <x:c r="I57" s="31" t="n">
        <x:v>156.16</x:v>
      </x:c>
      <x:c r="J57" s="31" t="n">
        <x:v>156.16</x:v>
      </x:c>
      <x:c r="K57" s="26" t="str">
        <x:v>分项加总一致</x:v>
      </x:c>
      <x:c r="L57" s="31" t="n">
        <x:v>171.776</x:v>
      </x:c>
      <x:c r="M57" s="31" t="n">
        <x:f>L57-H57</x:f>
        <x:v>0</x:v>
      </x:c>
      <x:c r="N57" s="26" t="str">
        <x:v>一致（按此前统一收费口径）</x:v>
      </x:c>
      <x:c r="O57" s="26" t="n">
        <x:v>409</x:v>
      </x:c>
      <x:c r="P57" s="26" t="str">
        <x:v>反推假设：67lb、Zone8（账单Zone4）。
标准运费102.42×61%≈62.48
＋假设折后附加费29.38
＋燃油(62.48＋29.38)×25.00%≈22.97
＝预估承运成本114.83
按既有收费规则折算→预付126.31；与原预付差-22.93。</x:v>
      </x:c>
      <x:c r="Q57" s="26" t="str">
        <x:v>运输费74.68
＋Add'l Handling-Weight 50.25
＋燃油31.23
＝承运净额156.16
账单实收171.776（按既有收费规则）</x:v>
      </x:c>
    </x:row>
    <x:row r="58" ht="120" customHeight="1">
      <x:c r="A58" s="26" t="n">
        <x:v>57</x:v>
      </x:c>
      <x:c r="B58" s="26" t="str">
        <x:v>873067151160</x:v>
      </x:c>
      <x:c r="C58" s="26" t="str">
        <x:v>EL100V2</x:v>
      </x:c>
      <x:c r="D58" s="31" t="n">
        <x:v>35.03</x:v>
      </x:c>
      <x:c r="E58" s="31" t="n">
        <x:v>35.02</x:v>
      </x:c>
      <x:c r="F58" s="31" t="n">
        <x:f>E58-D58</x:f>
        <x:v>-0.00999999999999801</x:v>
      </x:c>
      <x:c r="G58" s="26" t="str">
        <x:v>仅接近（不超过0.15美元）</x:v>
      </x:c>
      <x:c r="H58" s="31" t="n">
        <x:v>57.453</x:v>
      </x:c>
      <x:c r="I58" s="31" t="n">
        <x:v>52.23</x:v>
      </x:c>
      <x:c r="J58" s="31" t="n">
        <x:v>52.23</x:v>
      </x:c>
      <x:c r="K58" s="26" t="str">
        <x:v>分项加总一致</x:v>
      </x:c>
      <x:c r="L58" s="31" t="n">
        <x:v>57.453</x:v>
      </x:c>
      <x:c r="M58" s="31" t="n">
        <x:f>L58-H58</x:f>
        <x:v>0</x:v>
      </x:c>
      <x:c r="N58" s="26" t="str">
        <x:v>一致（按此前统一收费口径）</x:v>
      </x:c>
      <x:c r="O58" s="26" t="n">
        <x:v>69</x:v>
      </x:c>
      <x:c r="P58" s="26" t="str">
        <x:v>反推假设：27lb、Zone6（账单Zone6）。
标准运费41.42×61%≈25.27
＋假设折后附加费0.00
＋燃油(25.27＋0.00)×26.00%≈6.57
＝预估承运成本31.84
按既有收费规则折算→预付35.02；与原预付差-0.01。</x:v>
      </x:c>
      <x:c r="Q58" s="26" t="str">
        <x:v>运输费67.95
−折扣26.50
＋燃油10.78
＝承运净额52.23
账单实收57.453（按既有收费规则）</x:v>
      </x:c>
    </x:row>
    <x:row r="59" ht="120" customHeight="1">
      <x:c r="A59" s="26" t="n">
        <x:v>58</x:v>
      </x:c>
      <x:c r="B59" s="26" t="str">
        <x:v>874027781816</x:v>
      </x:c>
      <x:c r="C59" s="26" t="str">
        <x:v>AC70</x:v>
      </x:c>
      <x:c r="D59" s="31" t="n">
        <x:v>24.39</x:v>
      </x:c>
      <x:c r="E59" s="31" t="n">
        <x:v>24.4</x:v>
      </x:c>
      <x:c r="F59" s="31" t="n">
        <x:f>E59-D59</x:f>
        <x:v>0.00999999999999801</x:v>
      </x:c>
      <x:c r="G59" s="26" t="str">
        <x:v>仅接近（不超过0.15美元）</x:v>
      </x:c>
      <x:c r="H59" s="31" t="n">
        <x:v>46.684</x:v>
      </x:c>
      <x:c r="I59" s="31" t="n">
        <x:v>42.44</x:v>
      </x:c>
      <x:c r="J59" s="31" t="n">
        <x:v>42.44</x:v>
      </x:c>
      <x:c r="K59" s="26" t="str">
        <x:v>分项加总一致</x:v>
      </x:c>
      <x:c r="L59" s="31" t="n">
        <x:v>46.684</x:v>
      </x:c>
      <x:c r="M59" s="31" t="n">
        <x:f>L59-H59</x:f>
        <x:v>0</x:v>
      </x:c>
      <x:c r="N59" s="26" t="str">
        <x:v>一致（按此前统一收费口径）</x:v>
      </x:c>
      <x:c r="O59" s="26" t="n">
        <x:v>303</x:v>
      </x:c>
      <x:c r="P59" s="26" t="str">
        <x:v>反推假设：23lb、Zone5（账单Zone8）。
标准运费29.09×61%≈17.74
＋假设折后附加费0.00
＋燃油(17.74＋0.00)×25.00%≈4.44
＝预估承运成本22.18
按既有收费规则折算→预付24.40；与原预付差+0.01。</x:v>
      </x:c>
      <x:c r="Q59" s="26" t="str">
        <x:v>运输费55.65
−折扣21.70
＋燃油8.49
＝承运净额42.44
账单实收46.684（按既有收费规则）</x:v>
      </x:c>
    </x:row>
    <x:row r="60" ht="120" customHeight="1">
      <x:c r="A60" s="26" t="n">
        <x:v>59</x:v>
      </x:c>
      <x:c r="B60" s="26" t="str">
        <x:v>872831064790</x:v>
      </x:c>
      <x:c r="C60" s="26" t="str">
        <x:v>CHARGER2</x:v>
      </x:c>
      <x:c r="D60" s="31" t="n">
        <x:v>11.82</x:v>
      </x:c>
      <x:c r="E60" s="31"/>
      <x:c r="F60" s="31"/>
      <x:c r="G60" s="26" t="str">
        <x:v>缺明细，无法试算</x:v>
      </x:c>
      <x:c r="H60" s="31" t="n">
        <x:v>33.92</x:v>
      </x:c>
      <x:c r="I60" s="31"/>
      <x:c r="J60" s="31"/>
      <x:c r="K60" s="26" t="str">
        <x:v>缺核对明细</x:v>
      </x:c>
      <x:c r="L60" s="31"/>
      <x:c r="M60" s="31"/>
      <x:c r="N60" s="26" t="str">
        <x:v>缺核对明细，无法核算</x:v>
      </x:c>
      <x:c r="O60" s="26"/>
      <x:c r="P60" s="26" t="str">
        <x:v>缺核对明细，无法重建预付；原预付仅按基础表保留。</x:v>
      </x:c>
      <x:c r="Q60" s="26" t="str">
        <x:v>缺原始核对明细，无法拆分。</x:v>
      </x:c>
    </x:row>
    <x:row r="61" ht="120" customHeight="1">
      <x:c r="A61" s="26" t="n">
        <x:v>60</x:v>
      </x:c>
      <x:c r="B61" s="26" t="str">
        <x:v>875086683086</x:v>
      </x:c>
      <x:c r="C61" s="26" t="str">
        <x:v>B300</x:v>
      </x:c>
      <x:c r="D61" s="31" t="n">
        <x:v>70.66</x:v>
      </x:c>
      <x:c r="E61" s="31"/>
      <x:c r="F61" s="31"/>
      <x:c r="G61" s="26" t="str">
        <x:v>缺明细，无法试算</x:v>
      </x:c>
      <x:c r="H61" s="31" t="n">
        <x:v>92.444</x:v>
      </x:c>
      <x:c r="I61" s="31"/>
      <x:c r="J61" s="31"/>
      <x:c r="K61" s="26" t="str">
        <x:v>缺核对明细</x:v>
      </x:c>
      <x:c r="L61" s="31"/>
      <x:c r="M61" s="31"/>
      <x:c r="N61" s="26" t="str">
        <x:v>缺核对明细，无法核算</x:v>
      </x:c>
      <x:c r="O61" s="26"/>
      <x:c r="P61" s="26" t="str">
        <x:v>缺核对明细，无法重建预付；原预付仅按基础表保留。</x:v>
      </x:c>
      <x:c r="Q61" s="26" t="str">
        <x:v>缺原始核对明细，无法拆分。</x:v>
      </x:c>
    </x:row>
    <x:row r="62" ht="120" customHeight="1">
      <x:c r="A62" s="26" t="n">
        <x:v>61</x:v>
      </x:c>
      <x:c r="B62" s="26" t="str">
        <x:v>874595913300</x:v>
      </x:c>
      <x:c r="C62" s="26" t="str">
        <x:v>AP300</x:v>
      </x:c>
      <x:c r="D62" s="31" t="n">
        <x:v>74.26</x:v>
      </x:c>
      <x:c r="E62" s="31" t="n">
        <x:v>74.56</x:v>
      </x:c>
      <x:c r="F62" s="31" t="n">
        <x:f>E62-D62</x:f>
        <x:v>0.29999999999999716</x:v>
      </x:c>
      <x:c r="G62" s="26" t="str">
        <x:v>未对上</x:v>
      </x:c>
      <x:c r="H62" s="31" t="n">
        <x:v>95.205</x:v>
      </x:c>
      <x:c r="I62" s="31" t="n">
        <x:v>86.55</x:v>
      </x:c>
      <x:c r="J62" s="31" t="n">
        <x:v>86.55</x:v>
      </x:c>
      <x:c r="K62" s="26" t="str">
        <x:v>分项加总一致</x:v>
      </x:c>
      <x:c r="L62" s="31" t="n">
        <x:v>95.205</x:v>
      </x:c>
      <x:c r="M62" s="31" t="n">
        <x:f>L62-H62</x:f>
        <x:v>0</x:v>
      </x:c>
      <x:c r="N62" s="26" t="str">
        <x:v>一致（按此前统一收费口径）</x:v>
      </x:c>
      <x:c r="O62" s="26" t="n">
        <x:v>554</x:v>
      </x:c>
      <x:c r="P62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Q62" s="26" t="str">
        <x:v>运输费75.13
−折扣29.30
＋Add'l Handling-Weight 23.00
＋燃油17.72
＝承运净额86.55
账单实收95.205（按既有收费规则）</x:v>
      </x:c>
    </x:row>
    <x:row r="63" ht="120" customHeight="1">
      <x:c r="A63" s="26" t="n">
        <x:v>62</x:v>
      </x:c>
      <x:c r="B63" s="26" t="str">
        <x:v>874595829270</x:v>
      </x:c>
      <x:c r="C63" s="26" t="str">
        <x:v>AP300</x:v>
      </x:c>
      <x:c r="D63" s="31" t="n">
        <x:v>74.26</x:v>
      </x:c>
      <x:c r="E63" s="31" t="n">
        <x:v>74.56</x:v>
      </x:c>
      <x:c r="F63" s="31" t="n">
        <x:f>E63-D63</x:f>
        <x:v>0.29999999999999716</x:v>
      </x:c>
      <x:c r="G63" s="26" t="str">
        <x:v>未对上</x:v>
      </x:c>
      <x:c r="H63" s="31" t="n">
        <x:v>94.765</x:v>
      </x:c>
      <x:c r="I63" s="31" t="n">
        <x:v>86.15</x:v>
      </x:c>
      <x:c r="J63" s="31" t="n">
        <x:v>86.15</x:v>
      </x:c>
      <x:c r="K63" s="26" t="str">
        <x:v>分项加总一致</x:v>
      </x:c>
      <x:c r="L63" s="31" t="n">
        <x:v>94.765</x:v>
      </x:c>
      <x:c r="M63" s="31" t="n">
        <x:f>L63-H63</x:f>
        <x:v>0</x:v>
      </x:c>
      <x:c r="N63" s="26" t="str">
        <x:v>一致（按此前统一收费口径）</x:v>
      </x:c>
      <x:c r="O63" s="26" t="n">
        <x:v>552</x:v>
      </x:c>
      <x:c r="P63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Q63" s="26" t="str">
        <x:v>运输费74.61
−折扣29.10
＋Add'l Handling-Weight 23.00
＋燃油17.64
＝承运净额86.15
账单实收94.765（按既有收费规则）</x:v>
      </x:c>
    </x:row>
    <x:row r="64" ht="120" customHeight="1">
      <x:c r="A64" s="26" t="n">
        <x:v>63</x:v>
      </x:c>
      <x:c r="B64" s="26" t="str">
        <x:v>874595766890</x:v>
      </x:c>
      <x:c r="C64" s="26" t="str">
        <x:v>AP300</x:v>
      </x:c>
      <x:c r="D64" s="31" t="n">
        <x:v>74.26</x:v>
      </x:c>
      <x:c r="E64" s="31" t="n">
        <x:v>74.56</x:v>
      </x:c>
      <x:c r="F64" s="31" t="n">
        <x:f>E64-D64</x:f>
        <x:v>0.29999999999999716</x:v>
      </x:c>
      <x:c r="G64" s="26" t="str">
        <x:v>未对上</x:v>
      </x:c>
      <x:c r="H64" s="31" t="n">
        <x:v>94.765</x:v>
      </x:c>
      <x:c r="I64" s="31" t="n">
        <x:v>86.15</x:v>
      </x:c>
      <x:c r="J64" s="31" t="n">
        <x:v>86.15</x:v>
      </x:c>
      <x:c r="K64" s="26" t="str">
        <x:v>分项加总一致</x:v>
      </x:c>
      <x:c r="L64" s="31" t="n">
        <x:v>94.765</x:v>
      </x:c>
      <x:c r="M64" s="31" t="n">
        <x:f>L64-H64</x:f>
        <x:v>0</x:v>
      </x:c>
      <x:c r="N64" s="26" t="str">
        <x:v>一致（按此前统一收费口径）</x:v>
      </x:c>
      <x:c r="O64" s="26" t="n">
        <x:v>551</x:v>
      </x:c>
      <x:c r="P64" s="26" t="str">
        <x:v>反推假设：84lb、Zone2（账单Zone2）。
标准运费50.65×61%≈30.90
＋假设折后附加费23.00
＋燃油(30.90＋23.00)×25.75%≈13.88
＝预估承运成本67.78
按既有收费规则折算→预付74.56；与原预付差+0.30。</x:v>
      </x:c>
      <x:c r="Q64" s="26" t="str">
        <x:v>运输费74.61
−折扣29.10
＋Add'l Handling-Weight 23.00
＋燃油17.64
＝承运净额86.15
账单实收94.765（按既有收费规则）</x:v>
      </x:c>
    </x:row>
    <x:row r="65" ht="120" customHeight="1">
      <x:c r="A65" s="26" t="n">
        <x:v>64</x:v>
      </x:c>
      <x:c r="B65" s="26" t="str">
        <x:v>873668650078</x:v>
      </x:c>
      <x:c r="C65" s="26" t="str">
        <x:v>RV5</x:v>
      </x:c>
      <x:c r="D65" s="31" t="n">
        <x:v>22.56</x:v>
      </x:c>
      <x:c r="E65" s="31" t="n">
        <x:v>22.52</x:v>
      </x:c>
      <x:c r="F65" s="31" t="n">
        <x:f>E65-D65</x:f>
        <x:v>-0.03999999999999915</x:v>
      </x:c>
      <x:c r="G65" s="26" t="str">
        <x:v>仅接近（不超过0.15美元）</x:v>
      </x:c>
      <x:c r="H65" s="31" t="n">
        <x:v>42.031</x:v>
      </x:c>
      <x:c r="I65" s="31" t="n">
        <x:v>38.21</x:v>
      </x:c>
      <x:c r="J65" s="31" t="n">
        <x:v>38.21</x:v>
      </x:c>
      <x:c r="K65" s="26" t="str">
        <x:v>分项加总一致</x:v>
      </x:c>
      <x:c r="L65" s="31" t="n">
        <x:v>42.031</x:v>
      </x:c>
      <x:c r="M65" s="31" t="n">
        <x:f>L65-H65</x:f>
        <x:v>0</x:v>
      </x:c>
      <x:c r="N65" s="26" t="str">
        <x:v>一致（按此前统一收费口径）</x:v>
      </x:c>
      <x:c r="O65" s="26" t="n">
        <x:v>224</x:v>
      </x:c>
      <x:c r="P65" s="26" t="str">
        <x:v>反推假设：40lb、Zone2（账单Zone2）。
标准运费26.79×61%≈16.34
＋假设折后附加费0.00
＋燃油(16.34＋0.00)×25.25%≈4.13
＝预估承运成本20.47
按既有收费规则折算→预付22.52；与原预付差-0.04。</x:v>
      </x:c>
      <x:c r="Q65" s="26" t="str">
        <x:v>运输费28.30
−折扣11.04
＋Add'l Handling-Packaging 13.25
＋燃油7.70
＝承运净额38.21
账单实收42.031（按既有收费规则）</x:v>
      </x:c>
    </x:row>
    <x:row r="66" ht="120" customHeight="1">
      <x:c r="A66" s="26" t="n">
        <x:v>65</x:v>
      </x:c>
      <x:c r="B66" s="26" t="str">
        <x:v>874085169204</x:v>
      </x:c>
      <x:c r="C66" s="26" t="str">
        <x:v>EL100V2</x:v>
      </x:c>
      <x:c r="D66" s="31" t="n">
        <x:v>20.38</x:v>
      </x:c>
      <x:c r="E66" s="31" t="n">
        <x:v>20.38</x:v>
      </x:c>
      <x:c r="F66" s="31" t="n">
        <x:f>E66-D66</x:f>
        <x:v>0</x:v>
      </x:c>
      <x:c r="G66" s="26" t="str">
        <x:v>一致（精确到美分）</x:v>
      </x:c>
      <x:c r="H66" s="31" t="n">
        <x:v>39.589</x:v>
      </x:c>
      <x:c r="I66" s="31" t="n">
        <x:v>35.99</x:v>
      </x:c>
      <x:c r="J66" s="31" t="n">
        <x:v>35.99</x:v>
      </x:c>
      <x:c r="K66" s="26" t="str">
        <x:v>分项加总一致</x:v>
      </x:c>
      <x:c r="L66" s="31" t="n">
        <x:v>39.589</x:v>
      </x:c>
      <x:c r="M66" s="31" t="n">
        <x:f>L66-H66</x:f>
        <x:v>0</x:v>
      </x:c>
      <x:c r="N66" s="26" t="str">
        <x:v>一致（按此前统一收费口径）</x:v>
      </x:c>
      <x:c r="O66" s="26" t="n">
        <x:v>369</x:v>
      </x:c>
      <x:c r="P66" s="26" t="str">
        <x:v>反推假设：34lb、Zone2（账单Zone2）。
标准运费24.30×61%≈14.82
＋假设折后附加费0.00
＋燃油(14.82＋0.00)×25.00%≈3.71
＝预估承运成本18.53
按既有收费规则折算→预付20.38；与原预付差+0.00。</x:v>
      </x:c>
      <x:c r="Q66" s="26" t="str">
        <x:v>运输费28.79
＋燃油7.20
＝承运净额35.99
账单实收39.589（按既有收费规则）</x:v>
      </x:c>
    </x:row>
    <x:row r="67" ht="120" customHeight="1">
      <x:c r="A67" s="26" t="n">
        <x:v>66</x:v>
      </x:c>
      <x:c r="B67" s="26" t="str">
        <x:v>873685329559</x:v>
      </x:c>
      <x:c r="C67" s="26" t="str">
        <x:v>AC180</x:v>
      </x:c>
      <x:c r="D67" s="31" t="n">
        <x:v>36.51</x:v>
      </x:c>
      <x:c r="E67" s="31" t="n">
        <x:v>36.51</x:v>
      </x:c>
      <x:c r="F67" s="31" t="n">
        <x:f>E67-D67</x:f>
        <x:v>0</x:v>
      </x:c>
      <x:c r="G67" s="26" t="str">
        <x:v>一致（精确到美分）</x:v>
      </x:c>
      <x:c r="H67" s="31" t="n">
        <x:v>55.594</x:v>
      </x:c>
      <x:c r="I67" s="31" t="n">
        <x:v>50.54</x:v>
      </x:c>
      <x:c r="J67" s="31" t="n">
        <x:v>50.54</x:v>
      </x:c>
      <x:c r="K67" s="26" t="str">
        <x:v>分项加总一致</x:v>
      </x:c>
      <x:c r="L67" s="31" t="n">
        <x:v>55.594</x:v>
      </x:c>
      <x:c r="M67" s="31" t="n">
        <x:f>L67-H67</x:f>
        <x:v>0</x:v>
      </x:c>
      <x:c r="N67" s="26" t="str">
        <x:v>一致（按此前统一收费口径）</x:v>
      </x:c>
      <x:c r="O67" s="26" t="n">
        <x:v>250</x:v>
      </x:c>
      <x:c r="P67" s="26" t="str">
        <x:v>反推假设：38lb、Zone5（账单Zone7）。
标准运费43.44×61%≈26.50
＋假设折后附加费0.00
＋燃油(26.50＋0.00)×25.25%≈6.69
＝预估承运成本33.19
按既有收费规则折算→预付36.51；与原预付差+0.00。</x:v>
      </x:c>
      <x:c r="Q67" s="26" t="str">
        <x:v>运输费66.15
−折扣25.80
＋燃油10.19
＝承运净额50.54
账单实收55.594（按既有收费规则）</x:v>
      </x:c>
    </x:row>
    <x:row r="68" ht="120" customHeight="1">
      <x:c r="A68" s="26" t="n">
        <x:v>67</x:v>
      </x:c>
      <x:c r="B68" s="26" t="str">
        <x:v>874145228294</x:v>
      </x:c>
      <x:c r="C68" s="26" t="str">
        <x:v>EL30V2</x:v>
      </x:c>
      <x:c r="D68" s="31" t="n">
        <x:v>22.55</x:v>
      </x:c>
      <x:c r="E68" s="31" t="n">
        <x:v>21.16</x:v>
      </x:c>
      <x:c r="F68" s="31" t="n">
        <x:f>E68-D68</x:f>
        <x:v>-1.3900000000000006</x:v>
      </x:c>
      <x:c r="G68" s="26" t="str">
        <x:v>未对上</x:v>
      </x:c>
      <x:c r="H68" s="31" t="n">
        <x:v>40.645</x:v>
      </x:c>
      <x:c r="I68" s="31" t="n">
        <x:v>36.95</x:v>
      </x:c>
      <x:c r="J68" s="31" t="n">
        <x:v>36.95</x:v>
      </x:c>
      <x:c r="K68" s="26" t="str">
        <x:v>分项加总一致</x:v>
      </x:c>
      <x:c r="L68" s="31" t="n">
        <x:v>40.645</x:v>
      </x:c>
      <x:c r="M68" s="31" t="n">
        <x:f>L68-H68</x:f>
        <x:v>0</x:v>
      </x:c>
      <x:c r="N68" s="26" t="str">
        <x:v>一致（按此前统一收费口径）</x:v>
      </x:c>
      <x:c r="O68" s="26" t="n">
        <x:v>386</x:v>
      </x:c>
      <x:c r="P68" s="26" t="str">
        <x:v>反推假设：18lb、Zone5（账单Zone5）。
标准运费25.23×61%≈15.39
＋假设折后附加费0.00
＋燃油(15.39＋0.00)×25.00%≈3.85
＝预估承运成本19.24
按既有收费规则折算→预付21.16；与原预付差-1.39。</x:v>
      </x:c>
      <x:c r="Q68" s="26" t="str">
        <x:v>运输费29.56
＋燃油7.39
＝承运净额36.95
账单实收40.645（按既有收费规则）</x:v>
      </x:c>
    </x:row>
    <x:row r="69" ht="120" customHeight="1">
      <x:c r="A69" s="26" t="n">
        <x:v>68</x:v>
      </x:c>
      <x:c r="B69" s="26" t="str">
        <x:v>873223702212</x:v>
      </x:c>
      <x:c r="C69" s="26" t="str">
        <x:v>AC180</x:v>
      </x:c>
      <x:c r="D69" s="31" t="n">
        <x:v>46.71</x:v>
      </x:c>
      <x:c r="E69" s="31" t="n">
        <x:v>31.3</x:v>
      </x:c>
      <x:c r="F69" s="31" t="n">
        <x:f>E69-D69</x:f>
        <x:v>-15.41</x:v>
      </x:c>
      <x:c r="G69" s="26" t="str">
        <x:v>未对上</x:v>
      </x:c>
      <x:c r="H69" s="31" t="n">
        <x:v>64.174</x:v>
      </x:c>
      <x:c r="I69" s="31" t="n">
        <x:v>58.34</x:v>
      </x:c>
      <x:c r="J69" s="31" t="n">
        <x:v>58.34</x:v>
      </x:c>
      <x:c r="K69" s="26" t="str">
        <x:v>分项加总一致</x:v>
      </x:c>
      <x:c r="L69" s="31" t="n">
        <x:v>64.174</x:v>
      </x:c>
      <x:c r="M69" s="31" t="n">
        <x:f>L69-H69</x:f>
        <x:v>0</x:v>
      </x:c>
      <x:c r="N69" s="26" t="str">
        <x:v>一致（按此前统一收费口径）</x:v>
      </x:c>
      <x:c r="O69" s="26" t="n">
        <x:v>193</x:v>
      </x:c>
      <x:c r="P69" s="26" t="str">
        <x:v>反推假设：17lb、Zone8（账单Zone8）。
标准运费37.17×61%≈22.67
＋假设折后附加费0.00
＋燃油(22.67＋0.00)×25.50%≈5.78
＝预估承运成本28.45
按既有收费规则折算→预付31.30；与原预付差-15.41。</x:v>
      </x:c>
      <x:c r="Q69" s="26" t="str">
        <x:v>运输费76.22
−折扣29.73
＋燃油11.85
＝承运净额58.34
账单实收64.174（按既有收费规则）</x:v>
      </x:c>
    </x:row>
    <x:row r="70" ht="120" customHeight="1">
      <x:c r="A70" s="26" t="n">
        <x:v>69</x:v>
      </x:c>
      <x:c r="B70" s="26" t="str">
        <x:v>874461107975</x:v>
      </x:c>
      <x:c r="C70" s="26" t="str">
        <x:v>EL100V2</x:v>
      </x:c>
      <x:c r="D70" s="31" t="n">
        <x:v>27.46</x:v>
      </x:c>
      <x:c r="E70" s="31"/>
      <x:c r="F70" s="31"/>
      <x:c r="G70" s="26" t="str">
        <x:v>缺明细，无法试算</x:v>
      </x:c>
      <x:c r="H70" s="31" t="n">
        <x:v>44.693</x:v>
      </x:c>
      <x:c r="I70" s="31"/>
      <x:c r="J70" s="31"/>
      <x:c r="K70" s="26" t="str">
        <x:v>缺核对明细</x:v>
      </x:c>
      <x:c r="L70" s="31"/>
      <x:c r="M70" s="31"/>
      <x:c r="N70" s="26" t="str">
        <x:v>缺核对明细，无法核算</x:v>
      </x:c>
      <x:c r="O70" s="26"/>
      <x:c r="P70" s="26" t="str">
        <x:v>缺核对明细，无法重建预付；原预付仅按基础表保留。</x:v>
      </x:c>
      <x:c r="Q70" s="26" t="str">
        <x:v>缺原始核对明细，无法拆分。</x:v>
      </x:c>
    </x:row>
    <x:row r="71" ht="120" customHeight="1">
      <x:c r="A71" s="26" t="n">
        <x:v>70</x:v>
      </x:c>
      <x:c r="B71" s="26" t="str">
        <x:v>873487241521</x:v>
      </x:c>
      <x:c r="C71" s="26" t="str">
        <x:v>AC180</x:v>
      </x:c>
      <x:c r="D71" s="31" t="n">
        <x:v>24.48</x:v>
      </x:c>
      <x:c r="E71" s="31" t="n">
        <x:v>24.4</x:v>
      </x:c>
      <x:c r="F71" s="31" t="n">
        <x:f>E71-D71</x:f>
        <x:v>-0.08000000000000185</x:v>
      </x:c>
      <x:c r="G71" s="26" t="str">
        <x:v>仅接近（不超过0.15美元）</x:v>
      </x:c>
      <x:c r="H71" s="31" t="n">
        <x:v>41.03</x:v>
      </x:c>
      <x:c r="I71" s="31" t="n">
        <x:v>37.3</x:v>
      </x:c>
      <x:c r="J71" s="31" t="n">
        <x:v>37.3</x:v>
      </x:c>
      <x:c r="K71" s="26" t="str">
        <x:v>分项加总一致</x:v>
      </x:c>
      <x:c r="L71" s="31" t="n">
        <x:v>41.03</x:v>
      </x:c>
      <x:c r="M71" s="31" t="n">
        <x:f>L71-H71</x:f>
        <x:v>0</x:v>
      </x:c>
      <x:c r="N71" s="26" t="str">
        <x:v>一致（按此前统一收费口径）</x:v>
      </x:c>
      <x:c r="O71" s="26" t="n">
        <x:v>314</x:v>
      </x:c>
      <x:c r="P71" s="26" t="str">
        <x:v>反推假设：23lb、Zone5（账单Zone5）。
标准运费29.09×61%≈17.74
＋假设折后附加费0.00
＋燃油(17.74＋0.00)×25.00%≈4.44
＝预估承运成本22.18
按既有收费规则折算→预付24.40；与原预付差-0.08。</x:v>
      </x:c>
      <x:c r="Q71" s="26" t="str">
        <x:v>运输费48.91
−折扣19.07
＋燃油7.46
＝承运净额37.30
账单实收41.030（按既有收费规则）</x:v>
      </x:c>
    </x:row>
    <x:row r="72" ht="120" customHeight="1">
      <x:c r="A72" s="26" t="n">
        <x:v>71</x:v>
      </x:c>
      <x:c r="B72" s="26" t="str">
        <x:v>874284543204</x:v>
      </x:c>
      <x:c r="C72" s="26" t="str">
        <x:v>EL30V</x:v>
      </x:c>
      <x:c r="D72" s="31" t="n">
        <x:v>46.44</x:v>
      </x:c>
      <x:c r="E72" s="31" t="n">
        <x:v>25.09</x:v>
      </x:c>
      <x:c r="F72" s="31" t="n">
        <x:f>E72-D72</x:f>
        <x:v>-21.349999999999998</x:v>
      </x:c>
      <x:c r="G72" s="26" t="str">
        <x:v>未对上</x:v>
      </x:c>
      <x:c r="H72" s="31" t="n">
        <x:v>62.854</x:v>
      </x:c>
      <x:c r="I72" s="31" t="n">
        <x:v>57.14</x:v>
      </x:c>
      <x:c r="J72" s="31" t="n">
        <x:v>57.14</x:v>
      </x:c>
      <x:c r="K72" s="26" t="str">
        <x:v>分项加总一致</x:v>
      </x:c>
      <x:c r="L72" s="31" t="n">
        <x:v>62.854</x:v>
      </x:c>
      <x:c r="M72" s="31" t="n">
        <x:f>L72-H72</x:f>
        <x:v>0</x:v>
      </x:c>
      <x:c r="N72" s="26" t="str">
        <x:v>一致（按此前统一收费口径）</x:v>
      </x:c>
      <x:c r="O72" s="26" t="n">
        <x:v>438</x:v>
      </x:c>
      <x:c r="P72" s="26" t="str">
        <x:v>反推假设：12lb、Zone8（账单Zone8）。
标准运费29.92×61%≈18.25
＋假设折后附加费0.00
＋燃油(18.25＋0.00)×25.00%≈4.56
＝预估承运成本22.81
按既有收费规则折算→预付25.09；与原预付差-21.35。</x:v>
      </x:c>
      <x:c r="Q72" s="26" t="str">
        <x:v>运输费45.71
＋燃油11.43
＝承运净额57.14
账单实收62.854（按既有收费规则）</x:v>
      </x:c>
    </x:row>
    <x:row r="73" ht="120" customHeight="1">
      <x:c r="A73" s="26" t="n">
        <x:v>72</x:v>
      </x:c>
      <x:c r="B73" s="26" t="str">
        <x:v>873341808833</x:v>
      </x:c>
      <x:c r="C73" s="26" t="str">
        <x:v>SOLARX 4K</x:v>
      </x:c>
      <x:c r="D73" s="31" t="n">
        <x:v>20.86</x:v>
      </x:c>
      <x:c r="E73" s="31" t="n">
        <x:v>20.78</x:v>
      </x:c>
      <x:c r="F73" s="31" t="n">
        <x:f>E73-D73</x:f>
        <x:v>-0.0799999999999983</x:v>
      </x:c>
      <x:c r="G73" s="26" t="str">
        <x:v>仅接近（不超过0.15美元）</x:v>
      </x:c>
      <x:c r="H73" s="31" t="n">
        <x:v>37.18</x:v>
      </x:c>
      <x:c r="I73" s="31" t="n">
        <x:v>33.8</x:v>
      </x:c>
      <x:c r="J73" s="31" t="n">
        <x:v>33.8</x:v>
      </x:c>
      <x:c r="K73" s="26" t="str">
        <x:v>分项加总一致</x:v>
      </x:c>
      <x:c r="L73" s="31" t="n">
        <x:v>37.18</x:v>
      </x:c>
      <x:c r="M73" s="31" t="n">
        <x:f>L73-H73</x:f>
        <x:v>0</x:v>
      </x:c>
      <x:c r="N73" s="26" t="str">
        <x:v>一致（按此前统一收费口径）</x:v>
      </x:c>
      <x:c r="O73" s="26" t="n">
        <x:v>143</x:v>
      </x:c>
      <x:c r="P73" s="26" t="str">
        <x:v>反推假设：23lb、Zone4（账单Zone4）。
标准运费24.68×61%≈15.05
＋假设折后附加费0.00
＋燃油(15.05＋0.00)×25.50%≈3.84
＝预估承运成本18.89
按既有收费规则折算→预付20.78；与原预付差-0.08。</x:v>
      </x:c>
      <x:c r="Q73" s="26" t="str">
        <x:v>运输费44.14
−折扣17.21
＋燃油6.87
＝承运净额33.80
账单实收37.180（按既有收费规则）</x:v>
      </x:c>
    </x:row>
    <x:row r="74" ht="120" customHeight="1">
      <x:c r="A74" s="26" t="n">
        <x:v>73</x:v>
      </x:c>
      <x:c r="B74" s="26" t="str">
        <x:v>874354963354</x:v>
      </x:c>
      <x:c r="C74" s="26" t="str">
        <x:v>EL400</x:v>
      </x:c>
      <x:c r="D74" s="31" t="n">
        <x:v>110.61</x:v>
      </x:c>
      <x:c r="E74" s="31" t="n">
        <x:v>110.64</x:v>
      </x:c>
      <x:c r="F74" s="31" t="n">
        <x:f>E74-D74</x:f>
        <x:v>0.030000000000001137</x:v>
      </x:c>
      <x:c r="G74" s="26" t="str">
        <x:v>仅接近（不超过0.15美元）</x:v>
      </x:c>
      <x:c r="H74" s="31" t="n">
        <x:v>126.918</x:v>
      </x:c>
      <x:c r="I74" s="31" t="n">
        <x:v>115.38</x:v>
      </x:c>
      <x:c r="J74" s="31" t="n">
        <x:v>115.38</x:v>
      </x:c>
      <x:c r="K74" s="26" t="str">
        <x:v>分项加总一致</x:v>
      </x:c>
      <x:c r="L74" s="31" t="n">
        <x:v>126.918</x:v>
      </x:c>
      <x:c r="M74" s="31" t="n">
        <x:f>L74-H74</x:f>
        <x:v>0</x:v>
      </x:c>
      <x:c r="N74" s="26" t="str">
        <x:v>一致（按此前统一收费口径）</x:v>
      </x:c>
      <x:c r="O74" s="26" t="n">
        <x:v>442</x:v>
      </x:c>
      <x:c r="P74" s="26" t="str">
        <x:v>反推假设：80lb、Zone6（账单Zone6）。
标准运费85.78×61%≈52.33
＋假设折后附加费28.13
＋燃油(52.33＋28.13)×25.00%≈20.12
＝预估承运成本100.58
按既有收费规则折算→预付110.64；与原预付差+0.03。</x:v>
      </x:c>
      <x:c r="Q74" s="26" t="str">
        <x:v>运输费105.22
−折扣41.04
＋Add'l Handling-Weight 28.12
＋燃油23.08
＝承运净额115.38
账单实收126.918（按既有收费规则）</x:v>
      </x:c>
    </x:row>
    <x:row r="75" ht="120" customHeight="1">
      <x:c r="A75" s="26" t="n">
        <x:v>74</x:v>
      </x:c>
      <x:c r="B75" s="26" t="str">
        <x:v>874009375269</x:v>
      </x:c>
      <x:c r="C75" s="26" t="str">
        <x:v>BC200</x:v>
      </x:c>
      <x:c r="D75" s="31" t="n">
        <x:v>27.26</x:v>
      </x:c>
      <x:c r="E75" s="31" t="n">
        <x:v>18.21</x:v>
      </x:c>
      <x:c r="F75" s="31" t="n">
        <x:f>E75-D75</x:f>
        <x:v>-9.05</x:v>
      </x:c>
      <x:c r="G75" s="26" t="str">
        <x:v>未对上</x:v>
      </x:c>
      <x:c r="H75" s="31" t="n">
        <x:v>42.856</x:v>
      </x:c>
      <x:c r="I75" s="31" t="n">
        <x:v>38.96</x:v>
      </x:c>
      <x:c r="J75" s="31" t="n">
        <x:v>38.96</x:v>
      </x:c>
      <x:c r="K75" s="26" t="str">
        <x:v>分项加总一致</x:v>
      </x:c>
      <x:c r="L75" s="31" t="n">
        <x:v>42.856</x:v>
      </x:c>
      <x:c r="M75" s="31" t="n">
        <x:f>L75-H75</x:f>
        <x:v>0</x:v>
      </x:c>
      <x:c r="N75" s="26" t="str">
        <x:v>一致（按此前统一收费口径）</x:v>
      </x:c>
      <x:c r="O75" s="26" t="n">
        <x:v>339</x:v>
      </x:c>
      <x:c r="P75" s="26" t="str">
        <x:v>反推假设：6lb、Zone8（账单Zone5）。
标准运费21.70×61%≈13.24
＋假设折后附加费0.00
＋燃油(13.24＋0.00)×25.00%≈3.31
＝预估承运成本16.55
按既有收费规则折算→预付18.21；与原预付差-9.05。</x:v>
      </x:c>
      <x:c r="Q75" s="26" t="str">
        <x:v>运输费51.10
−折扣19.93
＋燃油7.79
＝承运净额38.96
账单实收42.856（按既有收费规则）</x:v>
      </x:c>
    </x:row>
    <x:row r="76" ht="120" customHeight="1">
      <x:c r="A76" s="26" t="n">
        <x:v>75</x:v>
      </x:c>
      <x:c r="B76" s="26" t="str">
        <x:v>873965250992</x:v>
      </x:c>
      <x:c r="C76" s="26" t="str">
        <x:v>AP300</x:v>
      </x:c>
      <x:c r="D76" s="31" t="n">
        <x:v>74.12</x:v>
      </x:c>
      <x:c r="E76" s="31" t="n">
        <x:v>74.12</x:v>
      </x:c>
      <x:c r="F76" s="31" t="n">
        <x:f>E76-D76</x:f>
        <x:v>0</x:v>
      </x:c>
      <x:c r="G76" s="26" t="str">
        <x:v>一致（精确到美分）</x:v>
      </x:c>
      <x:c r="H76" s="31" t="n">
        <x:v>89.639</x:v>
      </x:c>
      <x:c r="I76" s="31" t="n">
        <x:v>81.49</x:v>
      </x:c>
      <x:c r="J76" s="31" t="n">
        <x:v>81.49</x:v>
      </x:c>
      <x:c r="K76" s="26" t="str">
        <x:v>分项加总一致</x:v>
      </x:c>
      <x:c r="L76" s="31" t="n">
        <x:v>89.639</x:v>
      </x:c>
      <x:c r="M76" s="31" t="n">
        <x:f>L76-H76</x:f>
        <x:v>0</x:v>
      </x:c>
      <x:c r="N76" s="26" t="str">
        <x:v>一致（按此前统一收费口径）</x:v>
      </x:c>
      <x:c r="O76" s="26" t="n">
        <x:v>274</x:v>
      </x:c>
      <x:c r="P76" s="26" t="str">
        <x:v>反推假设：84lb、Zone2（账单Zone2）。
标准运费50.65×61%≈30.90
＋假设折后附加费23.00
＋燃油(30.90＋23.00)×25.00%≈13.48
＝预估承运成本67.38
按既有收费规则折算→预付74.12；与原预付差+0.00。</x:v>
      </x:c>
      <x:c r="Q76" s="26" t="str">
        <x:v>运输费69.17
−折扣26.98
＋Add'l Handling-Weight 23.00
＋燃油16.30
＝承运净额81.49
账单实收89.639（按既有收费规则）</x:v>
      </x:c>
    </x:row>
    <x:row r="77" ht="120" customHeight="1">
      <x:c r="A77" s="26" t="n">
        <x:v>76</x:v>
      </x:c>
      <x:c r="B77" s="26" t="str">
        <x:v>874895163253</x:v>
      </x:c>
      <x:c r="C77" s="26" t="str">
        <x:v>EL400</x:v>
      </x:c>
      <x:c r="D77" s="31" t="n">
        <x:v>103.39</x:v>
      </x:c>
      <x:c r="E77" s="31"/>
      <x:c r="F77" s="31"/>
      <x:c r="G77" s="26" t="str">
        <x:v>缺明细，无法试算</x:v>
      </x:c>
      <x:c r="H77" s="31" t="n">
        <x:v>117.909</x:v>
      </x:c>
      <x:c r="I77" s="31"/>
      <x:c r="J77" s="31"/>
      <x:c r="K77" s="26" t="str">
        <x:v>缺核对明细</x:v>
      </x:c>
      <x:c r="L77" s="31"/>
      <x:c r="M77" s="31"/>
      <x:c r="N77" s="26" t="str">
        <x:v>缺核对明细，无法核算</x:v>
      </x:c>
      <x:c r="O77" s="26"/>
      <x:c r="P77" s="26" t="str">
        <x:v>缺核对明细，无法重建预付；原预付仅按基础表保留。</x:v>
      </x:c>
      <x:c r="Q77" s="26" t="str">
        <x:v>缺原始核对明细，无法拆分。</x:v>
      </x:c>
    </x:row>
    <x:row r="78" ht="120" customHeight="1">
      <x:c r="A78" s="26" t="n">
        <x:v>77</x:v>
      </x:c>
      <x:c r="B78" s="26" t="str">
        <x:v>874143420642</x:v>
      </x:c>
      <x:c r="C78" s="26" t="str">
        <x:v>EL100V2</x:v>
      </x:c>
      <x:c r="D78" s="31" t="n">
        <x:v>32.22</x:v>
      </x:c>
      <x:c r="E78" s="31" t="n">
        <x:v>32.22</x:v>
      </x:c>
      <x:c r="F78" s="31" t="n">
        <x:f>E78-D78</x:f>
        <x:v>0</x:v>
      </x:c>
      <x:c r="G78" s="26" t="str">
        <x:v>一致（精确到美分）</x:v>
      </x:c>
      <x:c r="H78" s="31" t="n">
        <x:v>46.684</x:v>
      </x:c>
      <x:c r="I78" s="31" t="n">
        <x:v>42.44</x:v>
      </x:c>
      <x:c r="J78" s="31" t="n">
        <x:v>42.44</x:v>
      </x:c>
      <x:c r="K78" s="26" t="str">
        <x:v>分项加总一致</x:v>
      </x:c>
      <x:c r="L78" s="31" t="n">
        <x:v>46.684</x:v>
      </x:c>
      <x:c r="M78" s="31" t="n">
        <x:f>L78-H78</x:f>
        <x:v>0</x:v>
      </x:c>
      <x:c r="N78" s="26" t="str">
        <x:v>一致（按此前统一收费口径）</x:v>
      </x:c>
      <x:c r="O78" s="26" t="n">
        <x:v>384</x:v>
      </x:c>
      <x:c r="P78" s="26" t="str">
        <x:v>反推假设：25lb、Zone6（账单Zone8）。
标准运费38.41×61%≈23.43
＋假设折后附加费0.00
＋燃油(23.43＋0.00)×25.00%≈5.86
＝预估承运成本29.29
按既有收费规则折算→预付32.22；与原预付差+0.00。</x:v>
      </x:c>
      <x:c r="Q78" s="26" t="str">
        <x:v>运输费55.65
−折扣21.70
＋燃油8.49
＝承运净额42.44
账单实收46.684（按既有收费规则）</x:v>
      </x:c>
    </x:row>
    <x:row r="79" ht="120" customHeight="1">
      <x:c r="A79" s="26" t="n">
        <x:v>78</x:v>
      </x:c>
      <x:c r="B79" s="26" t="str">
        <x:v>873602771330</x:v>
      </x:c>
      <x:c r="C79" s="26" t="str">
        <x:v>AB3A</x:v>
      </x:c>
      <x:c r="D79" s="31" t="n">
        <x:v>18.83</x:v>
      </x:c>
      <x:c r="E79" s="31" t="n">
        <x:v>18.68</x:v>
      </x:c>
      <x:c r="F79" s="31" t="n">
        <x:f>E79-D79</x:f>
        <x:v>-0.14999999999999858</x:v>
      </x:c>
      <x:c r="G79" s="26" t="str">
        <x:v>仅接近（不超过0.15美元）</x:v>
      </x:c>
      <x:c r="H79" s="31" t="n">
        <x:v>33.176</x:v>
      </x:c>
      <x:c r="I79" s="31" t="n">
        <x:v>30.16</x:v>
      </x:c>
      <x:c r="J79" s="31" t="n">
        <x:v>30.16</x:v>
      </x:c>
      <x:c r="K79" s="26" t="str">
        <x:v>分项加总一致</x:v>
      </x:c>
      <x:c r="L79" s="31" t="n">
        <x:v>33.176</x:v>
      </x:c>
      <x:c r="M79" s="31" t="n">
        <x:f>L79-H79</x:f>
        <x:v>0</x:v>
      </x:c>
      <x:c r="N79" s="26" t="str">
        <x:v>一致（按此前统一收费口径）</x:v>
      </x:c>
      <x:c r="O79" s="26" t="n">
        <x:v>282</x:v>
      </x:c>
      <x:c r="P79" s="26" t="str">
        <x:v>反推假设：11lb、Zone6（账单Zone5）。
标准运费22.27×61%≈13.58
＋假设折后附加费0.00
＋燃油(13.58＋0.00)×25.00%≈3.40
＝预估承运成本16.98
按既有收费规则折算→预付18.68；与原预付差-0.15。</x:v>
      </x:c>
      <x:c r="Q79" s="26" t="str">
        <x:v>运输费39.55
−折扣15.42
＋燃油6.03
＝承运净额30.16
账单实收33.176（按既有收费规则）</x:v>
      </x:c>
    </x:row>
    <x:row r="80" ht="120" customHeight="1">
      <x:c r="A80" s="26" t="n">
        <x:v>79</x:v>
      </x:c>
      <x:c r="B80" s="26" t="str">
        <x:v>873469399623</x:v>
      </x:c>
      <x:c r="C80" s="26" t="str">
        <x:v>AC300</x:v>
      </x:c>
      <x:c r="D80" s="31" t="n">
        <x:v>69.45</x:v>
      </x:c>
      <x:c r="E80" s="31" t="n">
        <x:v>67.13</x:v>
      </x:c>
      <x:c r="F80" s="31" t="n">
        <x:f>E80-D80</x:f>
        <x:v>-2.3200000000000074</x:v>
      </x:c>
      <x:c r="G80" s="26" t="str">
        <x:v>未对上</x:v>
      </x:c>
      <x:c r="H80" s="31" t="n">
        <x:v>82.863</x:v>
      </x:c>
      <x:c r="I80" s="31" t="n">
        <x:v>75.33</x:v>
      </x:c>
      <x:c r="J80" s="31" t="n">
        <x:v>75.33</x:v>
      </x:c>
      <x:c r="K80" s="26" t="str">
        <x:v>分项加总一致</x:v>
      </x:c>
      <x:c r="L80" s="31" t="n">
        <x:v>82.863</x:v>
      </x:c>
      <x:c r="M80" s="31" t="n">
        <x:f>L80-H80</x:f>
        <x:v>0</x:v>
      </x:c>
      <x:c r="N80" s="26" t="str">
        <x:v>一致（按此前统一收费口径）</x:v>
      </x:c>
      <x:c r="O80" s="26" t="n">
        <x:v>170</x:v>
      </x:c>
      <x:c r="P80" s="26" t="str">
        <x:v>反推假设：61lb、Zone3（账单Zone3）。
标准运费38.53×61%≈23.50
＋假设折后附加费25.13
＋燃油(23.50＋25.13)×25.50%≈12.40
＝预估承运成本61.03
按既有收费规则折算→预付67.13；与原预付差-2.32。</x:v>
      </x:c>
      <x:c r="Q80" s="26" t="str">
        <x:v>运输费57.22
−折扣22.32
＋Add'l Handling-Weight 25.12
＋燃油15.31
＝承运净额75.33
账单实收82.863（按既有收费规则）</x:v>
      </x:c>
    </x:row>
    <x:row r="81" ht="120" customHeight="1">
      <x:c r="A81" s="26" t="n">
        <x:v>80</x:v>
      </x:c>
      <x:c r="B81" s="26" t="str">
        <x:v>873169813564</x:v>
      </x:c>
      <x:c r="C81" s="26"/>
      <x:c r="D81" s="31" t="n">
        <x:v>63.63</x:v>
      </x:c>
      <x:c r="E81" s="31" t="n">
        <x:v>63.15</x:v>
      </x:c>
      <x:c r="F81" s="31" t="n">
        <x:f>E81-D81</x:f>
        <x:v>-0.480000000000004</x:v>
      </x:c>
      <x:c r="G81" s="26" t="str">
        <x:v>未对上</x:v>
      </x:c>
      <x:c r="H81" s="31" t="n">
        <x:v>76.872</x:v>
      </x:c>
      <x:c r="I81" s="31" t="n">
        <x:v>64.06</x:v>
      </x:c>
      <x:c r="J81" s="31" t="n">
        <x:v>64.06</x:v>
      </x:c>
      <x:c r="K81" s="26" t="str">
        <x:v>分项加总一致</x:v>
      </x:c>
      <x:c r="L81" s="31" t="n">
        <x:v>70.466</x:v>
      </x:c>
      <x:c r="M81" s="31" t="n">
        <x:f>L81-H81</x:f>
        <x:v>-6.406000000000006</x:v>
      </x:c>
      <x:c r="N81" s="26" t="str">
        <x:v>未对上，收费口径待确认</x:v>
      </x:c>
      <x:c r="O81" s="26" t="n">
        <x:v>63</x:v>
      </x:c>
      <x:c r="P81" s="26" t="str">
        <x:v>反推假设：38lb、Zone8（账单Zone3）。
标准运费74.69×61%≈45.56
＋假设折后附加费0.00
＋燃油(45.56＋0.00)×26.00%≈11.85
＝预估承运成本57.41
按既有收费规则折算→预付63.15；与原预付差-0.48。</x:v>
      </x:c>
      <x:c r="Q81" s="26" t="str">
        <x:v>运输费38.53
−折扣15.03
＋Add'l Handling-Weight 25.12
＋DAS Commercial 2.22
＋燃油13.22
＝承运净额64.06
账单实收76.872（按既有收费规则）</x:v>
      </x:c>
    </x:row>
    <x:row r="82" ht="120" customHeight="1">
      <x:c r="A82" s="26" t="n">
        <x:v>81</x:v>
      </x:c>
      <x:c r="B82" s="26" t="str">
        <x:v>873478624488</x:v>
      </x:c>
      <x:c r="C82" s="26" t="str">
        <x:v>EL400</x:v>
      </x:c>
      <x:c r="D82" s="31" t="n">
        <x:v>85.53</x:v>
      </x:c>
      <x:c r="E82" s="31" t="n">
        <x:v>85.55</x:v>
      </x:c>
      <x:c r="F82" s="31" t="n">
        <x:f>E82-D82</x:f>
        <x:v>0.01999999999999602</x:v>
      </x:c>
      <x:c r="G82" s="26" t="str">
        <x:v>仅接近（不超过0.15美元）</x:v>
      </x:c>
      <x:c r="H82" s="31" t="n">
        <x:v>98.692</x:v>
      </x:c>
      <x:c r="I82" s="31" t="n">
        <x:v>89.72</x:v>
      </x:c>
      <x:c r="J82" s="31" t="n">
        <x:v>89.72</x:v>
      </x:c>
      <x:c r="K82" s="26" t="str">
        <x:v>分项加总一致</x:v>
      </x:c>
      <x:c r="L82" s="31" t="n">
        <x:v>98.692</x:v>
      </x:c>
      <x:c r="M82" s="31" t="n">
        <x:f>L82-H82</x:f>
        <x:v>0</x:v>
      </x:c>
      <x:c r="N82" s="26" t="str">
        <x:v>一致（按此前统一收费口径）</x:v>
      </x:c>
      <x:c r="O82" s="26" t="n">
        <x:v>156</x:v>
      </x:c>
      <x:c r="P82" s="26" t="str">
        <x:v>反推假设：86lb、Zone3（账单Zone3）。
标准运费60.39×61%≈36.84
＋假设折后附加费25.13
＋燃油(36.84＋25.13)×25.50%≈15.80
＝预估承运成本77.77
按既有收费规则折算→预付85.55；与原预付差+0.02。</x:v>
      </x:c>
      <x:c r="Q82" s="26" t="str">
        <x:v>运输费76.02
−折扣29.65
＋Add'l Handling-Weight 25.12
＋燃油18.23
＝承运净额89.72
账单实收98.692（按既有收费规则）</x:v>
      </x:c>
    </x:row>
    <x:row r="83" ht="120" customHeight="1">
      <x:c r="A83" s="26" t="n">
        <x:v>82</x:v>
      </x:c>
      <x:c r="B83" s="26" t="str">
        <x:v>873109425642</x:v>
      </x:c>
      <x:c r="C83" s="26"/>
      <x:c r="D83" s="31" t="n">
        <x:v>51.15</x:v>
      </x:c>
      <x:c r="E83" s="31" t="n">
        <x:v>37.92</x:v>
      </x:c>
      <x:c r="F83" s="31" t="n">
        <x:f>E83-D83</x:f>
        <x:v>-13.229999999999997</x:v>
      </x:c>
      <x:c r="G83" s="26" t="str">
        <x:v>未对上</x:v>
      </x:c>
      <x:c r="H83" s="31" t="n">
        <x:v>64.308</x:v>
      </x:c>
      <x:c r="I83" s="31" t="n">
        <x:v>53.59</x:v>
      </x:c>
      <x:c r="J83" s="31" t="n">
        <x:v>53.59</x:v>
      </x:c>
      <x:c r="K83" s="26" t="str">
        <x:v>分项加总一致</x:v>
      </x:c>
      <x:c r="L83" s="31" t="n">
        <x:v>58.949</x:v>
      </x:c>
      <x:c r="M83" s="31" t="n">
        <x:f>L83-H83</x:f>
        <x:v>-5.359000000000009</x:v>
      </x:c>
      <x:c r="N83" s="26" t="str">
        <x:v>未对上，收费口径待确认</x:v>
      </x:c>
      <x:c r="O83" s="26" t="n">
        <x:v>137</x:v>
      </x:c>
      <x:c r="P83" s="26" t="str">
        <x:v>反推假设：21lb、Zone8（账单Zone7）。
标准运费44.86×61%≈27.36
＋假设折后附加费0.00
＋燃油(27.36＋0.00)×26.00%≈7.11
＝预估承运成本34.47
按既有收费规则折算→预付37.92；与原预付差-13.23。</x:v>
      </x:c>
      <x:c r="Q83" s="26" t="str">
        <x:v>运输费52.96
−折扣16.95
＋Residential Delivery 3.22
＋DAS Residential 3.30
＋燃油11.06
＝承运净额53.59
账单实收64.308（按既有收费规则）</x:v>
      </x:c>
    </x:row>
    <x:row r="84" ht="120" customHeight="1">
      <x:c r="A84" s="26" t="n">
        <x:v>83</x:v>
      </x:c>
      <x:c r="B84" s="26" t="str">
        <x:v>873941111469</x:v>
      </x:c>
      <x:c r="C84" s="26" t="str">
        <x:v>AC70</x:v>
      </x:c>
      <x:c r="D84" s="31" t="n">
        <x:v>33.29</x:v>
      </x:c>
      <x:c r="E84" s="31" t="n">
        <x:v>31.17</x:v>
      </x:c>
      <x:c r="F84" s="31" t="n">
        <x:f>E84-D84</x:f>
        <x:v>-2.1199999999999974</x:v>
      </x:c>
      <x:c r="G84" s="26" t="str">
        <x:v>未对上</x:v>
      </x:c>
      <x:c r="H84" s="31" t="n">
        <x:v>46.343</x:v>
      </x:c>
      <x:c r="I84" s="31" t="n">
        <x:v>42.13</x:v>
      </x:c>
      <x:c r="J84" s="31" t="n">
        <x:v>42.13</x:v>
      </x:c>
      <x:c r="K84" s="26" t="str">
        <x:v>分项加总一致</x:v>
      </x:c>
      <x:c r="L84" s="31" t="n">
        <x:v>46.343</x:v>
      </x:c>
      <x:c r="M84" s="31" t="n">
        <x:f>L84-H84</x:f>
        <x:v>0</x:v>
      </x:c>
      <x:c r="N84" s="26" t="str">
        <x:v>一致（按此前统一收费口径）</x:v>
      </x:c>
      <x:c r="O84" s="26" t="n">
        <x:v>433</x:v>
      </x:c>
      <x:c r="P84" s="26" t="str">
        <x:v>反推假设：17lb、Zone8（账单Zone8）。
标准运费37.17×61%≈22.67
＋假设折后附加费0.00
＋燃油(22.67＋0.00)×25.00%≈5.67
＝预估承运成本28.34
按既有收费规则折算→预付31.17；与原预付差-2.12。</x:v>
      </x:c>
      <x:c r="Q84" s="26" t="str">
        <x:v>运输费55.25
−折扣21.55
＋燃油8.43
＝承运净额42.13
账单实收46.343（按既有收费规则）</x:v>
      </x:c>
    </x:row>
    <x:row r="85" ht="120" customHeight="1">
      <x:c r="A85" s="26" t="n">
        <x:v>84</x:v>
      </x:c>
      <x:c r="B85" s="26" t="str">
        <x:v>873856999804</x:v>
      </x:c>
      <x:c r="C85" s="26" t="str">
        <x:v>AP300</x:v>
      </x:c>
      <x:c r="D85" s="31" t="n">
        <x:v>88.81</x:v>
      </x:c>
      <x:c r="E85" s="31" t="n">
        <x:v>88.65</x:v>
      </x:c>
      <x:c r="F85" s="31" t="n">
        <x:f>E85-D85</x:f>
        <x:v>-0.1599999999999966</x:v>
      </x:c>
      <x:c r="G85" s="26" t="str">
        <x:v>未对上</x:v>
      </x:c>
      <x:c r="H85" s="31" t="n">
        <x:v>101.816</x:v>
      </x:c>
      <x:c r="I85" s="31" t="n">
        <x:v>92.56</x:v>
      </x:c>
      <x:c r="J85" s="31" t="n">
        <x:v>92.56</x:v>
      </x:c>
      <x:c r="K85" s="26" t="str">
        <x:v>分项加总一致</x:v>
      </x:c>
      <x:c r="L85" s="31" t="n">
        <x:v>101.816</x:v>
      </x:c>
      <x:c r="M85" s="31" t="n">
        <x:f>L85-H85</x:f>
        <x:v>0</x:v>
      </x:c>
      <x:c r="N85" s="26" t="str">
        <x:v>一致（按此前统一收费口径）</x:v>
      </x:c>
      <x:c r="O85" s="26" t="n">
        <x:v>324</x:v>
      </x:c>
      <x:c r="P85" s="26" t="str">
        <x:v>反推假设：84lb、Zone4（账单Zone4）。
标准运费64.49×61%≈39.34
＋假设折后附加费25.13
＋燃油(39.34＋25.13)×25.00%≈16.12
＝预估承运成本80.59
按既有收费规则折算→预付88.65；与原预付差-0.16。</x:v>
      </x:c>
      <x:c r="Q85" s="26" t="str">
        <x:v>运输费80.21
−折扣31.28
＋Add'l Handling-Weight 25.12
＋燃油18.51
＝承运净额92.56
账单实收101.816（按既有收费规则）</x:v>
      </x:c>
    </x:row>
    <x:row r="86" ht="120" customHeight="1">
      <x:c r="A86" s="26" t="n">
        <x:v>85</x:v>
      </x:c>
      <x:c r="B86" s="26" t="str">
        <x:v>874039858376</x:v>
      </x:c>
      <x:c r="C86" s="26" t="str">
        <x:v>AC180</x:v>
      </x:c>
      <x:c r="D86" s="31" t="n">
        <x:v>18.64</x:v>
      </x:c>
      <x:c r="E86" s="31" t="n">
        <x:v>17.48</x:v>
      </x:c>
      <x:c r="F86" s="31" t="n">
        <x:f>E86-D86</x:f>
        <x:v>-1.1600000000000001</x:v>
      </x:c>
      <x:c r="G86" s="26" t="str">
        <x:v>未对上</x:v>
      </x:c>
      <x:c r="H86" s="31" t="n">
        <x:v>31.438</x:v>
      </x:c>
      <x:c r="I86" s="31" t="n">
        <x:v>28.58</x:v>
      </x:c>
      <x:c r="J86" s="31" t="n">
        <x:v>28.58</x:v>
      </x:c>
      <x:c r="K86" s="26" t="str">
        <x:v>分项加总一致</x:v>
      </x:c>
      <x:c r="L86" s="31" t="n">
        <x:v>31.438</x:v>
      </x:c>
      <x:c r="M86" s="31" t="n">
        <x:f>L86-H86</x:f>
        <x:v>0</x:v>
      </x:c>
      <x:c r="N86" s="26" t="str">
        <x:v>一致（按此前统一收费口径）</x:v>
      </x:c>
      <x:c r="O86" s="26" t="n">
        <x:v>344</x:v>
      </x:c>
      <x:c r="P86" s="26" t="str">
        <x:v>反推假设：17lb、Zone4（账单Zone4）。
标准运费20.84×61%≈12.71
＋假设折后附加费0.00
＋燃油(12.71＋0.00)×25.00%≈3.18
＝预估承运成本15.89
按既有收费规则折算→预付17.48；与原预付差-1.16。</x:v>
      </x:c>
      <x:c r="Q86" s="26" t="str">
        <x:v>运输费37.48
−折扣14.62
＋燃油5.72
＝承运净额28.58
账单实收31.438（按既有收费规则）</x:v>
      </x:c>
    </x:row>
    <x:row r="87" ht="120" customHeight="1">
      <x:c r="A87" s="26" t="n">
        <x:v>86</x:v>
      </x:c>
      <x:c r="B87" s="26" t="str">
        <x:v>873112849706</x:v>
      </x:c>
      <x:c r="C87" s="26"/>
      <x:c r="D87" s="31" t="n">
        <x:v>49.04</x:v>
      </x:c>
      <x:c r="E87" s="31" t="n">
        <x:v>46</x:v>
      </x:c>
      <x:c r="F87" s="31" t="n">
        <x:f>E87-D87</x:f>
        <x:v>-3.039999999999999</x:v>
      </x:c>
      <x:c r="G87" s="26" t="str">
        <x:v>未对上</x:v>
      </x:c>
      <x:c r="H87" s="31" t="n">
        <x:v>61.812</x:v>
      </x:c>
      <x:c r="I87" s="31" t="n">
        <x:v>51.51</x:v>
      </x:c>
      <x:c r="J87" s="31" t="n">
        <x:v>51.51</x:v>
      </x:c>
      <x:c r="K87" s="26" t="str">
        <x:v>分项加总一致</x:v>
      </x:c>
      <x:c r="L87" s="31" t="n">
        <x:v>56.661</x:v>
      </x:c>
      <x:c r="M87" s="31" t="n">
        <x:f>L87-H87</x:f>
        <x:v>-5.150999999999996</x:v>
      </x:c>
      <x:c r="N87" s="26" t="str">
        <x:v>未对上，收费口径待确认</x:v>
      </x:c>
      <x:c r="O87" s="26" t="n">
        <x:v>54</x:v>
      </x:c>
      <x:c r="P87" s="26" t="str">
        <x:v>反推假设：32lb、Zone7（账单Zone5）。
标准运费54.41×61%≈33.19
＋假设折后附加费0.00
＋燃油(33.19＋0.00)×26.00%≈8.63
＝预估承运成本41.82
按既有收费规则折算→预付46.00；与原预付差-3.04。</x:v>
      </x:c>
      <x:c r="Q87" s="26" t="str">
        <x:v>运输费48.91
−折扣15.65
＋Residential Delivery 3.22
＋DAS Extended Residential 4.40
＋燃油10.63
＝承运净额51.51
账单实收61.812（按既有收费规则）</x:v>
      </x:c>
    </x:row>
    <x:row r="88" ht="120" customHeight="1">
      <x:c r="A88" s="26" t="n">
        <x:v>87</x:v>
      </x:c>
      <x:c r="B88" s="26" t="str">
        <x:v>874095581056</x:v>
      </x:c>
      <x:c r="C88" s="26" t="str">
        <x:v>AP300</x:v>
      </x:c>
      <x:c r="D88" s="31" t="n">
        <x:v>100.59</x:v>
      </x:c>
      <x:c r="E88" s="31" t="n">
        <x:v>100.61</x:v>
      </x:c>
      <x:c r="F88" s="31" t="n">
        <x:f>E88-D88</x:f>
        <x:v>0.01999999999999602</x:v>
      </x:c>
      <x:c r="G88" s="26" t="str">
        <x:v>仅接近（不超过0.15美元）</x:v>
      </x:c>
      <x:c r="H88" s="31" t="n">
        <x:v>113.245</x:v>
      </x:c>
      <x:c r="I88" s="31" t="n">
        <x:v>102.95</x:v>
      </x:c>
      <x:c r="J88" s="31" t="n">
        <x:v>102.95</x:v>
      </x:c>
      <x:c r="K88" s="26" t="str">
        <x:v>分项加总一致</x:v>
      </x:c>
      <x:c r="L88" s="31" t="n">
        <x:v>113.245</x:v>
      </x:c>
      <x:c r="M88" s="31" t="n">
        <x:f>L88-H88</x:f>
        <x:v>0</x:v>
      </x:c>
      <x:c r="N88" s="26" t="str">
        <x:v>一致（按此前统一收费口径）</x:v>
      </x:c>
      <x:c r="O88" s="26" t="n">
        <x:v>355</x:v>
      </x:c>
      <x:c r="P88" s="26" t="str">
        <x:v>反推假设：84lb、Zone5（账单Zone5）。
标准运费73.83×61%≈45.04
＋假设折后附加费28.13
＋燃油(45.04＋28.13)×25.00%≈18.29
＝预估承运成本91.46
按既有收费规则折算→预付100.61；与原预付差+0.02。</x:v>
      </x:c>
      <x:c r="Q88" s="26" t="str">
        <x:v>运输费88.91
−折扣34.67
＋Add'l Handling-Weight 28.12
＋燃油20.59
＝承运净额102.95
账单实收113.245（按既有收费规则）</x:v>
      </x:c>
    </x:row>
    <x:row r="89" ht="120" customHeight="1">
      <x:c r="A89" s="26" t="n">
        <x:v>88</x:v>
      </x:c>
      <x:c r="B89" s="26" t="str">
        <x:v>875025330119</x:v>
      </x:c>
      <x:c r="C89" s="26" t="str">
        <x:v>EL400</x:v>
      </x:c>
      <x:c r="D89" s="31" t="n">
        <x:v>91.33</x:v>
      </x:c>
      <x:c r="E89" s="31"/>
      <x:c r="F89" s="31"/>
      <x:c r="G89" s="26" t="str">
        <x:v>缺明细，无法试算</x:v>
      </x:c>
      <x:c r="H89" s="31" t="n">
        <x:v>103.675</x:v>
      </x:c>
      <x:c r="I89" s="31"/>
      <x:c r="J89" s="31"/>
      <x:c r="K89" s="26" t="str">
        <x:v>缺核对明细</x:v>
      </x:c>
      <x:c r="L89" s="31"/>
      <x:c r="M89" s="31"/>
      <x:c r="N89" s="26" t="str">
        <x:v>缺核对明细，无法核算</x:v>
      </x:c>
      <x:c r="O89" s="26"/>
      <x:c r="P89" s="26" t="str">
        <x:v>缺核对明细，无法重建预付；原预付仅按基础表保留。</x:v>
      </x:c>
      <x:c r="Q89" s="26" t="str">
        <x:v>缺原始核对明细，无法拆分。</x:v>
      </x:c>
    </x:row>
    <x:row r="90" ht="120" customHeight="1">
      <x:c r="A90" s="26" t="n">
        <x:v>89</x:v>
      </x:c>
      <x:c r="B90" s="26" t="str">
        <x:v>873425107021</x:v>
      </x:c>
      <x:c r="C90" s="26" t="str">
        <x:v>AC180</x:v>
      </x:c>
      <x:c r="D90" s="31" t="n">
        <x:v>43.92</x:v>
      </x:c>
      <x:c r="E90" s="31" t="n">
        <x:v>43.92</x:v>
      </x:c>
      <x:c r="F90" s="31" t="n">
        <x:f>E90-D90</x:f>
        <x:v>0</x:v>
      </x:c>
      <x:c r="G90" s="26" t="str">
        <x:v>一致（精确到美分）</x:v>
      </x:c>
      <x:c r="H90" s="31" t="n">
        <x:v>56.243</x:v>
      </x:c>
      <x:c r="I90" s="31" t="n">
        <x:v>51.13</x:v>
      </x:c>
      <x:c r="J90" s="31" t="n">
        <x:v>51.13</x:v>
      </x:c>
      <x:c r="K90" s="26" t="str">
        <x:v>分项加总一致</x:v>
      </x:c>
      <x:c r="L90" s="31" t="n">
        <x:v>56.243</x:v>
      </x:c>
      <x:c r="M90" s="31" t="n">
        <x:f>L90-H90</x:f>
        <x:v>0</x:v>
      </x:c>
      <x:c r="N90" s="26" t="str">
        <x:v>一致（按此前统一收费口径）</x:v>
      </x:c>
      <x:c r="O90" s="26" t="n">
        <x:v>150</x:v>
      </x:c>
      <x:c r="P90" s="26" t="str">
        <x:v>反推假设：36lb、Zone6（账单Zone6）。
标准运费52.16×61%≈31.82
＋假设折后附加费0.00
＋燃油(31.82＋0.00)×25.50%≈8.11
＝预估承运成本39.93
按既有收费规则折算→预付43.92；与原预付差+0.00。</x:v>
      </x:c>
      <x:c r="Q90" s="26" t="str">
        <x:v>运输费66.78
−折扣26.04
＋燃油10.39
＝承运净额51.13
账单实收56.243（按既有收费规则）</x:v>
      </x:c>
    </x:row>
    <x:row r="91" ht="120" customHeight="1">
      <x:c r="A91" s="26" t="n">
        <x:v>90</x:v>
      </x:c>
      <x:c r="B91" s="26" t="str">
        <x:v>873857232775</x:v>
      </x:c>
      <x:c r="C91" s="26" t="str">
        <x:v>CHANGER2</x:v>
      </x:c>
      <x:c r="D91" s="31" t="n">
        <x:v>16.17</x:v>
      </x:c>
      <x:c r="E91" s="31" t="n">
        <x:v>16.4</x:v>
      </x:c>
      <x:c r="F91" s="31" t="n">
        <x:f>E91-D91</x:f>
        <x:v>0.22999999999999687</x:v>
      </x:c>
      <x:c r="G91" s="26" t="str">
        <x:v>未对上</x:v>
      </x:c>
      <x:c r="H91" s="31" t="n">
        <x:v>28.204</x:v>
      </x:c>
      <x:c r="I91" s="31" t="n">
        <x:v>25.64</x:v>
      </x:c>
      <x:c r="J91" s="31" t="n">
        <x:v>25.64</x:v>
      </x:c>
      <x:c r="K91" s="26" t="str">
        <x:v>分项加总一致</x:v>
      </x:c>
      <x:c r="L91" s="31" t="n">
        <x:v>28.204</x:v>
      </x:c>
      <x:c r="M91" s="31" t="n">
        <x:f>L91-H91</x:f>
        <x:v>0</x:v>
      </x:c>
      <x:c r="N91" s="26" t="str">
        <x:v>一致（按此前统一收费口径）</x:v>
      </x:c>
      <x:c r="O91" s="26" t="n">
        <x:v>377</x:v>
      </x:c>
      <x:c r="P91" s="26" t="str">
        <x:v>反推假设：4lb、Zone7（账单Zone4）。
标准运费19.56×61%≈11.93
＋假设折后附加费0.00
＋燃油(11.93＋0.00)×25.00%≈2.98
＝预估承运成本14.91
按既有收费规则折算→预付16.40；与原预付差+0.23。</x:v>
      </x:c>
      <x:c r="Q91" s="26" t="str">
        <x:v>运输费20.51
＋燃油5.13
＝承运净额25.64
账单实收28.204（按既有收费规则）</x:v>
      </x:c>
    </x:row>
    <x:row r="92" ht="120" customHeight="1">
      <x:c r="A92" s="26" t="n">
        <x:v>91</x:v>
      </x:c>
      <x:c r="B92" s="26" t="str">
        <x:v>873956334836</x:v>
      </x:c>
      <x:c r="C92" s="26" t="str">
        <x:v>AC500</x:v>
      </x:c>
      <x:c r="D92" s="31" t="n">
        <x:v>110.77</x:v>
      </x:c>
      <x:c r="E92" s="31" t="n">
        <x:v>110.78</x:v>
      </x:c>
      <x:c r="F92" s="31" t="n">
        <x:f>E92-D92</x:f>
        <x:v>0.010000000000005116</x:v>
      </x:c>
      <x:c r="G92" s="26" t="str">
        <x:v>仅接近（不超过0.15美元）</x:v>
      </x:c>
      <x:c r="H92" s="31" t="n">
        <x:v>122.595</x:v>
      </x:c>
      <x:c r="I92" s="31" t="n">
        <x:v>111.45</x:v>
      </x:c>
      <x:c r="J92" s="31" t="n">
        <x:v>111.45</x:v>
      </x:c>
      <x:c r="K92" s="26" t="str">
        <x:v>分项加总一致</x:v>
      </x:c>
      <x:c r="L92" s="31" t="n">
        <x:v>122.595</x:v>
      </x:c>
      <x:c r="M92" s="31" t="n">
        <x:f>L92-H92</x:f>
        <x:v>0</x:v>
      </x:c>
      <x:c r="N92" s="26" t="str">
        <x:v>一致（按此前统一收费口径）</x:v>
      </x:c>
      <x:c r="O92" s="26" t="n">
        <x:v>334</x:v>
      </x:c>
      <x:c r="P92" s="26" t="str">
        <x:v>反推假设：62lb、Zone7（账单Zone7）。
标准运费83.91×61%≈51.19
＋假设折后附加费29.38
＋燃油(51.19＋29.38)×25.00%≈20.14
＝预估承运成本100.71
按既有收费规则折算→预付110.78；与原预付差+0.01。</x:v>
      </x:c>
      <x:c r="Q92" s="26" t="str">
        <x:v>运输费98.01
−折扣38.22
＋Add'l Handling-Weight 29.37
＋燃油22.29
＝承运净额111.45
账单实收122.595（按既有收费规则）</x:v>
      </x:c>
    </x:row>
    <x:row r="93" ht="120" customHeight="1">
      <x:c r="A93" s="26" t="n">
        <x:v>92</x:v>
      </x:c>
      <x:c r="B93" s="26" t="str">
        <x:v>874588862256</x:v>
      </x:c>
      <x:c r="C93" s="26" t="str">
        <x:v>EL400</x:v>
      </x:c>
      <x:c r="D93" s="31" t="n">
        <x:v>76.99</x:v>
      </x:c>
      <x:c r="E93" s="31" t="n">
        <x:v>77.3</x:v>
      </x:c>
      <x:c r="F93" s="31" t="n">
        <x:f>E93-D93</x:f>
        <x:v>0.3100000000000023</x:v>
      </x:c>
      <x:c r="G93" s="26" t="str">
        <x:v>未对上</x:v>
      </x:c>
      <x:c r="H93" s="31" t="n">
        <x:v>88.363</x:v>
      </x:c>
      <x:c r="I93" s="31" t="n">
        <x:v>80.33</x:v>
      </x:c>
      <x:c r="J93" s="31" t="n">
        <x:v>80.33</x:v>
      </x:c>
      <x:c r="K93" s="26" t="str">
        <x:v>分项加总一致</x:v>
      </x:c>
      <x:c r="L93" s="31" t="n">
        <x:v>88.363</x:v>
      </x:c>
      <x:c r="M93" s="31" t="n">
        <x:f>L93-H93</x:f>
        <x:v>0</x:v>
      </x:c>
      <x:c r="N93" s="26" t="str">
        <x:v>一致（按此前统一收费口径）</x:v>
      </x:c>
      <x:c r="O93" s="26" t="n">
        <x:v>549</x:v>
      </x:c>
      <x:c r="P93" s="26" t="str">
        <x:v>反推假设：86lb、Zone2（账单Zone2）。
标准运费53.90×61%≈32.88
＋假设折后附加费23.00
＋燃油(32.88＋23.00)×25.75%≈14.39
＝预估承运成本70.27
按既有收费规则折算→预付77.30；与原预付差+0.31。</x:v>
      </x:c>
      <x:c r="Q93" s="26" t="str">
        <x:v>运输费67.02
−折扣26.14
＋Add'l Handling-Weight 23.00
＋燃油16.45
＝承运净额80.33
账单实收88.363（按既有收费规则）</x:v>
      </x:c>
    </x:row>
    <x:row r="94" ht="120" customHeight="1">
      <x:c r="A94" s="26" t="n">
        <x:v>93</x:v>
      </x:c>
      <x:c r="B94" s="26" t="str">
        <x:v>873162864479</x:v>
      </x:c>
      <x:c r="C94" s="26"/>
      <x:c r="D94" s="31" t="n">
        <x:v>102.43</x:v>
      </x:c>
      <x:c r="E94" s="31" t="n">
        <x:v>96.43</x:v>
      </x:c>
      <x:c r="F94" s="31" t="n">
        <x:f>E94-D94</x:f>
        <x:v>-6</x:v>
      </x:c>
      <x:c r="G94" s="26" t="str">
        <x:v>未对上</x:v>
      </x:c>
      <x:c r="H94" s="31" t="n">
        <x:v>113.748</x:v>
      </x:c>
      <x:c r="I94" s="31" t="n">
        <x:v>94.79</x:v>
      </x:c>
      <x:c r="J94" s="31" t="n">
        <x:v>94.79</x:v>
      </x:c>
      <x:c r="K94" s="26" t="str">
        <x:v>分项加总一致</x:v>
      </x:c>
      <x:c r="L94" s="31" t="n">
        <x:v>104.269</x:v>
      </x:c>
      <x:c r="M94" s="31" t="n">
        <x:f>L94-H94</x:f>
        <x:v>-9.479</x:v>
      </x:c>
      <x:c r="N94" s="26" t="str">
        <x:v>未对上，收费口径待确认</x:v>
      </x:c>
      <x:c r="O94" s="26" t="n">
        <x:v>62</x:v>
      </x:c>
      <x:c r="P94" s="26" t="str">
        <x:v>反推假设：51lb、Zone6（账单Zone5）。
标准运费67.94×61%≈41.44
＋假设折后附加费28.13
＋燃油(41.44＋28.13)×26.00%≈18.09
＝预估承运成本87.66
按既有收费规则折算→预付96.43；与原预付差-6.00。</x:v>
      </x:c>
      <x:c r="Q94" s="26" t="str">
        <x:v>运输费64.54
−折扣20.65
＋Add'l Handling-Weight 28.12
＋Residential Delivery 3.22
＋燃油19.56
＝承运净额94.79
账单实收113.748（按既有收费规则）</x:v>
      </x:c>
    </x:row>
    <x:row r="95" ht="120" customHeight="1">
      <x:c r="A95" s="26" t="n">
        <x:v>94</x:v>
      </x:c>
      <x:c r="B95" s="26" t="str">
        <x:v>873490306183</x:v>
      </x:c>
      <x:c r="C95" s="26" t="str">
        <x:v>AC70</x:v>
      </x:c>
      <x:c r="D95" s="31" t="n">
        <x:v>25.62</x:v>
      </x:c>
      <x:c r="E95" s="31" t="n">
        <x:v>24.05</x:v>
      </x:c>
      <x:c r="F95" s="31" t="n">
        <x:f>E95-D95</x:f>
        <x:v>-1.5700000000000003</x:v>
      </x:c>
      <x:c r="G95" s="26" t="str">
        <x:v>未对上</x:v>
      </x:c>
      <x:c r="H95" s="31" t="n">
        <x:v>36.586</x:v>
      </x:c>
      <x:c r="I95" s="31" t="n">
        <x:v>33.26</x:v>
      </x:c>
      <x:c r="J95" s="31" t="n">
        <x:v>33.26</x:v>
      </x:c>
      <x:c r="K95" s="26" t="str">
        <x:v>分项加总一致</x:v>
      </x:c>
      <x:c r="L95" s="31" t="n">
        <x:v>36.586</x:v>
      </x:c>
      <x:c r="M95" s="31" t="n">
        <x:f>L95-H95</x:f>
        <x:v>0</x:v>
      </x:c>
      <x:c r="N95" s="26" t="str">
        <x:v>一致（按此前统一收费口径）</x:v>
      </x:c>
      <x:c r="O95" s="26" t="n">
        <x:v>157</x:v>
      </x:c>
      <x:c r="P95" s="26" t="str">
        <x:v>反推假设：17lb、Zone6（账单Zone6）。
标准运费28.56×61%≈17.42
＋假设折后附加费0.00
＋燃油(17.42＋0.00)×25.50%≈4.44
＝预估承运成本21.86
按既有收费规则折算→预付24.05；与原预付差-1.57。</x:v>
      </x:c>
      <x:c r="Q95" s="26" t="str">
        <x:v>运输费43.44
−折扣16.94
＋燃油6.76
＝承运净额33.26
账单实收36.586（按既有收费规则）</x:v>
      </x:c>
    </x:row>
    <x:row r="96" ht="120" customHeight="1">
      <x:c r="A96" s="26" t="n">
        <x:v>95</x:v>
      </x:c>
      <x:c r="B96" s="26" t="str">
        <x:v>873341053904</x:v>
      </x:c>
      <x:c r="C96" s="26" t="str">
        <x:v>EL400</x:v>
      </x:c>
      <x:c r="D96" s="31" t="n">
        <x:v>103.58</x:v>
      </x:c>
      <x:c r="E96" s="31" t="n">
        <x:v>103.19</x:v>
      </x:c>
      <x:c r="F96" s="31" t="n">
        <x:f>E96-D96</x:f>
        <x:v>-0.39000000000000057</x:v>
      </x:c>
      <x:c r="G96" s="26" t="str">
        <x:v>未对上</x:v>
      </x:c>
      <x:c r="H96" s="31" t="n">
        <x:v>113.696</x:v>
      </x:c>
      <x:c r="I96" s="31" t="n">
        <x:v>103.36</x:v>
      </x:c>
      <x:c r="J96" s="31" t="n">
        <x:v>103.36</x:v>
      </x:c>
      <x:c r="K96" s="26" t="str">
        <x:v>分项加总一致</x:v>
      </x:c>
      <x:c r="L96" s="31" t="n">
        <x:v>113.696</x:v>
      </x:c>
      <x:c r="M96" s="31" t="n">
        <x:f>L96-H96</x:f>
        <x:v>0</x:v>
      </x:c>
      <x:c r="N96" s="26" t="str">
        <x:v>一致（按此前统一收费口径）</x:v>
      </x:c>
      <x:c r="O96" s="26" t="n">
        <x:v>181</x:v>
      </x:c>
      <x:c r="P96" s="26" t="str">
        <x:v>反推假设：86lb、Zone5（账单Zone5）。
标准运费76.43×61%≈46.62
＋假设折后附加费28.13
＋燃油(46.62＋28.13)×25.50%≈19.06
＝预估承运成本93.81
按既有收费规则折算→预付103.19；与原预付差-0.39。</x:v>
      </x:c>
      <x:c r="Q96" s="26" t="str">
        <x:v>运输费88.91
−折扣34.67
＋Add'l Handling-Weight 28.12
＋燃油21.00
＝承运净额103.36
账单实收113.696（按既有收费规则）</x:v>
      </x:c>
    </x:row>
    <x:row r="97" ht="120" customHeight="1">
      <x:c r="A97" s="26" t="n">
        <x:v>96</x:v>
      </x:c>
      <x:c r="B97" s="26" t="str">
        <x:v>873185409203</x:v>
      </x:c>
      <x:c r="C97" s="26" t="str">
        <x:v>AC180</x:v>
      </x:c>
      <x:c r="D97" s="31" t="n">
        <x:v>53.79</x:v>
      </x:c>
      <x:c r="E97" s="31" t="n">
        <x:v>53.58</x:v>
      </x:c>
      <x:c r="F97" s="31" t="n">
        <x:f>E97-D97</x:f>
        <x:v>-0.21000000000000085</x:v>
      </x:c>
      <x:c r="G97" s="26" t="str">
        <x:v>未对上</x:v>
      </x:c>
      <x:c r="H97" s="31" t="n">
        <x:v>63.613</x:v>
      </x:c>
      <x:c r="I97" s="31" t="n">
        <x:v>57.83</x:v>
      </x:c>
      <x:c r="J97" s="31" t="n">
        <x:v>57.83</x:v>
      </x:c>
      <x:c r="K97" s="26" t="str">
        <x:v>分项加总一致</x:v>
      </x:c>
      <x:c r="L97" s="31" t="n">
        <x:v>63.613</x:v>
      </x:c>
      <x:c r="M97" s="31" t="n">
        <x:f>L97-H97</x:f>
        <x:v>0</x:v>
      </x:c>
      <x:c r="N97" s="26" t="str">
        <x:v>一致（按此前统一收费口径）</x:v>
      </x:c>
      <x:c r="O97" s="26" t="n">
        <x:v>115</x:v>
      </x:c>
      <x:c r="P97" s="26" t="str">
        <x:v>反推假设：38lb、Zone7（账单Zone7）。
标准运费63.63×61%≈38.81
＋假设折后附加费0.00
＋燃油(38.81＋0.00)×25.50%≈9.90
＝预估承运成本48.71
按既有收费规则折算→预付53.58；与原预付差-0.21。</x:v>
      </x:c>
      <x:c r="Q97" s="26" t="str">
        <x:v>运输费75.54
−折扣29.46
＋燃油11.75
＝承运净额57.83
账单实收63.613（按既有收费规则）</x:v>
      </x:c>
    </x:row>
    <x:row r="98" ht="120" customHeight="1">
      <x:c r="A98" s="26" t="n">
        <x:v>97</x:v>
      </x:c>
      <x:c r="B98" s="26" t="str">
        <x:v>875030499683</x:v>
      </x:c>
      <x:c r="C98" s="26" t="str">
        <x:v>B300S</x:v>
      </x:c>
      <x:c r="D98" s="31" t="n">
        <x:v>70.53</x:v>
      </x:c>
      <x:c r="E98" s="31"/>
      <x:c r="F98" s="31"/>
      <x:c r="G98" s="26" t="str">
        <x:v>缺明细，无法试算</x:v>
      </x:c>
      <x:c r="H98" s="31" t="n">
        <x:v>80.058</x:v>
      </x:c>
      <x:c r="I98" s="31"/>
      <x:c r="J98" s="31"/>
      <x:c r="K98" s="26" t="str">
        <x:v>缺核对明细</x:v>
      </x:c>
      <x:c r="L98" s="31"/>
      <x:c r="M98" s="31"/>
      <x:c r="N98" s="26" t="str">
        <x:v>缺核对明细，无法核算</x:v>
      </x:c>
      <x:c r="O98" s="26"/>
      <x:c r="P98" s="26" t="str">
        <x:v>缺核对明细，无法重建预付；原预付仅按基础表保留。</x:v>
      </x:c>
      <x:c r="Q98" s="26" t="str">
        <x:v>缺原始核对明细，无法拆分。</x:v>
      </x:c>
    </x:row>
    <x:row r="99" ht="120" customHeight="1">
      <x:c r="A99" s="26" t="n">
        <x:v>98</x:v>
      </x:c>
      <x:c r="B99" s="26" t="str">
        <x:v>874973366473</x:v>
      </x:c>
      <x:c r="C99" s="26" t="str">
        <x:v>AC180</x:v>
      </x:c>
      <x:c r="D99" s="31" t="n">
        <x:v>19.46</x:v>
      </x:c>
      <x:c r="E99" s="31"/>
      <x:c r="F99" s="31"/>
      <x:c r="G99" s="26" t="str">
        <x:v>缺明细，无法试算</x:v>
      </x:c>
      <x:c r="H99" s="31" t="n">
        <x:v>28.864</x:v>
      </x:c>
      <x:c r="I99" s="31"/>
      <x:c r="J99" s="31"/>
      <x:c r="K99" s="26" t="str">
        <x:v>缺核对明细</x:v>
      </x:c>
      <x:c r="L99" s="31"/>
      <x:c r="M99" s="31"/>
      <x:c r="N99" s="26" t="str">
        <x:v>缺核对明细，无法核算</x:v>
      </x:c>
      <x:c r="O99" s="26"/>
      <x:c r="P99" s="26" t="str">
        <x:v>缺核对明细，无法重建预付；原预付仅按基础表保留。</x:v>
      </x:c>
      <x:c r="Q99" s="26" t="str">
        <x:v>缺原始核对明细，无法拆分。</x:v>
      </x:c>
    </x:row>
    <x:row r="100" ht="120" customHeight="1">
      <x:c r="A100" s="26" t="n">
        <x:v>99</x:v>
      </x:c>
      <x:c r="B100" s="26" t="str">
        <x:v>873601056047</x:v>
      </x:c>
      <x:c r="C100" s="26" t="str">
        <x:v>EL400</x:v>
      </x:c>
      <x:c r="D100" s="31" t="n">
        <x:v>103.18</x:v>
      </x:c>
      <x:c r="E100" s="31" t="n">
        <x:v>102.78</x:v>
      </x:c>
      <x:c r="F100" s="31" t="n">
        <x:f>E100-D100</x:f>
        <x:v>-0.4000000000000057</x:v>
      </x:c>
      <x:c r="G100" s="26" t="str">
        <x:v>未对上</x:v>
      </x:c>
      <x:c r="H100" s="31" t="n">
        <x:v>112.31</x:v>
      </x:c>
      <x:c r="I100" s="31" t="n">
        <x:v>102.1</x:v>
      </x:c>
      <x:c r="J100" s="31" t="n">
        <x:v>102.1</x:v>
      </x:c>
      <x:c r="K100" s="26" t="str">
        <x:v>分项加总一致</x:v>
      </x:c>
      <x:c r="L100" s="31" t="n">
        <x:v>112.31</x:v>
      </x:c>
      <x:c r="M100" s="31" t="n">
        <x:f>L100-H100</x:f>
        <x:v>0</x:v>
      </x:c>
      <x:c r="N100" s="26" t="str">
        <x:v>一致（按此前统一收费口径）</x:v>
      </x:c>
      <x:c r="O100" s="26" t="n">
        <x:v>316</x:v>
      </x:c>
      <x:c r="P100" s="26" t="str">
        <x:v>反推假设：86lb、Zone5（账单Zone5）。
标准运费76.43×61%≈46.62
＋假设折后附加费28.13
＋燃油(46.62＋28.13)×25.00%≈18.69
＝预估承运成本93.44
按既有收费规则折算→预付102.78；与原预付差-0.40。</x:v>
      </x:c>
      <x:c r="Q100" s="26" t="str">
        <x:v>运输费87.80
−折扣34.24
＋Add'l Handling-Weight 28.12
＋燃油20.42
＝承运净额102.10
账单实收112.310（按既有收费规则）</x:v>
      </x:c>
    </x:row>
    <x:row r="101" ht="120" customHeight="1">
      <x:c r="A101" s="26" t="n">
        <x:v>100</x:v>
      </x:c>
      <x:c r="B101" s="26" t="str">
        <x:v>873814694782</x:v>
      </x:c>
      <x:c r="C101" s="26" t="str">
        <x:v>AC180</x:v>
      </x:c>
      <x:c r="D101" s="31" t="n">
        <x:v>30.19</x:v>
      </x:c>
      <x:c r="E101" s="31" t="n">
        <x:v>30.2</x:v>
      </x:c>
      <x:c r="F101" s="31" t="n">
        <x:f>E101-D101</x:f>
        <x:v>0.00999999999999801</x:v>
      </x:c>
      <x:c r="G101" s="26" t="str">
        <x:v>仅接近（不超过0.15美元）</x:v>
      </x:c>
      <x:c r="H101" s="31" t="n">
        <x:v>39.116</x:v>
      </x:c>
      <x:c r="I101" s="31" t="n">
        <x:v>35.56</x:v>
      </x:c>
      <x:c r="J101" s="31" t="n">
        <x:v>35.56</x:v>
      </x:c>
      <x:c r="K101" s="26" t="str">
        <x:v>分项加总一致</x:v>
      </x:c>
      <x:c r="L101" s="31" t="n">
        <x:v>39.116</x:v>
      </x:c>
      <x:c r="M101" s="31" t="n">
        <x:f>L101-H101</x:f>
        <x:v>0</x:v>
      </x:c>
      <x:c r="N101" s="26" t="str">
        <x:v>一致（按此前统一收费口径）</x:v>
      </x:c>
      <x:c r="O101" s="26" t="n">
        <x:v>240</x:v>
      </x:c>
      <x:c r="P101" s="26" t="str">
        <x:v>反推假设：38lb、Zone4（账单Zone5）。
标准运费35.93×61%≈21.92
＋假设折后附加费0.00
＋燃油(21.92＋0.00)×25.25%≈5.53
＝预估承运成本27.45
按既有收费规则折算→预付30.20；与原预付差+0.01。</x:v>
      </x:c>
      <x:c r="Q101" s="26" t="str">
        <x:v>运输费46.54
−折扣18.15
＋燃油7.17
＝承运净额35.56
账单实收39.116（按既有收费规则）</x:v>
      </x:c>
    </x:row>
    <x:row r="102" ht="120" customHeight="1">
      <x:c r="A102" s="26" t="n">
        <x:v>101</x:v>
      </x:c>
      <x:c r="B102" s="26" t="str">
        <x:v>874563668509</x:v>
      </x:c>
      <x:c r="C102" s="26" t="str">
        <x:v>AC70</x:v>
      </x:c>
      <x:c r="D102" s="31" t="n">
        <x:v>27.65</x:v>
      </x:c>
      <x:c r="E102" s="31" t="n">
        <x:v>25.26</x:v>
      </x:c>
      <x:c r="F102" s="31" t="n">
        <x:f>E102-D102</x:f>
        <x:v>-2.389999999999997</x:v>
      </x:c>
      <x:c r="G102" s="26" t="str">
        <x:v>未对上</x:v>
      </x:c>
      <x:c r="H102" s="31" t="n">
        <x:v>36.509</x:v>
      </x:c>
      <x:c r="I102" s="31" t="n">
        <x:v>33.19</x:v>
      </x:c>
      <x:c r="J102" s="31" t="n">
        <x:v>33.19</x:v>
      </x:c>
      <x:c r="K102" s="26" t="str">
        <x:v>分项加总一致</x:v>
      </x:c>
      <x:c r="L102" s="31" t="n">
        <x:v>36.509</x:v>
      </x:c>
      <x:c r="M102" s="31" t="n">
        <x:f>L102-H102</x:f>
        <x:v>0</x:v>
      </x:c>
      <x:c r="N102" s="26" t="str">
        <x:v>一致（按此前统一收费口径）</x:v>
      </x:c>
      <x:c r="O102" s="26" t="n">
        <x:v>500</x:v>
      </x:c>
      <x:c r="P102" s="26" t="str">
        <x:v>反推假设：18lb、Zone6（账单Zone6）。
标准运费30.05×61%≈18.33
＋假设折后附加费0.00
＋燃油(18.33＋0.00)×25.25%≈4.63
＝预估承运成本22.96
按既有收费规则折算→预付25.26；与原预付差-2.39。</x:v>
      </x:c>
      <x:c r="Q102" s="26" t="str">
        <x:v>运输费43.44
−折扣16.94
＋燃油6.69
＝承运净额33.19
账单实收36.509（按既有收费规则）</x:v>
      </x:c>
    </x:row>
    <x:row r="103" ht="120" customHeight="1">
      <x:c r="A103" s="26" t="n">
        <x:v>102</x:v>
      </x:c>
      <x:c r="B103" s="26" t="str">
        <x:v>874762837228</x:v>
      </x:c>
      <x:c r="C103" s="26" t="str">
        <x:v>AC180</x:v>
      </x:c>
      <x:c r="D103" s="31" t="n">
        <x:v>61.02</x:v>
      </x:c>
      <x:c r="E103" s="31"/>
      <x:c r="F103" s="31"/>
      <x:c r="G103" s="26" t="str">
        <x:v>缺明细，无法试算</x:v>
      </x:c>
      <x:c r="H103" s="31" t="n">
        <x:v>69.85</x:v>
      </x:c>
      <x:c r="I103" s="31"/>
      <x:c r="J103" s="31"/>
      <x:c r="K103" s="26" t="str">
        <x:v>缺核对明细</x:v>
      </x:c>
      <x:c r="L103" s="31"/>
      <x:c r="M103" s="31"/>
      <x:c r="N103" s="26" t="str">
        <x:v>缺核对明细，无法核算</x:v>
      </x:c>
      <x:c r="O103" s="26"/>
      <x:c r="P103" s="26" t="str">
        <x:v>缺核对明细，无法重建预付；原预付仅按基础表保留。</x:v>
      </x:c>
      <x:c r="Q103" s="26" t="str">
        <x:v>缺原始核对明细，无法拆分。</x:v>
      </x:c>
    </x:row>
    <x:row r="104" ht="120" customHeight="1">
      <x:c r="A104" s="26" t="n">
        <x:v>103</x:v>
      </x:c>
      <x:c r="B104" s="26" t="str">
        <x:v>873109425620</x:v>
      </x:c>
      <x:c r="C104" s="26"/>
      <x:c r="D104" s="31" t="n">
        <x:v>33.15</x:v>
      </x:c>
      <x:c r="E104" s="31" t="n">
        <x:v>33.96</x:v>
      </x:c>
      <x:c r="F104" s="31" t="n">
        <x:f>E104-D104</x:f>
        <x:v>0.8100000000000023</x:v>
      </x:c>
      <x:c r="G104" s="26" t="str">
        <x:v>未对上</x:v>
      </x:c>
      <x:c r="H104" s="31" t="n">
        <x:v>41.916</x:v>
      </x:c>
      <x:c r="I104" s="31" t="n">
        <x:v>34.93</x:v>
      </x:c>
      <x:c r="J104" s="31" t="n">
        <x:v>34.93</x:v>
      </x:c>
      <x:c r="K104" s="26" t="str">
        <x:v>分项加总一致</x:v>
      </x:c>
      <x:c r="L104" s="31" t="n">
        <x:v>38.423</x:v>
      </x:c>
      <x:c r="M104" s="31" t="n">
        <x:f>L104-H104</x:f>
        <x:v>-3.492999999999995</x:v>
      </x:c>
      <x:c r="N104" s="26" t="str">
        <x:v>未对上，收费口径待确认</x:v>
      </x:c>
      <x:c r="O104" s="26" t="n">
        <x:v>25</x:v>
      </x:c>
      <x:c r="P104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Q104" s="26" t="str">
        <x:v>运输费36.03
−折扣11.53
＋Residential Delivery 3.22
＋燃油7.21
＝承运净额34.93
账单实收41.916（按既有收费规则）</x:v>
      </x:c>
    </x:row>
    <x:row r="105" ht="120" customHeight="1">
      <x:c r="A105" s="26" t="n">
        <x:v>104</x:v>
      </x:c>
      <x:c r="B105" s="26" t="str">
        <x:v>873109426410</x:v>
      </x:c>
      <x:c r="C105" s="26"/>
      <x:c r="D105" s="31" t="n">
        <x:v>33.15</x:v>
      </x:c>
      <x:c r="E105" s="31" t="n">
        <x:v>33.96</x:v>
      </x:c>
      <x:c r="F105" s="31" t="n">
        <x:f>E105-D105</x:f>
        <x:v>0.8100000000000023</x:v>
      </x:c>
      <x:c r="G105" s="26" t="str">
        <x:v>未对上</x:v>
      </x:c>
      <x:c r="H105" s="31" t="n">
        <x:v>41.916</x:v>
      </x:c>
      <x:c r="I105" s="31" t="n">
        <x:v>34.93</x:v>
      </x:c>
      <x:c r="J105" s="31" t="n">
        <x:v>34.93</x:v>
      </x:c>
      <x:c r="K105" s="26" t="str">
        <x:v>分项加总一致</x:v>
      </x:c>
      <x:c r="L105" s="31" t="n">
        <x:v>38.423</x:v>
      </x:c>
      <x:c r="M105" s="31" t="n">
        <x:f>L105-H105</x:f>
        <x:v>-3.492999999999995</x:v>
      </x:c>
      <x:c r="N105" s="26" t="str">
        <x:v>未对上，收费口径待确认</x:v>
      </x:c>
      <x:c r="O105" s="26" t="n">
        <x:v>37</x:v>
      </x:c>
      <x:c r="P105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Q105" s="26" t="str">
        <x:v>运输费36.03
−折扣11.53
＋Residential Delivery 3.22
＋燃油7.21
＝承运净额34.93
账单实收41.916（按既有收费规则）</x:v>
      </x:c>
    </x:row>
    <x:row r="106" ht="120" customHeight="1">
      <x:c r="A106" s="26" t="n">
        <x:v>105</x:v>
      </x:c>
      <x:c r="B106" s="26" t="str">
        <x:v>873109426796</x:v>
      </x:c>
      <x:c r="C106" s="26"/>
      <x:c r="D106" s="31" t="n">
        <x:v>33.15</x:v>
      </x:c>
      <x:c r="E106" s="31" t="n">
        <x:v>33.96</x:v>
      </x:c>
      <x:c r="F106" s="31" t="n">
        <x:f>E106-D106</x:f>
        <x:v>0.8100000000000023</x:v>
      </x:c>
      <x:c r="G106" s="26" t="str">
        <x:v>未对上</x:v>
      </x:c>
      <x:c r="H106" s="31" t="n">
        <x:v>41.916</x:v>
      </x:c>
      <x:c r="I106" s="31" t="n">
        <x:v>34.93</x:v>
      </x:c>
      <x:c r="J106" s="31" t="n">
        <x:v>34.93</x:v>
      </x:c>
      <x:c r="K106" s="26" t="str">
        <x:v>分项加总一致</x:v>
      </x:c>
      <x:c r="L106" s="31" t="n">
        <x:v>38.423</x:v>
      </x:c>
      <x:c r="M106" s="31" t="n">
        <x:f>L106-H106</x:f>
        <x:v>-3.492999999999995</x:v>
      </x:c>
      <x:c r="N106" s="26" t="str">
        <x:v>未对上，收费口径待确认</x:v>
      </x:c>
      <x:c r="O106" s="26" t="n">
        <x:v>42</x:v>
      </x:c>
      <x:c r="P106" s="26" t="str">
        <x:v>反推假设：21lb、Zone7（账单Zone5）。
标准运费40.16×61%≈24.50
＋假设折后附加费0.00
＋燃油(24.50＋0.00)×26.00%≈6.37
＝预估承运成本30.87
按既有收费规则折算→预付33.96；与原预付差+0.81。</x:v>
      </x:c>
      <x:c r="Q106" s="26" t="str">
        <x:v>运输费36.03
−折扣11.53
＋Residential Delivery 3.22
＋燃油7.21
＝承运净额34.93
账单实收41.916（按既有收费规则）</x:v>
      </x:c>
    </x:row>
    <x:row r="107" ht="120" customHeight="1">
      <x:c r="A107" s="26" t="n">
        <x:v>106</x:v>
      </x:c>
      <x:c r="B107" s="26" t="str">
        <x:v>874829655122</x:v>
      </x:c>
      <x:c r="C107" s="26" t="str">
        <x:v>EL100V2</x:v>
      </x:c>
      <x:c r="D107" s="31" t="n">
        <x:v>29.94</x:v>
      </x:c>
      <x:c r="E107" s="31"/>
      <x:c r="F107" s="31"/>
      <x:c r="G107" s="26" t="str">
        <x:v>缺明细，无法试算</x:v>
      </x:c>
      <x:c r="H107" s="31" t="n">
        <x:v>38.302</x:v>
      </x:c>
      <x:c r="I107" s="31"/>
      <x:c r="J107" s="31"/>
      <x:c r="K107" s="26" t="str">
        <x:v>缺核对明细</x:v>
      </x:c>
      <x:c r="L107" s="31"/>
      <x:c r="M107" s="31"/>
      <x:c r="N107" s="26" t="str">
        <x:v>缺核对明细，无法核算</x:v>
      </x:c>
      <x:c r="O107" s="26"/>
      <x:c r="P107" s="26" t="str">
        <x:v>缺核对明细，无法重建预付；原预付仅按基础表保留。</x:v>
      </x:c>
      <x:c r="Q107" s="26" t="str">
        <x:v>缺原始核对明细，无法拆分。</x:v>
      </x:c>
    </x:row>
    <x:row r="108" ht="120" customHeight="1">
      <x:c r="A108" s="26" t="n">
        <x:v>107</x:v>
      </x:c>
      <x:c r="B108" s="26" t="str">
        <x:v>874413246789</x:v>
      </x:c>
      <x:c r="C108" s="26" t="str">
        <x:v>EL100V2</x:v>
      </x:c>
      <x:c r="D108" s="31" t="n">
        <x:v>29.87</x:v>
      </x:c>
      <x:c r="E108" s="31" t="n">
        <x:v>29.94</x:v>
      </x:c>
      <x:c r="F108" s="31" t="n">
        <x:f>E108-D108</x:f>
        <x:v>0.07000000000000028</x:v>
      </x:c>
      <x:c r="G108" s="26" t="str">
        <x:v>仅接近（不超过0.15美元）</x:v>
      </x:c>
      <x:c r="H108" s="31" t="n">
        <x:v>38.148</x:v>
      </x:c>
      <x:c r="I108" s="31" t="n">
        <x:v>34.68</x:v>
      </x:c>
      <x:c r="J108" s="31" t="n">
        <x:v>34.68</x:v>
      </x:c>
      <x:c r="K108" s="26" t="str">
        <x:v>分项加总一致</x:v>
      </x:c>
      <x:c r="L108" s="31" t="n">
        <x:v>38.148</x:v>
      </x:c>
      <x:c r="M108" s="31" t="n">
        <x:f>L108-H108</x:f>
        <x:v>0</x:v>
      </x:c>
      <x:c r="N108" s="26" t="str">
        <x:v>一致（按此前统一收费口径）</x:v>
      </x:c>
      <x:c r="O108" s="26" t="n">
        <x:v>488</x:v>
      </x:c>
      <x:c r="P108" s="26" t="str">
        <x:v>反推假设：23lb、Zone6（账单Zone6）。
标准运费35.63×61%≈21.73
＋假设折后附加费0.00
＋燃油(21.73＋0.00)×25.25%≈5.49
＝预估承运成本27.22
按既有收费规则折算→预付29.94；与原预付差+0.07。</x:v>
      </x:c>
      <x:c r="Q108" s="26" t="str">
        <x:v>运输费45.40
−折扣17.71
＋燃油6.99
＝承运净额34.68
账单实收38.148（按既有收费规则）</x:v>
      </x:c>
    </x:row>
    <x:row r="109" ht="120" customHeight="1">
      <x:c r="A109" s="26" t="n">
        <x:v>108</x:v>
      </x:c>
      <x:c r="B109" s="26" t="str">
        <x:v>874252749187</x:v>
      </x:c>
      <x:c r="C109" s="26"/>
      <x:c r="D109" s="31" t="n">
        <x:v>29.87</x:v>
      </x:c>
      <x:c r="E109" s="31" t="n">
        <x:v>29.94</x:v>
      </x:c>
      <x:c r="F109" s="31" t="n">
        <x:f>E109-D109</x:f>
        <x:v>0.07000000000000028</x:v>
      </x:c>
      <x:c r="G109" s="26" t="str">
        <x:v>仅接近（不超过0.15美元）</x:v>
      </x:c>
      <x:c r="H109" s="31" t="n">
        <x:v>38.148</x:v>
      </x:c>
      <x:c r="I109" s="31" t="n">
        <x:v>34.68</x:v>
      </x:c>
      <x:c r="J109" s="31" t="n">
        <x:v>34.68</x:v>
      </x:c>
      <x:c r="K109" s="26" t="str">
        <x:v>分项加总一致</x:v>
      </x:c>
      <x:c r="L109" s="31" t="n">
        <x:v>38.148</x:v>
      </x:c>
      <x:c r="M109" s="31" t="n">
        <x:f>L109-H109</x:f>
        <x:v>0</x:v>
      </x:c>
      <x:c r="N109" s="26" t="str">
        <x:v>一致（按此前统一收费口径）</x:v>
      </x:c>
      <x:c r="O109" s="26" t="n">
        <x:v>518</x:v>
      </x:c>
      <x:c r="P109" s="26" t="str">
        <x:v>反推假设：23lb、Zone6（账单Zone6）。
标准运费35.63×61%≈21.73
＋假设折后附加费0.00
＋燃油(21.73＋0.00)×25.25%≈5.49
＝预估承运成本27.22
按既有收费规则折算→预付29.94；与原预付差+0.07。</x:v>
      </x:c>
      <x:c r="Q109" s="26" t="str">
        <x:v>运输费45.40
−折扣17.71
＋燃油6.99
＝承运净额34.68
账单实收38.148（按既有收费规则）</x:v>
      </x:c>
    </x:row>
    <x:row r="110" ht="120" customHeight="1">
      <x:c r="A110" s="26" t="n">
        <x:v>109</x:v>
      </x:c>
      <x:c r="B110" s="26" t="str">
        <x:v>874820585846</x:v>
      </x:c>
      <x:c r="C110" s="26" t="str">
        <x:v>EL100V2</x:v>
      </x:c>
      <x:c r="D110" s="31" t="n">
        <x:v>29.94</x:v>
      </x:c>
      <x:c r="E110" s="31" t="n">
        <x:v>29.94</x:v>
      </x:c>
      <x:c r="F110" s="31" t="n">
        <x:f>E110-D110</x:f>
        <x:v>0</x:v>
      </x:c>
      <x:c r="G110" s="26" t="str">
        <x:v>一致（精确到美分）</x:v>
      </x:c>
      <x:c r="H110" s="31" t="n">
        <x:v>38.148</x:v>
      </x:c>
      <x:c r="I110" s="31" t="n">
        <x:v>34.68</x:v>
      </x:c>
      <x:c r="J110" s="31" t="n">
        <x:v>34.68</x:v>
      </x:c>
      <x:c r="K110" s="26" t="str">
        <x:v>分项加总一致</x:v>
      </x:c>
      <x:c r="L110" s="31" t="n">
        <x:v>38.148</x:v>
      </x:c>
      <x:c r="M110" s="31" t="n">
        <x:f>L110-H110</x:f>
        <x:v>0</x:v>
      </x:c>
      <x:c r="N110" s="26" t="str">
        <x:v>一致（按此前统一收费口径）</x:v>
      </x:c>
      <x:c r="O110" s="26" t="n">
        <x:v>562</x:v>
      </x:c>
      <x:c r="P110" s="26" t="str">
        <x:v>反推假设：23lb、Zone6（账单Zone6）。
标准运费35.63×61%≈21.73
＋假设折后附加费0.00
＋燃油(21.73＋0.00)×25.25%≈5.49
＝预估承运成本27.22
按既有收费规则折算→预付29.94；与原预付差+0.00。</x:v>
      </x:c>
      <x:c r="Q110" s="26" t="str">
        <x:v>运输费45.40
−折扣17.71
＋燃油6.99
＝承运净额34.68
账单实收38.148（按既有收费规则）</x:v>
      </x:c>
    </x:row>
    <x:row r="111" ht="120" customHeight="1">
      <x:c r="A111" s="26" t="n">
        <x:v>110</x:v>
      </x:c>
      <x:c r="B111" s="26" t="str">
        <x:v>873861658919</x:v>
      </x:c>
      <x:c r="C111" s="26" t="str">
        <x:v>背包</x:v>
      </x:c>
      <x:c r="D111" s="31" t="n">
        <x:v>16.17</x:v>
      </x:c>
      <x:c r="E111" s="31" t="n">
        <x:v>16.06</x:v>
      </x:c>
      <x:c r="F111" s="31" t="n">
        <x:f>E111-D111</x:f>
        <x:v>-0.11000000000000298</x:v>
      </x:c>
      <x:c r="G111" s="26" t="str">
        <x:v>仅接近（不超过0.15美元）</x:v>
      </x:c>
      <x:c r="H111" s="31" t="n">
        <x:v>24.354</x:v>
      </x:c>
      <x:c r="I111" s="31" t="n">
        <x:v>22.14</x:v>
      </x:c>
      <x:c r="J111" s="31" t="n">
        <x:v>22.14</x:v>
      </x:c>
      <x:c r="K111" s="26" t="str">
        <x:v>分项加总一致</x:v>
      </x:c>
      <x:c r="L111" s="31" t="n">
        <x:v>24.354</x:v>
      </x:c>
      <x:c r="M111" s="31" t="n">
        <x:f>L111-H111</x:f>
        <x:v>0</x:v>
      </x:c>
      <x:c r="N111" s="26" t="str">
        <x:v>一致（按此前统一收费口径）</x:v>
      </x:c>
      <x:c r="O111" s="26" t="n">
        <x:v>463</x:v>
      </x:c>
      <x:c r="P111" s="26" t="str">
        <x:v>反推假设：3lb、Zone8（账单Zone4）。
标准运费19.11×61%≈11.66
＋假设折后附加费0.00
＋燃油(11.66＋0.00)×25.25%≈2.94
＝预估承运成本14.60
按既有收费规则折算→预付16.06；与原预付差-0.11。</x:v>
      </x:c>
      <x:c r="Q111" s="26" t="str">
        <x:v>运输费28.98
−折扣11.30
＋燃油4.46
＝承运净额22.14
账单实收24.354（按既有收费规则）</x:v>
      </x:c>
    </x:row>
    <x:row r="112" ht="120" customHeight="1">
      <x:c r="A112" s="26" t="n">
        <x:v>111</x:v>
      </x:c>
      <x:c r="B112" s="26" t="str">
        <x:v>873942029979</x:v>
      </x:c>
      <x:c r="C112" s="26" t="str">
        <x:v>EL100V2</x:v>
      </x:c>
      <x:c r="D112" s="31" t="n">
        <x:v>29.94</x:v>
      </x:c>
      <x:c r="E112" s="31" t="n">
        <x:v>29.88</x:v>
      </x:c>
      <x:c r="F112" s="31" t="n">
        <x:f>E112-D112</x:f>
        <x:v>-0.060000000000002274</x:v>
      </x:c>
      <x:c r="G112" s="26" t="str">
        <x:v>仅接近（不超过0.15美元）</x:v>
      </x:c>
      <x:c r="H112" s="31" t="n">
        <x:v>38.071</x:v>
      </x:c>
      <x:c r="I112" s="31" t="n">
        <x:v>34.61</x:v>
      </x:c>
      <x:c r="J112" s="31" t="n">
        <x:v>34.61</x:v>
      </x:c>
      <x:c r="K112" s="26" t="str">
        <x:v>分项加总一致</x:v>
      </x:c>
      <x:c r="L112" s="31" t="n">
        <x:v>38.071</x:v>
      </x:c>
      <x:c r="M112" s="31" t="n">
        <x:f>L112-H112</x:f>
        <x:v>0</x:v>
      </x:c>
      <x:c r="N112" s="26" t="str">
        <x:v>一致（按此前统一收费口径）</x:v>
      </x:c>
      <x:c r="O112" s="26" t="n">
        <x:v>332</x:v>
      </x:c>
      <x:c r="P112" s="26" t="str">
        <x:v>反推假设：23lb、Zone6（账单Zone6）。
标准运费35.63×61%≈21.73
＋假设折后附加费0.00
＋燃油(21.73＋0.00)×25.00%≈5.43
＝预估承运成本27.16
按既有收费规则折算→预付29.88；与原预付差-0.06。</x:v>
      </x:c>
      <x:c r="Q112" s="26" t="str">
        <x:v>运输费45.40
−折扣17.71
＋燃油6.92
＝承运净额34.61
账单实收38.071（按既有收费规则）</x:v>
      </x:c>
    </x:row>
    <x:row r="113" ht="120" customHeight="1">
      <x:c r="A113" s="26" t="n">
        <x:v>112</x:v>
      </x:c>
      <x:c r="B113" s="26" t="str">
        <x:v>875141356162</x:v>
      </x:c>
      <x:c r="C113" s="26" t="str">
        <x:v>AP300</x:v>
      </x:c>
      <x:c r="D113" s="31" t="n">
        <x:v>83.03</x:v>
      </x:c>
      <x:c r="E113" s="31"/>
      <x:c r="F113" s="31"/>
      <x:c r="G113" s="26" t="str">
        <x:v>缺明细，无法试算</x:v>
      </x:c>
      <x:c r="H113" s="31" t="n">
        <x:v>91.003</x:v>
      </x:c>
      <x:c r="I113" s="31"/>
      <x:c r="J113" s="31"/>
      <x:c r="K113" s="26" t="str">
        <x:v>缺核对明细</x:v>
      </x:c>
      <x:c r="L113" s="31"/>
      <x:c r="M113" s="31"/>
      <x:c r="N113" s="26" t="str">
        <x:v>缺核对明细，无法核算</x:v>
      </x:c>
      <x:c r="O113" s="26"/>
      <x:c r="P113" s="26" t="str">
        <x:v>缺核对明细，无法重建预付；原预付仅按基础表保留。</x:v>
      </x:c>
      <x:c r="Q113" s="26" t="str">
        <x:v>缺原始核对明细，无法拆分。</x:v>
      </x:c>
    </x:row>
    <x:row r="114" ht="120" customHeight="1">
      <x:c r="A114" s="26" t="n">
        <x:v>113</x:v>
      </x:c>
      <x:c r="B114" s="26" t="str">
        <x:v>873109426682</x:v>
      </x:c>
      <x:c r="C114" s="26"/>
      <x:c r="D114" s="31" t="n">
        <x:v>25.39</x:v>
      </x:c>
      <x:c r="E114" s="31" t="n">
        <x:v>23.28</x:v>
      </x:c>
      <x:c r="F114" s="31" t="n">
        <x:f>E114-D114</x:f>
        <x:v>-2.1099999999999994</x:v>
      </x:c>
      <x:c r="G114" s="26" t="str">
        <x:v>未对上</x:v>
      </x:c>
      <x:c r="H114" s="31" t="n">
        <x:v>33.228</x:v>
      </x:c>
      <x:c r="I114" s="31" t="n">
        <x:v>27.69</x:v>
      </x:c>
      <x:c r="J114" s="31" t="n">
        <x:v>27.69</x:v>
      </x:c>
      <x:c r="K114" s="26" t="str">
        <x:v>分项加总一致</x:v>
      </x:c>
      <x:c r="L114" s="31" t="n">
        <x:v>30.459</x:v>
      </x:c>
      <x:c r="M114" s="31" t="n">
        <x:f>L114-H114</x:f>
        <x:v>-2.769000000000002</x:v>
      </x:c>
      <x:c r="N114" s="26" t="str">
        <x:v>未对上，收费口径待确认</x:v>
      </x:c>
      <x:c r="O114" s="26" t="n">
        <x:v>40</x:v>
      </x:c>
      <x:c r="P114" s="26" t="str">
        <x:v>反推假设：21lb、Zone5（账单Zone5）。
标准运费27.52×61%≈16.79
＋假设折后附加费0.00
＋燃油(16.79＋0.00)×26.00%≈4.37
＝预估承运成本21.16
按既有收费规则折算→预付23.28；与原预付差-2.11。</x:v>
      </x:c>
      <x:c r="Q114" s="26" t="str">
        <x:v>运输费36.03
−折扣14.05
＋燃油5.71
＝承运净额27.69
账单实收33.228（按既有收费规则）</x:v>
      </x:c>
    </x:row>
    <x:row r="115" ht="120" customHeight="1">
      <x:c r="A115" s="26" t="n">
        <x:v>114</x:v>
      </x:c>
      <x:c r="B115" s="26" t="str">
        <x:v>874818799127</x:v>
      </x:c>
      <x:c r="C115" s="26" t="str">
        <x:v>AP300</x:v>
      </x:c>
      <x:c r="D115" s="31" t="n">
        <x:v>88.81</x:v>
      </x:c>
      <x:c r="E115" s="31" t="n">
        <x:v>88.83</x:v>
      </x:c>
      <x:c r="F115" s="31" t="n">
        <x:f>E115-D115</x:f>
        <x:v>0.01999999999999602</x:v>
      </x:c>
      <x:c r="G115" s="26" t="str">
        <x:v>仅接近（不超过0.15美元）</x:v>
      </x:c>
      <x:c r="H115" s="31" t="n">
        <x:v>96.47</x:v>
      </x:c>
      <x:c r="I115" s="31" t="n">
        <x:v>87.7</x:v>
      </x:c>
      <x:c r="J115" s="31" t="n">
        <x:v>87.7</x:v>
      </x:c>
      <x:c r="K115" s="26" t="str">
        <x:v>分项加总一致</x:v>
      </x:c>
      <x:c r="L115" s="31" t="n">
        <x:v>96.47</x:v>
      </x:c>
      <x:c r="M115" s="31" t="n">
        <x:f>L115-H115</x:f>
        <x:v>0</x:v>
      </x:c>
      <x:c r="N115" s="26" t="str">
        <x:v>一致（按此前统一收费口径）</x:v>
      </x:c>
      <x:c r="O115" s="26" t="n">
        <x:v>544</x:v>
      </x:c>
      <x:c r="P115" s="26" t="str">
        <x:v>反推假设：84lb、Zone4（账单Zone4）。
标准运费64.49×61%≈39.34
＋假设折后附加费25.13
＋燃油(39.34＋25.13)×25.25%≈16.28
＝预估承运成本80.75
按既有收费规则折算→预付88.83；与原预付差+0.02。</x:v>
      </x:c>
      <x:c r="Q115" s="26" t="str">
        <x:v>运输费73.60
−折扣28.70
＋Add'l Handling-Weight 25.12
＋燃油17.68
＝承运净额87.70
账单实收96.470（按既有收费规则）</x:v>
      </x:c>
    </x:row>
    <x:row r="116" ht="120" customHeight="1">
      <x:c r="A116" s="26" t="n">
        <x:v>115</x:v>
      </x:c>
      <x:c r="B116" s="26" t="str">
        <x:v>874283142645</x:v>
      </x:c>
      <x:c r="C116" s="26" t="str">
        <x:v>EL100V2</x:v>
      </x:c>
      <x:c r="D116" s="31" t="n">
        <x:v>44.5</x:v>
      </x:c>
      <x:c r="E116" s="31"/>
      <x:c r="F116" s="31"/>
      <x:c r="G116" s="26" t="str">
        <x:v>缺明细，无法试算</x:v>
      </x:c>
      <x:c r="H116" s="31" t="n">
        <x:v>52.14</x:v>
      </x:c>
      <x:c r="I116" s="31"/>
      <x:c r="J116" s="31"/>
      <x:c r="K116" s="26" t="str">
        <x:v>缺核对明细</x:v>
      </x:c>
      <x:c r="L116" s="31"/>
      <x:c r="M116" s="31"/>
      <x:c r="N116" s="26" t="str">
        <x:v>缺核对明细，无法核算</x:v>
      </x:c>
      <x:c r="O116" s="26"/>
      <x:c r="P116" s="26" t="str">
        <x:v>缺核对明细，无法重建预付；原预付仅按基础表保留。</x:v>
      </x:c>
      <x:c r="Q116" s="26" t="str">
        <x:v>缺原始核对明细，无法拆分。</x:v>
      </x:c>
    </x:row>
    <x:row r="117" ht="120" customHeight="1">
      <x:c r="A117" s="26" t="n">
        <x:v>116</x:v>
      </x:c>
      <x:c r="B117" s="26" t="str">
        <x:v>874403929269</x:v>
      </x:c>
      <x:c r="C117" s="26" t="str">
        <x:v>AC200L</x:v>
      </x:c>
      <x:c r="D117" s="31" t="n">
        <x:v>71.62</x:v>
      </x:c>
      <x:c r="E117" s="31" t="n">
        <x:v>71.79</x:v>
      </x:c>
      <x:c r="F117" s="31" t="n">
        <x:f>E117-D117</x:f>
        <x:v>0.1700000000000017</x:v>
      </x:c>
      <x:c r="G117" s="26" t="str">
        <x:v>未对上</x:v>
      </x:c>
      <x:c r="H117" s="31" t="n">
        <x:v>79.233</x:v>
      </x:c>
      <x:c r="I117" s="31" t="n">
        <x:v>72.03</x:v>
      </x:c>
      <x:c r="J117" s="31" t="n">
        <x:v>72.03</x:v>
      </x:c>
      <x:c r="K117" s="26" t="str">
        <x:v>分项加总一致</x:v>
      </x:c>
      <x:c r="L117" s="31" t="n">
        <x:v>79.233</x:v>
      </x:c>
      <x:c r="M117" s="31" t="n">
        <x:f>L117-H117</x:f>
        <x:v>0</x:v>
      </x:c>
      <x:c r="N117" s="26" t="str">
        <x:v>一致（按此前统一收费口径）</x:v>
      </x:c>
      <x:c r="O117" s="26" t="n">
        <x:v>521</x:v>
      </x:c>
      <x:c r="P117" s="26" t="str">
        <x:v>反推假设：54lb、Zone4（账单Zone4）。
标准运费44.22×61%≈26.97
＋假设折后附加费25.13
＋燃油(26.97＋25.13)×25.25%≈13.16
＝预估承运成本65.26
按既有收费规则折算→预付71.79；与原预付差+0.17。</x:v>
      </x:c>
      <x:c r="Q117" s="26" t="str">
        <x:v>运输费53.10
−折扣20.71
＋Add'l Handling-Weight 25.12
＋燃油14.52
＝承运净额72.03
账单实收79.233（按既有收费规则）</x:v>
      </x:c>
    </x:row>
    <x:row r="118" ht="120" customHeight="1">
      <x:c r="A118" s="26" t="n">
        <x:v>117</x:v>
      </x:c>
      <x:c r="B118" s="26" t="str">
        <x:v>874972476665</x:v>
      </x:c>
      <x:c r="C118" s="26" t="str">
        <x:v>B300S</x:v>
      </x:c>
      <x:c r="D118" s="31" t="n">
        <x:v>83.03</x:v>
      </x:c>
      <x:c r="E118" s="31"/>
      <x:c r="F118" s="31"/>
      <x:c r="G118" s="26" t="str">
        <x:v>缺明细，无法试算</x:v>
      </x:c>
      <x:c r="H118" s="31" t="n">
        <x:v>90.64</x:v>
      </x:c>
      <x:c r="I118" s="31"/>
      <x:c r="J118" s="31"/>
      <x:c r="K118" s="26" t="str">
        <x:v>缺核对明细</x:v>
      </x:c>
      <x:c r="L118" s="31"/>
      <x:c r="M118" s="31"/>
      <x:c r="N118" s="26" t="str">
        <x:v>缺核对明细，无法核算</x:v>
      </x:c>
      <x:c r="O118" s="26"/>
      <x:c r="P118" s="26" t="str">
        <x:v>缺核对明细，无法重建预付；原预付仅按基础表保留。</x:v>
      </x:c>
      <x:c r="Q118" s="26" t="str">
        <x:v>缺原始核对明细，无法拆分。</x:v>
      </x:c>
    </x:row>
    <x:row r="119" ht="120" customHeight="1">
      <x:c r="A119" s="26" t="n">
        <x:v>118</x:v>
      </x:c>
      <x:c r="B119" s="26" t="str">
        <x:v>873550060825</x:v>
      </x:c>
      <x:c r="C119" s="26" t="str">
        <x:v>AC70</x:v>
      </x:c>
      <x:c r="D119" s="31" t="n">
        <x:v>21.61</x:v>
      </x:c>
      <x:c r="E119" s="31" t="n">
        <x:v>20.23</x:v>
      </x:c>
      <x:c r="F119" s="31" t="n">
        <x:f>E119-D119</x:f>
        <x:v>-1.379999999999999</x:v>
      </x:c>
      <x:c r="G119" s="26" t="str">
        <x:v>未对上</x:v>
      </x:c>
      <x:c r="H119" s="31" t="n">
        <x:v>29.128</x:v>
      </x:c>
      <x:c r="I119" s="31" t="n">
        <x:v>26.48</x:v>
      </x:c>
      <x:c r="J119" s="31" t="n">
        <x:v>26.48</x:v>
      </x:c>
      <x:c r="K119" s="26" t="str">
        <x:v>分项加总一致</x:v>
      </x:c>
      <x:c r="L119" s="31" t="n">
        <x:v>29.128</x:v>
      </x:c>
      <x:c r="M119" s="31" t="n">
        <x:f>L119-H119</x:f>
        <x:v>0</x:v>
      </x:c>
      <x:c r="N119" s="26" t="str">
        <x:v>一致（按此前统一收费口径）</x:v>
      </x:c>
      <x:c r="O119" s="26" t="n">
        <x:v>219</x:v>
      </x:c>
      <x:c r="P119" s="26" t="str">
        <x:v>反推假设：17lb、Zone5（账单Zone5）。
标准运费24.07×61%≈14.68
＋假设折后附加费0.00
＋燃油(14.68＋0.00)×25.25%≈3.71
＝预估承运成本18.39
按既有收费规则折算→预付20.23；与原预付差-1.38。</x:v>
      </x:c>
      <x:c r="Q119" s="26" t="str">
        <x:v>运输费34.65
−折扣13.51
＋燃油5.34
＝承运净额26.48
账单实收29.128（按既有收费规则）</x:v>
      </x:c>
    </x:row>
    <x:row r="120" ht="120" customHeight="1">
      <x:c r="A120" s="26" t="n">
        <x:v>119</x:v>
      </x:c>
      <x:c r="B120" s="26" t="str">
        <x:v>873416411900</x:v>
      </x:c>
      <x:c r="C120" s="26" t="str">
        <x:v>CHANGER2</x:v>
      </x:c>
      <x:c r="D120" s="31" t="n">
        <x:v>19.95</x:v>
      </x:c>
      <x:c r="E120" s="31" t="n">
        <x:v>18.65</x:v>
      </x:c>
      <x:c r="F120" s="31" t="n">
        <x:f>E120-D120</x:f>
        <x:v>-1.3000000000000007</x:v>
      </x:c>
      <x:c r="G120" s="26" t="str">
        <x:v>未对上</x:v>
      </x:c>
      <x:c r="H120" s="31" t="n">
        <x:v>27.456</x:v>
      </x:c>
      <x:c r="I120" s="31" t="n">
        <x:v>24.96</x:v>
      </x:c>
      <x:c r="J120" s="31" t="n">
        <x:v>24.96</x:v>
      </x:c>
      <x:c r="K120" s="26" t="str">
        <x:v>分项加总一致</x:v>
      </x:c>
      <x:c r="L120" s="31" t="n">
        <x:v>27.456</x:v>
      </x:c>
      <x:c r="M120" s="31" t="n">
        <x:f>L120-H120</x:f>
        <x:v>0</x:v>
      </x:c>
      <x:c r="N120" s="26" t="str">
        <x:v>一致（按此前统一收费口径）</x:v>
      </x:c>
      <x:c r="O120" s="26" t="n">
        <x:v>364</x:v>
      </x:c>
      <x:c r="P120" s="26" t="str">
        <x:v>反推假设：14lb、Zone5（账单Zone5）。
标准运费22.23×61%≈13.56
＋假设折后附加费0.00
＋燃油(13.56＋0.00)×25.00%≈3.39
＝预估承运成本16.95
按既有收费规则折算→预付18.65；与原预付差-1.30。</x:v>
      </x:c>
      <x:c r="Q120" s="26" t="str">
        <x:v>运输费32.73
−折扣12.76
＋燃油4.99
＝承运净额24.96
账单实收27.456（按既有收费规则）</x:v>
      </x:c>
    </x:row>
    <x:row r="121" ht="120" customHeight="1">
      <x:c r="A121" s="26" t="n">
        <x:v>120</x:v>
      </x:c>
      <x:c r="B121" s="26" t="str">
        <x:v>873109427196</x:v>
      </x:c>
      <x:c r="C121" s="26"/>
      <x:c r="D121" s="31" t="n">
        <x:v>44.41</x:v>
      </x:c>
      <x:c r="E121" s="31" t="n">
        <x:v>19.03</x:v>
      </x:c>
      <x:c r="F121" s="31" t="n">
        <x:f>E121-D121</x:f>
        <x:v>-25.379999999999995</x:v>
      </x:c>
      <x:c r="G121" s="26" t="str">
        <x:v>未对上</x:v>
      </x:c>
      <x:c r="H121" s="31" t="n">
        <x:v>51.864</x:v>
      </x:c>
      <x:c r="I121" s="31" t="n">
        <x:v>43.22</x:v>
      </x:c>
      <x:c r="J121" s="31" t="n">
        <x:v>43.22</x:v>
      </x:c>
      <x:c r="K121" s="26" t="str">
        <x:v>分项加总一致</x:v>
      </x:c>
      <x:c r="L121" s="31" t="n">
        <x:v>47.542</x:v>
      </x:c>
      <x:c r="M121" s="31" t="n">
        <x:f>L121-H121</x:f>
        <x:v>-4.321999999999996</x:v>
      </x:c>
      <x:c r="N121" s="26" t="str">
        <x:v>未对上，收费口径待确认</x:v>
      </x:c>
      <x:c r="O121" s="26" t="n">
        <x:v>75</x:v>
      </x:c>
      <x:c r="P121" s="26" t="str">
        <x:v>反推假设：7lb、Zone8（账单Zone7）。
标准运费22.51×61%≈13.73
＋假设折后附加费0.00
＋燃油(13.73＋0.00)×26.00%≈3.57
＝预估承运成本17.30
按既有收费规则折算→预付19.03；与原预付差-25.38。</x:v>
      </x:c>
      <x:c r="Q121" s="26" t="str">
        <x:v>运输费31.11
−折扣8.40
＋Residential Delivery 3.22
＋DAS Remote Residential 8.37
＋燃油8.92
＝承运净额43.22
账单实收51.864（按既有收费规则）</x:v>
      </x:c>
    </x:row>
    <x:row r="122" ht="120" customHeight="1">
      <x:c r="A122" s="26" t="n">
        <x:v>121</x:v>
      </x:c>
      <x:c r="B122" s="26" t="str">
        <x:v>873363411682</x:v>
      </x:c>
      <x:c r="C122" s="26"/>
      <x:c r="D122" s="31" t="n">
        <x:v>43.04</x:v>
      </x:c>
      <x:c r="E122" s="31" t="n">
        <x:v>43.03</x:v>
      </x:c>
      <x:c r="F122" s="31" t="n">
        <x:f>E122-D122</x:f>
        <x:v>-0.00999999999999801</x:v>
      </x:c>
      <x:c r="G122" s="26" t="str">
        <x:v>仅接近（不超过0.15美元）</x:v>
      </x:c>
      <x:c r="H122" s="31" t="n">
        <x:v>50.435</x:v>
      </x:c>
      <x:c r="I122" s="31" t="n">
        <x:v>45.85</x:v>
      </x:c>
      <x:c r="J122" s="31" t="n">
        <x:v>45.85</x:v>
      </x:c>
      <x:c r="K122" s="26" t="str">
        <x:v>分项加总一致</x:v>
      </x:c>
      <x:c r="L122" s="31" t="n">
        <x:v>50.435</x:v>
      </x:c>
      <x:c r="M122" s="31" t="n">
        <x:f>L122-H122</x:f>
        <x:v>0</x:v>
      </x:c>
      <x:c r="N122" s="26" t="str">
        <x:v>一致（按此前统一收费口径）</x:v>
      </x:c>
      <x:c r="O122" s="26" t="n">
        <x:v>148</x:v>
      </x:c>
      <x:c r="P122" s="26" t="str">
        <x:v>反推假设：47lb、Zone5（账单Zone8）。
标准运费51.10×61%≈31.17
＋假设折后附加费0.00
＋燃油(31.17＋0.00)×25.50%≈7.95
＝预估承运成本39.12
按既有收费规则折算→预付43.03；与原预付差-0.01。</x:v>
      </x:c>
      <x:c r="Q122" s="26" t="str">
        <x:v>运输费59.88
−折扣23.35
＋燃油9.32
＝承运净额45.85
账单实收50.435（按既有收费规则）</x:v>
      </x:c>
    </x:row>
    <x:row r="123" ht="120" customHeight="1">
      <x:c r="A123" s="26" t="n">
        <x:v>122</x:v>
      </x:c>
      <x:c r="B123" s="26" t="str">
        <x:v>875083140676</x:v>
      </x:c>
      <x:c r="C123" s="26" t="str">
        <x:v>AC200L</x:v>
      </x:c>
      <x:c r="D123" s="31" t="n">
        <x:v>72.08</x:v>
      </x:c>
      <x:c r="E123" s="31"/>
      <x:c r="F123" s="31"/>
      <x:c r="G123" s="26" t="str">
        <x:v>缺明细，无法试算</x:v>
      </x:c>
      <x:c r="H123" s="31" t="n">
        <x:v>79.189</x:v>
      </x:c>
      <x:c r="I123" s="31"/>
      <x:c r="J123" s="31"/>
      <x:c r="K123" s="26" t="str">
        <x:v>缺核对明细</x:v>
      </x:c>
      <x:c r="L123" s="31"/>
      <x:c r="M123" s="31"/>
      <x:c r="N123" s="26" t="str">
        <x:v>缺核对明细，无法核算</x:v>
      </x:c>
      <x:c r="O123" s="26"/>
      <x:c r="P123" s="26" t="str">
        <x:v>缺核对明细，无法重建预付；原预付仅按基础表保留。</x:v>
      </x:c>
      <x:c r="Q123" s="26" t="str">
        <x:v>缺原始核对明细，无法拆分。</x:v>
      </x:c>
    </x:row>
    <x:row r="124" ht="120" customHeight="1">
      <x:c r="A124" s="26" t="n">
        <x:v>123</x:v>
      </x:c>
      <x:c r="B124" s="26" t="str">
        <x:v>874085323892</x:v>
      </x:c>
      <x:c r="C124" s="26" t="str">
        <x:v>AC180</x:v>
      </x:c>
      <x:c r="D124" s="31" t="n">
        <x:v>34.8</x:v>
      </x:c>
      <x:c r="E124" s="31" t="n">
        <x:v>34.87</x:v>
      </x:c>
      <x:c r="F124" s="31" t="n">
        <x:f>E124-D124</x:f>
        <x:v>0.07000000000000028</x:v>
      </x:c>
      <x:c r="G124" s="26" t="str">
        <x:v>仅接近（不超过0.15美元）</x:v>
      </x:c>
      <x:c r="H124" s="31" t="n">
        <x:v>41.844</x:v>
      </x:c>
      <x:c r="I124" s="31" t="n">
        <x:v>38.04</x:v>
      </x:c>
      <x:c r="J124" s="31" t="n">
        <x:v>38.04</x:v>
      </x:c>
      <x:c r="K124" s="26" t="str">
        <x:v>分项加总一致</x:v>
      </x:c>
      <x:c r="L124" s="31" t="n">
        <x:v>41.844</x:v>
      </x:c>
      <x:c r="M124" s="31" t="n">
        <x:f>L124-H124</x:f>
        <x:v>0</x:v>
      </x:c>
      <x:c r="N124" s="26" t="str">
        <x:v>一致（按此前统一收费口径）</x:v>
      </x:c>
      <x:c r="O124" s="26" t="n">
        <x:v>481</x:v>
      </x:c>
      <x:c r="P124" s="26" t="str">
        <x:v>反推假设：36lb、Zone5（账单Zone5）。
标准运费41.50×61%≈25.31
＋假设折后附加费0.00
＋燃油(25.31＋0.00)×25.25%≈6.39
＝预估承运成本31.70
按既有收费规则折算→预付34.87；与原预付差+0.07。</x:v>
      </x:c>
      <x:c r="Q124" s="26" t="str">
        <x:v>运输费49.79
−折扣19.42
＋燃油7.67
＝承运净额38.04
账单实收41.844（按既有收费规则）</x:v>
      </x:c>
    </x:row>
    <x:row r="125" ht="120" customHeight="1">
      <x:c r="A125" s="26" t="n">
        <x:v>124</x:v>
      </x:c>
      <x:c r="B125" s="26" t="str">
        <x:v>873963892087</x:v>
      </x:c>
      <x:c r="C125" s="26" t="str">
        <x:v>AC200L</x:v>
      </x:c>
      <x:c r="D125" s="31" t="n">
        <x:v>65.37</x:v>
      </x:c>
      <x:c r="E125" s="31" t="n">
        <x:v>65.38</x:v>
      </x:c>
      <x:c r="F125" s="31" t="n">
        <x:f>E125-D125</x:f>
        <x:v>0.009999999999990905</x:v>
      </x:c>
      <x:c r="G125" s="26" t="str">
        <x:v>仅接近（不超过0.15美元）</x:v>
      </x:c>
      <x:c r="H125" s="31" t="n">
        <x:v>72.028</x:v>
      </x:c>
      <x:c r="I125" s="31" t="n">
        <x:v>65.48</x:v>
      </x:c>
      <x:c r="J125" s="31" t="n">
        <x:v>65.48</x:v>
      </x:c>
      <x:c r="K125" s="26" t="str">
        <x:v>分项加总一致</x:v>
      </x:c>
      <x:c r="L125" s="31" t="n">
        <x:v>72.028</x:v>
      </x:c>
      <x:c r="M125" s="31" t="n">
        <x:f>L125-H125</x:f>
        <x:v>0</x:v>
      </x:c>
      <x:c r="N125" s="26" t="str">
        <x:v>一致（按此前统一收费口径）</x:v>
      </x:c>
      <x:c r="O125" s="26" t="n">
        <x:v>298</x:v>
      </x:c>
      <x:c r="P125" s="26" t="str">
        <x:v>反推假设：56lb、Zone3（账单Zone3）。
标准运费36.76×61%≈22.42
＋假设折后附加费25.13
＋燃油(22.42＋25.13)×25.00%≈11.89
＝预估承运成本59.44
按既有收费规则折算→预付65.38；与原预付差+0.01。</x:v>
      </x:c>
      <x:c r="Q125" s="26" t="str">
        <x:v>运输费44.69
−折扣17.43
＋Add'l Handling-Weight 25.12
＋燃油13.10
＝承运净额65.48
账单实收72.028（按既有收费规则）</x:v>
      </x:c>
    </x:row>
    <x:row r="126" ht="120" customHeight="1">
      <x:c r="A126" s="26" t="n">
        <x:v>125</x:v>
      </x:c>
      <x:c r="B126" s="26" t="str">
        <x:v>875130496183</x:v>
      </x:c>
      <x:c r="C126" s="26" t="str">
        <x:v>B300K2</x:v>
      </x:c>
      <x:c r="D126" s="31" t="n">
        <x:v>75.05</x:v>
      </x:c>
      <x:c r="E126" s="31"/>
      <x:c r="F126" s="31"/>
      <x:c r="G126" s="26" t="str">
        <x:v>缺明细，无法试算</x:v>
      </x:c>
      <x:c r="H126" s="31" t="n">
        <x:v>81.675</x:v>
      </x:c>
      <x:c r="I126" s="31"/>
      <x:c r="J126" s="31"/>
      <x:c r="K126" s="26" t="str">
        <x:v>缺核对明细</x:v>
      </x:c>
      <x:c r="L126" s="31"/>
      <x:c r="M126" s="31"/>
      <x:c r="N126" s="26" t="str">
        <x:v>缺核对明细，无法核算</x:v>
      </x:c>
      <x:c r="O126" s="26"/>
      <x:c r="P126" s="26" t="str">
        <x:v>缺核对明细，无法重建预付；原预付仅按基础表保留。</x:v>
      </x:c>
      <x:c r="Q126" s="26" t="str">
        <x:v>缺原始核对明细，无法拆分。</x:v>
      </x:c>
    </x:row>
    <x:row r="127" ht="120" customHeight="1">
      <x:c r="A127" s="26" t="n">
        <x:v>126</x:v>
      </x:c>
      <x:c r="B127" s="26" t="str">
        <x:v>873970977872</x:v>
      </x:c>
      <x:c r="C127" s="26" t="str">
        <x:v>EL100V2</x:v>
      </x:c>
      <x:c r="D127" s="31" t="n">
        <x:v>23.72</x:v>
      </x:c>
      <x:c r="E127" s="31" t="n">
        <x:v>23.72</x:v>
      </x:c>
      <x:c r="F127" s="31" t="n">
        <x:f>E127-D127</x:f>
        <x:v>0</x:v>
      </x:c>
      <x:c r="G127" s="26" t="str">
        <x:v>一致（精确到美分）</x:v>
      </x:c>
      <x:c r="H127" s="31" t="n">
        <x:v>30.228</x:v>
      </x:c>
      <x:c r="I127" s="31" t="n">
        <x:v>27.48</x:v>
      </x:c>
      <x:c r="J127" s="31" t="n">
        <x:v>27.48</x:v>
      </x:c>
      <x:c r="K127" s="26" t="str">
        <x:v>分项加总一致</x:v>
      </x:c>
      <x:c r="L127" s="31" t="n">
        <x:v>30.228</x:v>
      </x:c>
      <x:c r="M127" s="31" t="n">
        <x:f>L127-H127</x:f>
        <x:v>0</x:v>
      </x:c>
      <x:c r="N127" s="26" t="str">
        <x:v>一致（按此前统一收费口径）</x:v>
      </x:c>
      <x:c r="O127" s="26" t="n">
        <x:v>336</x:v>
      </x:c>
      <x:c r="P127" s="26" t="str">
        <x:v>反推假设：22lb、Zone5（账单Zone5）。
标准运费28.28×61%≈17.25
＋假设折后附加费0.00
＋燃油(17.25＋0.00)×25.00%≈4.31
＝预估承运成本21.56
按既有收费规则折算→预付23.72；与原预付差+0.00。</x:v>
      </x:c>
      <x:c r="Q127" s="26" t="str">
        <x:v>运输费36.03
−折扣14.05
＋燃油5.50
＝承运净额27.48
账单实收30.228（按既有收费规则）</x:v>
      </x:c>
    </x:row>
    <x:row r="128" ht="120" customHeight="1">
      <x:c r="A128" s="26" t="n">
        <x:v>127</x:v>
      </x:c>
      <x:c r="B128" s="26" t="str">
        <x:v>874095894992</x:v>
      </x:c>
      <x:c r="C128" s="26" t="str">
        <x:v>B300K</x:v>
      </x:c>
      <x:c r="D128" s="31" t="n">
        <x:v>88.7</x:v>
      </x:c>
      <x:c r="E128" s="31" t="n">
        <x:v>88.73</x:v>
      </x:c>
      <x:c r="F128" s="31" t="n">
        <x:f>E128-D128</x:f>
        <x:v>0.030000000000001137</x:v>
      </x:c>
      <x:c r="G128" s="26" t="str">
        <x:v>仅接近（不超过0.15美元）</x:v>
      </x:c>
      <x:c r="H128" s="31" t="n">
        <x:v>95.183</x:v>
      </x:c>
      <x:c r="I128" s="31" t="n">
        <x:v>86.53</x:v>
      </x:c>
      <x:c r="J128" s="31" t="n">
        <x:v>86.53</x:v>
      </x:c>
      <x:c r="K128" s="26" t="str">
        <x:v>分项加总一致</x:v>
      </x:c>
      <x:c r="L128" s="31" t="n">
        <x:v>95.183</x:v>
      </x:c>
      <x:c r="M128" s="31" t="n">
        <x:f>L128-H128</x:f>
        <x:v>0</x:v>
      </x:c>
      <x:c r="N128" s="26" t="str">
        <x:v>一致（按此前统一收费口径）</x:v>
      </x:c>
      <x:c r="O128" s="26" t="n">
        <x:v>358</x:v>
      </x:c>
      <x:c r="P128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Q128" s="26" t="str">
        <x:v>运输费67.37
−折扣26.27
＋Add'l Handling-Weight 28.12
＋燃油17.31
＝承运净额86.53
账单实收95.183（按既有收费规则）</x:v>
      </x:c>
    </x:row>
    <x:row r="129" ht="120" customHeight="1">
      <x:c r="A129" s="26" t="n">
        <x:v>128</x:v>
      </x:c>
      <x:c r="B129" s="26" t="str">
        <x:v>874095731138</x:v>
      </x:c>
      <x:c r="C129" s="26" t="str">
        <x:v>B300K</x:v>
      </x:c>
      <x:c r="D129" s="31" t="n">
        <x:v>88.7</x:v>
      </x:c>
      <x:c r="E129" s="31" t="n">
        <x:v>88.73</x:v>
      </x:c>
      <x:c r="F129" s="31" t="n">
        <x:f>E129-D129</x:f>
        <x:v>0.030000000000001137</x:v>
      </x:c>
      <x:c r="G129" s="26" t="str">
        <x:v>仅接近（不超过0.15美元）</x:v>
      </x:c>
      <x:c r="H129" s="31" t="n">
        <x:v>95.183</x:v>
      </x:c>
      <x:c r="I129" s="31" t="n">
        <x:v>86.53</x:v>
      </x:c>
      <x:c r="J129" s="31" t="n">
        <x:v>86.53</x:v>
      </x:c>
      <x:c r="K129" s="26" t="str">
        <x:v>分项加总一致</x:v>
      </x:c>
      <x:c r="L129" s="31" t="n">
        <x:v>95.183</x:v>
      </x:c>
      <x:c r="M129" s="31" t="n">
        <x:f>L129-H129</x:f>
        <x:v>0</x:v>
      </x:c>
      <x:c r="N129" s="26" t="str">
        <x:v>一致（按此前统一收费口径）</x:v>
      </x:c>
      <x:c r="O129" s="26" t="n">
        <x:v>357</x:v>
      </x:c>
      <x:c r="P129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Q129" s="26" t="str">
        <x:v>运输费67.37
−折扣26.27
＋Add'l Handling-Weight 28.12
＋燃油17.31
＝承运净额86.53
账单实收95.183（按既有收费规则）</x:v>
      </x:c>
    </x:row>
    <x:row r="130" ht="120" customHeight="1">
      <x:c r="A130" s="26" t="n">
        <x:v>129</x:v>
      </x:c>
      <x:c r="B130" s="26" t="str">
        <x:v>874095660326</x:v>
      </x:c>
      <x:c r="C130" s="26" t="str">
        <x:v>B300K</x:v>
      </x:c>
      <x:c r="D130" s="31" t="n">
        <x:v>88.7</x:v>
      </x:c>
      <x:c r="E130" s="31" t="n">
        <x:v>88.73</x:v>
      </x:c>
      <x:c r="F130" s="31" t="n">
        <x:f>E130-D130</x:f>
        <x:v>0.030000000000001137</x:v>
      </x:c>
      <x:c r="G130" s="26" t="str">
        <x:v>仅接近（不超过0.15美元）</x:v>
      </x:c>
      <x:c r="H130" s="31" t="n">
        <x:v>95.183</x:v>
      </x:c>
      <x:c r="I130" s="31" t="n">
        <x:v>86.53</x:v>
      </x:c>
      <x:c r="J130" s="31" t="n">
        <x:v>86.53</x:v>
      </x:c>
      <x:c r="K130" s="26" t="str">
        <x:v>分项加总一致</x:v>
      </x:c>
      <x:c r="L130" s="31" t="n">
        <x:v>95.183</x:v>
      </x:c>
      <x:c r="M130" s="31" t="n">
        <x:f>L130-H130</x:f>
        <x:v>0</x:v>
      </x:c>
      <x:c r="N130" s="26" t="str">
        <x:v>一致（按此前统一收费口径）</x:v>
      </x:c>
      <x:c r="O130" s="26" t="n">
        <x:v>356</x:v>
      </x:c>
      <x:c r="P130" s="26" t="str">
        <x:v>反推假设：66lb、Zone5（账单Zone5）。
标准运费59.67×61%≈36.40
＋假设折后附加费28.13
＋燃油(36.40＋28.13)×25.00%≈16.13
＝预估承运成本80.66
按既有收费规则折算→预付88.73；与原预付差+0.03。</x:v>
      </x:c>
      <x:c r="Q130" s="26" t="str">
        <x:v>运输费67.37
−折扣26.27
＋Add'l Handling-Weight 28.12
＋燃油17.31
＝承运净额86.53
账单实收95.183（按既有收费规则）</x:v>
      </x:c>
    </x:row>
    <x:row r="131" ht="120" customHeight="1">
      <x:c r="A131" s="26" t="n">
        <x:v>130</x:v>
      </x:c>
      <x:c r="B131" s="26" t="str">
        <x:v>873180402870</x:v>
      </x:c>
      <x:c r="C131" s="26" t="str">
        <x:v>B300</x:v>
      </x:c>
      <x:c r="D131" s="31" t="n">
        <x:v>98.83</x:v>
      </x:c>
      <x:c r="E131" s="31" t="n">
        <x:v>98.26</x:v>
      </x:c>
      <x:c r="F131" s="31" t="n">
        <x:f>E131-D131</x:f>
        <x:v>-0.5699999999999932</x:v>
      </x:c>
      <x:c r="G131" s="26" t="str">
        <x:v>未对上</x:v>
      </x:c>
      <x:c r="H131" s="31" t="n">
        <x:v>105.27</x:v>
      </x:c>
      <x:c r="I131" s="31" t="n">
        <x:v>95.7</x:v>
      </x:c>
      <x:c r="J131" s="31" t="n">
        <x:v>95.7</x:v>
      </x:c>
      <x:c r="K131" s="26" t="str">
        <x:v>分项加总一致</x:v>
      </x:c>
      <x:c r="L131" s="31" t="n">
        <x:v>105.27</x:v>
      </x:c>
      <x:c r="M131" s="31" t="n">
        <x:f>L131-H131</x:f>
        <x:v>0</x:v>
      </x:c>
      <x:c r="N131" s="26" t="str">
        <x:v>一致（按此前统一收费口径）</x:v>
      </x:c>
      <x:c r="O131" s="26" t="n">
        <x:v>263</x:v>
      </x:c>
      <x:c r="P131" s="26" t="str">
        <x:v>反推假设：80lb、Zone5（账单Zone5）。
标准运费70.81×61%≈43.19
＋假设折后附加费28.13
＋燃油(43.19＋28.13)×25.25%≈18.01
＝预估承运成本89.33
按既有收费规则折算→预付98.26；与原预付差-0.57。</x:v>
      </x:c>
      <x:c r="Q131" s="26" t="str">
        <x:v>运输费79.16
−折扣30.87
＋Add'l Handling-Weight 28.12
＋燃油19.29
＝承运净额95.70
账单实收105.270（按既有收费规则）</x:v>
      </x:c>
    </x:row>
    <x:row r="132" ht="120" customHeight="1">
      <x:c r="A132" s="26" t="n">
        <x:v>131</x:v>
      </x:c>
      <x:c r="B132" s="26" t="str">
        <x:v>874350386169</x:v>
      </x:c>
      <x:c r="C132" s="26" t="str">
        <x:v>AC180</x:v>
      </x:c>
      <x:c r="D132" s="31" t="n">
        <x:v>62.65</x:v>
      </x:c>
      <x:c r="E132" s="31"/>
      <x:c r="F132" s="31"/>
      <x:c r="G132" s="26" t="str">
        <x:v>缺明细，无法试算</x:v>
      </x:c>
      <x:c r="H132" s="31" t="n">
        <x:v>68.915</x:v>
      </x:c>
      <x:c r="I132" s="31"/>
      <x:c r="J132" s="31"/>
      <x:c r="K132" s="26" t="str">
        <x:v>缺核对明细</x:v>
      </x:c>
      <x:c r="L132" s="31"/>
      <x:c r="M132" s="31"/>
      <x:c r="N132" s="26" t="str">
        <x:v>缺核对明细，无法核算</x:v>
      </x:c>
      <x:c r="O132" s="26"/>
      <x:c r="P132" s="26" t="str">
        <x:v>缺核对明细，无法重建预付；原预付仅按基础表保留。</x:v>
      </x:c>
      <x:c r="Q132" s="26" t="str">
        <x:v>缺原始核对明细，无法拆分。</x:v>
      </x:c>
    </x:row>
    <x:row r="133" ht="120" customHeight="1">
      <x:c r="A133" s="26" t="n">
        <x:v>132</x:v>
      </x:c>
      <x:c r="B133" s="26" t="str">
        <x:v>874517506130</x:v>
      </x:c>
      <x:c r="C133" s="26" t="str">
        <x:v>RV5</x:v>
      </x:c>
      <x:c r="D133" s="31" t="n">
        <x:v>28.69</x:v>
      </x:c>
      <x:c r="E133" s="31"/>
      <x:c r="F133" s="31"/>
      <x:c r="G133" s="26" t="str">
        <x:v>缺明细，无法试算</x:v>
      </x:c>
      <x:c r="H133" s="31" t="n">
        <x:v>34.87</x:v>
      </x:c>
      <x:c r="I133" s="31"/>
      <x:c r="J133" s="31"/>
      <x:c r="K133" s="26" t="str">
        <x:v>缺核对明细</x:v>
      </x:c>
      <x:c r="L133" s="31"/>
      <x:c r="M133" s="31"/>
      <x:c r="N133" s="26" t="str">
        <x:v>缺核对明细，无法核算</x:v>
      </x:c>
      <x:c r="O133" s="26"/>
      <x:c r="P133" s="26" t="str">
        <x:v>缺核对明细，无法重建预付；原预付仅按基础表保留。</x:v>
      </x:c>
      <x:c r="Q133" s="26" t="str">
        <x:v>缺原始核对明细，无法拆分。</x:v>
      </x:c>
    </x:row>
    <x:row r="134" ht="120" customHeight="1">
      <x:c r="A134" s="26" t="n">
        <x:v>133</x:v>
      </x:c>
      <x:c r="B134" s="26" t="str">
        <x:v>873857070792</x:v>
      </x:c>
      <x:c r="C134" s="26" t="str">
        <x:v>B300K</x:v>
      </x:c>
      <x:c r="D134" s="31" t="n">
        <x:v>74.74</x:v>
      </x:c>
      <x:c r="E134" s="31" t="n">
        <x:v>74.62</x:v>
      </x:c>
      <x:c r="F134" s="31" t="n">
        <x:f>E134-D134</x:f>
        <x:v>-0.11999999999999034</x:v>
      </x:c>
      <x:c r="G134" s="26" t="str">
        <x:v>仅接近（不超过0.15美元）</x:v>
      </x:c>
      <x:c r="H134" s="31" t="n">
        <x:v>80.861</x:v>
      </x:c>
      <x:c r="I134" s="31" t="n">
        <x:v>73.51</x:v>
      </x:c>
      <x:c r="J134" s="31" t="n">
        <x:v>73.51</x:v>
      </x:c>
      <x:c r="K134" s="26" t="str">
        <x:v>分项加总一致</x:v>
      </x:c>
      <x:c r="L134" s="31" t="n">
        <x:v>80.861</x:v>
      </x:c>
      <x:c r="M134" s="31" t="n">
        <x:f>L134-H134</x:f>
        <x:v>0</x:v>
      </x:c>
      <x:c r="N134" s="26" t="str">
        <x:v>一致（按此前统一收费口径）</x:v>
      </x:c>
      <x:c r="O134" s="26" t="n">
        <x:v>325</x:v>
      </x:c>
      <x:c r="P134" s="26" t="str">
        <x:v>反推假设：66lb、Zone4（账单Zone4）。
标准运费47.77×61%≈29.14
＋假设折后附加费25.13
＋燃油(29.14＋25.13)×25.00%≈13.57
＝预估承运成本67.84
按既有收费规则折算→预付74.62；与原预付差-0.12。</x:v>
      </x:c>
      <x:c r="Q134" s="26" t="str">
        <x:v>运输费55.23
−折扣21.54
＋Add'l Handling-Weight 25.12
＋燃油14.70
＝承运净额73.51
账单实收80.861（按既有收费规则）</x:v>
      </x:c>
    </x:row>
    <x:row r="135" ht="120" customHeight="1">
      <x:c r="A135" s="26" t="n">
        <x:v>134</x:v>
      </x:c>
      <x:c r="B135" s="26" t="str">
        <x:v>875025668912</x:v>
      </x:c>
      <x:c r="C135" s="26" t="str">
        <x:v>EL100V2</x:v>
      </x:c>
      <x:c r="D135" s="31" t="n">
        <x:v>32.4</x:v>
      </x:c>
      <x:c r="E135" s="31"/>
      <x:c r="F135" s="31"/>
      <x:c r="G135" s="26" t="str">
        <x:v>缺明细，无法试算</x:v>
      </x:c>
      <x:c r="H135" s="31" t="n">
        <x:v>38.302</x:v>
      </x:c>
      <x:c r="I135" s="31"/>
      <x:c r="J135" s="31"/>
      <x:c r="K135" s="26" t="str">
        <x:v>缺核对明细</x:v>
      </x:c>
      <x:c r="L135" s="31"/>
      <x:c r="M135" s="31"/>
      <x:c r="N135" s="26" t="str">
        <x:v>缺核对明细，无法核算</x:v>
      </x:c>
      <x:c r="O135" s="26"/>
      <x:c r="P135" s="26" t="str">
        <x:v>缺核对明细，无法重建预付；原预付仅按基础表保留。</x:v>
      </x:c>
      <x:c r="Q135" s="26" t="str">
        <x:v>缺原始核对明细，无法拆分。</x:v>
      </x:c>
    </x:row>
    <x:row r="136" ht="120" customHeight="1">
      <x:c r="A136" s="26" t="n">
        <x:v>135</x:v>
      </x:c>
      <x:c r="B136" s="26" t="str">
        <x:v>874150247998</x:v>
      </x:c>
      <x:c r="C136" s="26" t="str">
        <x:v>EL100V2</x:v>
      </x:c>
      <x:c r="D136" s="31" t="n">
        <x:v>32.22</x:v>
      </x:c>
      <x:c r="E136" s="31" t="n">
        <x:v>32.22</x:v>
      </x:c>
      <x:c r="F136" s="31" t="n">
        <x:f>E136-D136</x:f>
        <x:v>0</x:v>
      </x:c>
      <x:c r="G136" s="26" t="str">
        <x:v>一致（精确到美分）</x:v>
      </x:c>
      <x:c r="H136" s="31" t="n">
        <x:v>38.071</x:v>
      </x:c>
      <x:c r="I136" s="31" t="n">
        <x:v>34.61</x:v>
      </x:c>
      <x:c r="J136" s="31" t="n">
        <x:v>34.61</x:v>
      </x:c>
      <x:c r="K136" s="26" t="str">
        <x:v>分项加总一致</x:v>
      </x:c>
      <x:c r="L136" s="31" t="n">
        <x:v>38.071</x:v>
      </x:c>
      <x:c r="M136" s="31" t="n">
        <x:f>L136-H136</x:f>
        <x:v>0</x:v>
      </x:c>
      <x:c r="N136" s="26" t="str">
        <x:v>一致（按此前统一收费口径）</x:v>
      </x:c>
      <x:c r="O136" s="26" t="n">
        <x:v>361</x:v>
      </x:c>
      <x:c r="P136" s="26" t="str">
        <x:v>反推假设：25lb、Zone6（账单Zone6）。
标准运费38.41×61%≈23.43
＋假设折后附加费0.00
＋燃油(23.43＋0.00)×25.00%≈5.86
＝预估承运成本29.29
按既有收费规则折算→预付32.22；与原预付差+0.00。</x:v>
      </x:c>
      <x:c r="Q136" s="26" t="str">
        <x:v>运输费45.40
−折扣17.71
＋燃油6.92
＝承运净额34.61
账单实收38.071（按既有收费规则）</x:v>
      </x:c>
    </x:row>
    <x:row r="137" ht="120" customHeight="1">
      <x:c r="A137" s="26" t="n">
        <x:v>136</x:v>
      </x:c>
      <x:c r="B137" s="26" t="str">
        <x:v>873968966408</x:v>
      </x:c>
      <x:c r="C137" s="26" t="str">
        <x:v>EL100V2</x:v>
      </x:c>
      <x:c r="D137" s="31" t="n">
        <x:v>32.22</x:v>
      </x:c>
      <x:c r="E137" s="31" t="n">
        <x:v>32.22</x:v>
      </x:c>
      <x:c r="F137" s="31" t="n">
        <x:f>E137-D137</x:f>
        <x:v>0</x:v>
      </x:c>
      <x:c r="G137" s="26" t="str">
        <x:v>一致（精确到美分）</x:v>
      </x:c>
      <x:c r="H137" s="31" t="n">
        <x:v>38.071</x:v>
      </x:c>
      <x:c r="I137" s="31" t="n">
        <x:v>34.61</x:v>
      </x:c>
      <x:c r="J137" s="31" t="n">
        <x:v>34.61</x:v>
      </x:c>
      <x:c r="K137" s="26" t="str">
        <x:v>分项加总一致</x:v>
      </x:c>
      <x:c r="L137" s="31" t="n">
        <x:v>38.071</x:v>
      </x:c>
      <x:c r="M137" s="31" t="n">
        <x:f>L137-H137</x:f>
        <x:v>0</x:v>
      </x:c>
      <x:c r="N137" s="26" t="str">
        <x:v>一致（按此前统一收费口径）</x:v>
      </x:c>
      <x:c r="O137" s="26" t="n">
        <x:v>434</x:v>
      </x:c>
      <x:c r="P137" s="26" t="str">
        <x:v>反推假设：25lb、Zone6（账单Zone6）。
标准运费38.41×61%≈23.43
＋假设折后附加费0.00
＋燃油(23.43＋0.00)×25.00%≈5.86
＝预估承运成本29.29
按既有收费规则折算→预付32.22；与原预付差+0.00。</x:v>
      </x:c>
      <x:c r="Q137" s="26" t="str">
        <x:v>运输费45.40
−折扣17.71
＋燃油6.92
＝承运净额34.61
账单实收38.071（按既有收费规则）</x:v>
      </x:c>
    </x:row>
    <x:row r="138" ht="120" customHeight="1">
      <x:c r="A138" s="26" t="n">
        <x:v>137</x:v>
      </x:c>
      <x:c r="B138" s="26" t="str">
        <x:v>873423033354</x:v>
      </x:c>
      <x:c r="C138" s="26"/>
      <x:c r="D138" s="31" t="n">
        <x:v>24.48</x:v>
      </x:c>
      <x:c r="E138" s="31" t="n">
        <x:v>24.4</x:v>
      </x:c>
      <x:c r="F138" s="31" t="n">
        <x:f>E138-D138</x:f>
        <x:v>-0.08000000000000185</x:v>
      </x:c>
      <x:c r="G138" s="26" t="str">
        <x:v>仅接近（不超过0.15美元）</x:v>
      </x:c>
      <x:c r="H138" s="31" t="n">
        <x:v>30.228</x:v>
      </x:c>
      <x:c r="I138" s="31" t="n">
        <x:v>27.48</x:v>
      </x:c>
      <x:c r="J138" s="31" t="n">
        <x:v>27.48</x:v>
      </x:c>
      <x:c r="K138" s="26" t="str">
        <x:v>分项加总一致</x:v>
      </x:c>
      <x:c r="L138" s="31" t="n">
        <x:v>30.228</x:v>
      </x:c>
      <x:c r="M138" s="31" t="n">
        <x:f>L138-H138</x:f>
        <x:v>0</x:v>
      </x:c>
      <x:c r="N138" s="26" t="str">
        <x:v>一致（按此前统一收费口径）</x:v>
      </x:c>
      <x:c r="O138" s="26" t="n">
        <x:v>313</x:v>
      </x:c>
      <x:c r="P138" s="26" t="str">
        <x:v>反推假设：23lb、Zone5（账单Zone5）。
标准运费29.09×61%≈17.74
＋假设折后附加费0.00
＋燃油(17.74＋0.00)×25.00%≈4.44
＝预估承运成本22.18
按既有收费规则折算→预付24.40；与原预付差-0.08。</x:v>
      </x:c>
      <x:c r="Q138" s="26" t="str">
        <x:v>运输费36.03
−折扣14.05
＋燃油5.50
＝承运净额27.48
账单实收30.228（按既有收费规则）</x:v>
      </x:c>
    </x:row>
    <x:row r="139" ht="120" customHeight="1">
      <x:c r="A139" s="26" t="n">
        <x:v>138</x:v>
      </x:c>
      <x:c r="B139" s="26" t="str">
        <x:v>874710843270</x:v>
      </x:c>
      <x:c r="C139" s="26" t="str">
        <x:v>AC180</x:v>
      </x:c>
      <x:c r="D139" s="31" t="n">
        <x:v>30.19</x:v>
      </x:c>
      <x:c r="E139" s="31"/>
      <x:c r="F139" s="31"/>
      <x:c r="G139" s="26" t="str">
        <x:v>缺明细，无法试算</x:v>
      </x:c>
      <x:c r="H139" s="31" t="n">
        <x:v>35.838</x:v>
      </x:c>
      <x:c r="I139" s="31"/>
      <x:c r="J139" s="31"/>
      <x:c r="K139" s="26" t="str">
        <x:v>缺核对明细</x:v>
      </x:c>
      <x:c r="L139" s="31"/>
      <x:c r="M139" s="31"/>
      <x:c r="N139" s="26" t="str">
        <x:v>缺核对明细，无法核算</x:v>
      </x:c>
      <x:c r="O139" s="26"/>
      <x:c r="P139" s="26" t="str">
        <x:v>缺核对明细，无法重建预付；原预付仅按基础表保留。</x:v>
      </x:c>
      <x:c r="Q139" s="26" t="str">
        <x:v>缺原始核对明细，无法拆分。</x:v>
      </x:c>
    </x:row>
    <x:row r="140" ht="120" customHeight="1">
      <x:c r="A140" s="26" t="n">
        <x:v>139</x:v>
      </x:c>
      <x:c r="B140" s="26" t="str">
        <x:v>874766473687</x:v>
      </x:c>
      <x:c r="C140" s="26" t="str">
        <x:v>AC70</x:v>
      </x:c>
      <x:c r="D140" s="31" t="n">
        <x:v>23.66</x:v>
      </x:c>
      <x:c r="E140" s="31"/>
      <x:c r="F140" s="31"/>
      <x:c r="G140" s="26" t="str">
        <x:v>缺明细，无法试算</x:v>
      </x:c>
      <x:c r="H140" s="31" t="n">
        <x:v>29.238</x:v>
      </x:c>
      <x:c r="I140" s="31"/>
      <x:c r="J140" s="31"/>
      <x:c r="K140" s="26" t="str">
        <x:v>缺核对明细</x:v>
      </x:c>
      <x:c r="L140" s="31"/>
      <x:c r="M140" s="31"/>
      <x:c r="N140" s="26" t="str">
        <x:v>缺核对明细，无法核算</x:v>
      </x:c>
      <x:c r="O140" s="26"/>
      <x:c r="P140" s="26" t="str">
        <x:v>缺核对明细，无法重建预付；原预付仅按基础表保留。</x:v>
      </x:c>
      <x:c r="Q140" s="26" t="str">
        <x:v>缺原始核对明细，无法拆分。</x:v>
      </x:c>
    </x:row>
    <x:row r="141" ht="120" customHeight="1">
      <x:c r="A141" s="26" t="n">
        <x:v>140</x:v>
      </x:c>
      <x:c r="B141" s="26" t="str">
        <x:v>873425039388</x:v>
      </x:c>
      <x:c r="C141" s="26" t="str">
        <x:v>EL100V2</x:v>
      </x:c>
      <x:c r="D141" s="31" t="n">
        <x:v>39.16</x:v>
      </x:c>
      <x:c r="E141" s="31" t="n">
        <x:v>39.16</x:v>
      </x:c>
      <x:c r="F141" s="31" t="n">
        <x:f>E141-D141</x:f>
        <x:v>0</x:v>
      </x:c>
      <x:c r="G141" s="26" t="str">
        <x:v>一致（精确到美分）</x:v>
      </x:c>
      <x:c r="H141" s="31" t="n">
        <x:v>44.605</x:v>
      </x:c>
      <x:c r="I141" s="31" t="n">
        <x:v>40.55</x:v>
      </x:c>
      <x:c r="J141" s="31" t="n">
        <x:v>40.55</x:v>
      </x:c>
      <x:c r="K141" s="26" t="str">
        <x:v>分项加总一致</x:v>
      </x:c>
      <x:c r="L141" s="31" t="n">
        <x:v>44.605</x:v>
      </x:c>
      <x:c r="M141" s="31" t="n">
        <x:f>L141-H141</x:f>
        <x:v>0</x:v>
      </x:c>
      <x:c r="N141" s="26" t="str">
        <x:v>一致（按此前统一收费口径）</x:v>
      </x:c>
      <x:c r="O141" s="26" t="n">
        <x:v>130</x:v>
      </x:c>
      <x:c r="P141" s="26" t="str">
        <x:v>反推假设：25lb、Zone7（账单Zone7）。
标准运费46.51×61%≈28.37
＋假设折后附加费0.00
＋燃油(28.37＋0.00)×25.50%≈7.23
＝预估承运成本35.60
按既有收费规则折算→预付39.16；与原预付差+0.00。</x:v>
      </x:c>
      <x:c r="Q141" s="26" t="str">
        <x:v>运输费52.96
−折扣20.65
＋燃油8.24
＝承运净额40.55
账单实收44.605（按既有收费规则）</x:v>
      </x:c>
    </x:row>
    <x:row r="142" ht="120" customHeight="1">
      <x:c r="A142" s="26" t="n">
        <x:v>141</x:v>
      </x:c>
      <x:c r="B142" s="26" t="str">
        <x:v>874399921537</x:v>
      </x:c>
      <x:c r="C142" s="26" t="str">
        <x:v>EL100V2</x:v>
      </x:c>
      <x:c r="D142" s="31" t="n">
        <x:v>33.39</x:v>
      </x:c>
      <x:c r="E142" s="31" t="n">
        <x:v>33.39</x:v>
      </x:c>
      <x:c r="F142" s="31" t="n">
        <x:f>E142-D142</x:f>
        <x:v>0</x:v>
      </x:c>
      <x:c r="G142" s="26" t="str">
        <x:v>一致（精确到美分）</x:v>
      </x:c>
      <x:c r="H142" s="31" t="n">
        <x:v>38.819</x:v>
      </x:c>
      <x:c r="I142" s="31" t="n">
        <x:v>35.29</x:v>
      </x:c>
      <x:c r="J142" s="31" t="n">
        <x:v>35.29</x:v>
      </x:c>
      <x:c r="K142" s="26" t="str">
        <x:v>分项加总一致</x:v>
      </x:c>
      <x:c r="L142" s="31" t="n">
        <x:v>38.819</x:v>
      </x:c>
      <x:c r="M142" s="31" t="n">
        <x:f>L142-H142</x:f>
        <x:v>0</x:v>
      </x:c>
      <x:c r="N142" s="26" t="str">
        <x:v>一致（按此前统一收费口径）</x:v>
      </x:c>
      <x:c r="O142" s="26" t="n">
        <x:v>445</x:v>
      </x:c>
      <x:c r="P142" s="26" t="str">
        <x:v>反推假设：26lb、Zone6（账单Zone6）。
标准运费39.81×61%≈24.28
＋假设折后附加费0.00
＋燃油(24.28＋0.00)×25.00%≈6.07
＝预估承运成本30.35
按既有收费规则折算→预付33.39；与原预付差+0.00。</x:v>
      </x:c>
      <x:c r="Q142" s="26" t="str">
        <x:v>运输费46.28
−折扣18.05
＋燃油7.06
＝承运净额35.29
账单实收38.819（按既有收费规则）</x:v>
      </x:c>
    </x:row>
    <x:row r="143" ht="120" customHeight="1">
      <x:c r="A143" s="26" t="n">
        <x:v>142</x:v>
      </x:c>
      <x:c r="B143" s="26" t="str">
        <x:v>873856906303</x:v>
      </x:c>
      <x:c r="C143" s="26" t="str">
        <x:v>EL100V2</x:v>
      </x:c>
      <x:c r="D143" s="31" t="n">
        <x:v>39.09</x:v>
      </x:c>
      <x:c r="E143" s="31" t="n">
        <x:v>39.08</x:v>
      </x:c>
      <x:c r="F143" s="31" t="n">
        <x:f>E143-D143</x:f>
        <x:v>-0.010000000000005116</x:v>
      </x:c>
      <x:c r="G143" s="26" t="str">
        <x:v>仅接近（不超过0.15美元）</x:v>
      </x:c>
      <x:c r="H143" s="31" t="n">
        <x:v>44.517</x:v>
      </x:c>
      <x:c r="I143" s="31" t="n">
        <x:v>40.47</x:v>
      </x:c>
      <x:c r="J143" s="31" t="n">
        <x:v>40.47</x:v>
      </x:c>
      <x:c r="K143" s="26" t="str">
        <x:v>分项加总一致</x:v>
      </x:c>
      <x:c r="L143" s="31" t="n">
        <x:v>44.517</x:v>
      </x:c>
      <x:c r="M143" s="31" t="n">
        <x:f>L143-H143</x:f>
        <x:v>0</x:v>
      </x:c>
      <x:c r="N143" s="26" t="str">
        <x:v>一致（按此前统一收费口径）</x:v>
      </x:c>
      <x:c r="O143" s="26" t="n">
        <x:v>255</x:v>
      </x:c>
      <x:c r="P143" s="26" t="str">
        <x:v>反推假设：25lb、Zone7（账单Zone7）。
标准运费46.51×61%≈28.37
＋假设折后附加费0.00
＋燃油(28.37＋0.00)×25.25%≈7.16
＝预估承运成本35.53
按既有收费规则折算→预付39.08；与原预付差-0.01。</x:v>
      </x:c>
      <x:c r="Q143" s="26" t="str">
        <x:v>运输费52.96
−折扣20.65
＋燃油8.16
＝承运净额40.47
账单实收44.517（按既有收费规则）</x:v>
      </x:c>
    </x:row>
    <x:row r="144" ht="120" customHeight="1">
      <x:c r="A144" s="26" t="n">
        <x:v>143</x:v>
      </x:c>
      <x:c r="B144" s="26" t="str">
        <x:v>873915271930</x:v>
      </x:c>
      <x:c r="C144" s="26" t="str">
        <x:v>AC70</x:v>
      </x:c>
      <x:c r="D144" s="31" t="n">
        <x:v>23.66</x:v>
      </x:c>
      <x:c r="E144" s="31" t="n">
        <x:v>25.2</x:v>
      </x:c>
      <x:c r="F144" s="31" t="n">
        <x:f>E144-D144</x:f>
        <x:v>1.5399999999999991</x:v>
      </x:c>
      <x:c r="G144" s="26" t="str">
        <x:v>未对上</x:v>
      </x:c>
      <x:c r="H144" s="31" t="n">
        <x:v>29.073</x:v>
      </x:c>
      <x:c r="I144" s="31" t="n">
        <x:v>26.43</x:v>
      </x:c>
      <x:c r="J144" s="31" t="n">
        <x:v>26.43</x:v>
      </x:c>
      <x:c r="K144" s="26" t="str">
        <x:v>分项加总一致</x:v>
      </x:c>
      <x:c r="L144" s="31" t="n">
        <x:v>29.073</x:v>
      </x:c>
      <x:c r="M144" s="31" t="n">
        <x:f>L144-H144</x:f>
        <x:v>0</x:v>
      </x:c>
      <x:c r="N144" s="26" t="str">
        <x:v>一致（按此前统一收费口径）</x:v>
      </x:c>
      <x:c r="O144" s="26" t="n">
        <x:v>328</x:v>
      </x:c>
      <x:c r="P144" s="26" t="str">
        <x:v>反推假设：18lb、Zone6（账单Zone5）。
标准运费30.05×61%≈18.33
＋假设折后附加费0.00
＋燃油(18.33＋0.00)×25.00%≈4.58
＝预估承运成本22.91
按既有收费规则折算→预付25.20；与原预付差+1.54。</x:v>
      </x:c>
      <x:c r="Q144" s="26" t="str">
        <x:v>运输费34.65
−折扣13.51
＋燃油5.29
＝承运净额26.43
账单实收29.073（按既有收费规则）</x:v>
      </x:c>
    </x:row>
    <x:row r="145" ht="120" customHeight="1">
      <x:c r="A145" s="26" t="n">
        <x:v>144</x:v>
      </x:c>
      <x:c r="B145" s="26" t="str">
        <x:v>873109425609</x:v>
      </x:c>
      <x:c r="C145" s="26"/>
      <x:c r="D145" s="31" t="n">
        <x:v>39.03</x:v>
      </x:c>
      <x:c r="E145" s="31" t="n">
        <x:v>19.03</x:v>
      </x:c>
      <x:c r="F145" s="31" t="n">
        <x:f>E145-D145</x:f>
        <x:v>-20</x:v>
      </x:c>
      <x:c r="G145" s="26" t="str">
        <x:v>未对上</x:v>
      </x:c>
      <x:c r="H145" s="31" t="n">
        <x:v>44.376</x:v>
      </x:c>
      <x:c r="I145" s="31" t="n">
        <x:v>36.98</x:v>
      </x:c>
      <x:c r="J145" s="31" t="n">
        <x:v>36.98</x:v>
      </x:c>
      <x:c r="K145" s="26" t="str">
        <x:v>分项加总一致</x:v>
      </x:c>
      <x:c r="L145" s="31" t="n">
        <x:v>40.678</x:v>
      </x:c>
      <x:c r="M145" s="31" t="n">
        <x:f>L145-H145</x:f>
        <x:v>-3.6980000000000004</x:v>
      </x:c>
      <x:c r="N145" s="26" t="str">
        <x:v>未对上，收费口径待确认</x:v>
      </x:c>
      <x:c r="O145" s="26" t="n">
        <x:v>89</x:v>
      </x:c>
      <x:c r="P145" s="26" t="str">
        <x:v>反推假设：7lb、Zone8（账单Zone8）。
标准运费22.51×61%≈13.73
＋假设折后附加费0.00
＋燃油(13.73＋0.00)×26.00%≈3.57
＝预估承运成本17.30
按既有收费规则折算→预付19.03；与原预付差-20.00。</x:v>
      </x:c>
      <x:c r="Q145" s="26" t="str">
        <x:v>运输费31.27
−折扣8.44
＋Residential Delivery 3.22
＋DAS Residential 3.30
＋燃油7.63
＝承运净额36.98
账单实收44.376（按既有收费规则）</x:v>
      </x:c>
    </x:row>
    <x:row r="146" ht="120" customHeight="1">
      <x:c r="A146" s="26" t="n">
        <x:v>145</x:v>
      </x:c>
      <x:c r="B146" s="26" t="str">
        <x:v>873109427428</x:v>
      </x:c>
      <x:c r="C146" s="26"/>
      <x:c r="D146" s="31" t="n">
        <x:v>39.03</x:v>
      </x:c>
      <x:c r="E146" s="31" t="n">
        <x:v>19.03</x:v>
      </x:c>
      <x:c r="F146" s="31" t="n">
        <x:f>E146-D146</x:f>
        <x:v>-20</x:v>
      </x:c>
      <x:c r="G146" s="26" t="str">
        <x:v>未对上</x:v>
      </x:c>
      <x:c r="H146" s="31" t="n">
        <x:v>44.376</x:v>
      </x:c>
      <x:c r="I146" s="31" t="n">
        <x:v>36.98</x:v>
      </x:c>
      <x:c r="J146" s="31" t="n">
        <x:v>36.98</x:v>
      </x:c>
      <x:c r="K146" s="26" t="str">
        <x:v>分项加总一致</x:v>
      </x:c>
      <x:c r="L146" s="31" t="n">
        <x:v>40.678</x:v>
      </x:c>
      <x:c r="M146" s="31" t="n">
        <x:f>L146-H146</x:f>
        <x:v>-3.6980000000000004</x:v>
      </x:c>
      <x:c r="N146" s="26" t="str">
        <x:v>未对上，收费口径待确认</x:v>
      </x:c>
      <x:c r="O146" s="26" t="n">
        <x:v>94</x:v>
      </x:c>
      <x:c r="P146" s="26" t="str">
        <x:v>反推假设：7lb、Zone8（账单Zone8）。
标准运费22.51×61%≈13.73
＋假设折后附加费0.00
＋燃油(13.73＋0.00)×26.00%≈3.57
＝预估承运成本17.30
按既有收费规则折算→预付19.03；与原预付差-20.00。</x:v>
      </x:c>
      <x:c r="Q146" s="26" t="str">
        <x:v>运输费31.27
−折扣8.44
＋Residential Delivery 3.22
＋DAS Residential 3.30
＋燃油7.63
＝承运净额36.98
账单实收44.376（按既有收费规则）</x:v>
      </x:c>
    </x:row>
    <x:row r="147" ht="120" customHeight="1">
      <x:c r="A147" s="26" t="n">
        <x:v>146</x:v>
      </x:c>
      <x:c r="B147" s="26" t="str">
        <x:v>873109426101</x:v>
      </x:c>
      <x:c r="C147" s="26"/>
      <x:c r="D147" s="31" t="n">
        <x:v>40.7</x:v>
      </x:c>
      <x:c r="E147" s="31" t="n">
        <x:v>19.03</x:v>
      </x:c>
      <x:c r="F147" s="31" t="n">
        <x:f>E147-D147</x:f>
        <x:v>-21.67</x:v>
      </x:c>
      <x:c r="G147" s="26" t="str">
        <x:v>未对上</x:v>
      </x:c>
      <x:c r="H147" s="31" t="n">
        <x:v>46.044</x:v>
      </x:c>
      <x:c r="I147" s="31" t="n">
        <x:v>38.37</x:v>
      </x:c>
      <x:c r="J147" s="31" t="n">
        <x:v>38.37</x:v>
      </x:c>
      <x:c r="K147" s="26" t="str">
        <x:v>分项加总一致</x:v>
      </x:c>
      <x:c r="L147" s="31" t="n">
        <x:v>42.207</x:v>
      </x:c>
      <x:c r="M147" s="31" t="n">
        <x:f>L147-H147</x:f>
        <x:v>-3.836999999999996</x:v>
      </x:c>
      <x:c r="N147" s="26" t="str">
        <x:v>未对上，收费口径待确认</x:v>
      </x:c>
      <x:c r="O147" s="26" t="n">
        <x:v>91</x:v>
      </x:c>
      <x:c r="P147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Q147" s="26" t="str">
        <x:v>运输费31.27
−折扣8.44
＋Residential Delivery 3.22
＋DAS Extended Residential 4.40
＋燃油7.92
＝承运净额38.37
账单实收46.044（按既有收费规则）</x:v>
      </x:c>
    </x:row>
    <x:row r="148" ht="120" customHeight="1">
      <x:c r="A148" s="26" t="n">
        <x:v>147</x:v>
      </x:c>
      <x:c r="B148" s="26" t="str">
        <x:v>873109426156</x:v>
      </x:c>
      <x:c r="C148" s="26"/>
      <x:c r="D148" s="31" t="n">
        <x:v>40.7</x:v>
      </x:c>
      <x:c r="E148" s="31" t="n">
        <x:v>19.03</x:v>
      </x:c>
      <x:c r="F148" s="31" t="n">
        <x:f>E148-D148</x:f>
        <x:v>-21.67</x:v>
      </x:c>
      <x:c r="G148" s="26" t="str">
        <x:v>未对上</x:v>
      </x:c>
      <x:c r="H148" s="31" t="n">
        <x:v>46.044</x:v>
      </x:c>
      <x:c r="I148" s="31" t="n">
        <x:v>38.37</x:v>
      </x:c>
      <x:c r="J148" s="31" t="n">
        <x:v>38.37</x:v>
      </x:c>
      <x:c r="K148" s="26" t="str">
        <x:v>分项加总一致</x:v>
      </x:c>
      <x:c r="L148" s="31" t="n">
        <x:v>42.207</x:v>
      </x:c>
      <x:c r="M148" s="31" t="n">
        <x:f>L148-H148</x:f>
        <x:v>-3.836999999999996</x:v>
      </x:c>
      <x:c r="N148" s="26" t="str">
        <x:v>未对上，收费口径待确认</x:v>
      </x:c>
      <x:c r="O148" s="26" t="n">
        <x:v>100</x:v>
      </x:c>
      <x:c r="P148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Q148" s="26" t="str">
        <x:v>运输费31.27
−折扣8.44
＋Residential Delivery 3.22
＋DAS Extended Residential 4.40
＋燃油7.92
＝承运净额38.37
账单实收46.044（按既有收费规则）</x:v>
      </x:c>
    </x:row>
    <x:row r="149" ht="120" customHeight="1">
      <x:c r="A149" s="26" t="n">
        <x:v>148</x:v>
      </x:c>
      <x:c r="B149" s="26" t="str">
        <x:v>873109426329</x:v>
      </x:c>
      <x:c r="C149" s="26"/>
      <x:c r="D149" s="31" t="n">
        <x:v>40.7</x:v>
      </x:c>
      <x:c r="E149" s="31" t="n">
        <x:v>19.03</x:v>
      </x:c>
      <x:c r="F149" s="31" t="n">
        <x:f>E149-D149</x:f>
        <x:v>-21.67</x:v>
      </x:c>
      <x:c r="G149" s="26" t="str">
        <x:v>未对上</x:v>
      </x:c>
      <x:c r="H149" s="31" t="n">
        <x:v>46.044</x:v>
      </x:c>
      <x:c r="I149" s="31" t="n">
        <x:v>38.37</x:v>
      </x:c>
      <x:c r="J149" s="31" t="n">
        <x:v>38.37</x:v>
      </x:c>
      <x:c r="K149" s="26" t="str">
        <x:v>分项加总一致</x:v>
      </x:c>
      <x:c r="L149" s="31" t="n">
        <x:v>42.207</x:v>
      </x:c>
      <x:c r="M149" s="31" t="n">
        <x:f>L149-H149</x:f>
        <x:v>-3.836999999999996</x:v>
      </x:c>
      <x:c r="N149" s="26" t="str">
        <x:v>未对上，收费口径待确认</x:v>
      </x:c>
      <x:c r="O149" s="26" t="n">
        <x:v>92</x:v>
      </x:c>
      <x:c r="P149" s="26" t="str">
        <x:v>反推假设：7lb、Zone8（账单Zone8）。
标准运费22.51×61%≈13.73
＋假设折后附加费0.00
＋燃油(13.73＋0.00)×26.00%≈3.57
＝预估承运成本17.30
按既有收费规则折算→预付19.03；与原预付差-21.67。</x:v>
      </x:c>
      <x:c r="Q149" s="26" t="str">
        <x:v>运输费31.27
−折扣8.44
＋Residential Delivery 3.22
＋DAS Extended Residential 4.40
＋燃油7.92
＝承运净额38.37
账单实收46.044（按既有收费规则）</x:v>
      </x:c>
    </x:row>
    <x:row r="150" ht="120" customHeight="1">
      <x:c r="A150" s="26" t="n">
        <x:v>149</x:v>
      </x:c>
      <x:c r="B150" s="26" t="str">
        <x:v>873109426178</x:v>
      </x:c>
      <x:c r="C150" s="26"/>
      <x:c r="D150" s="31" t="n">
        <x:v>34.05</x:v>
      </x:c>
      <x:c r="E150" s="31" t="n">
        <x:v>19.03</x:v>
      </x:c>
      <x:c r="F150" s="31" t="n">
        <x:f>E150-D150</x:f>
        <x:v>-15.019999999999996</x:v>
      </x:c>
      <x:c r="G150" s="26" t="str">
        <x:v>未对上</x:v>
      </x:c>
      <x:c r="H150" s="31" t="n">
        <x:v>39.384</x:v>
      </x:c>
      <x:c r="I150" s="31" t="n">
        <x:v>32.82</x:v>
      </x:c>
      <x:c r="J150" s="31" t="n">
        <x:v>32.82</x:v>
      </x:c>
      <x:c r="K150" s="26" t="str">
        <x:v>分项加总一致</x:v>
      </x:c>
      <x:c r="L150" s="31" t="n">
        <x:v>36.102</x:v>
      </x:c>
      <x:c r="M150" s="31" t="n">
        <x:f>L150-H150</x:f>
        <x:v>-3.2820000000000036</x:v>
      </x:c>
      <x:c r="N150" s="26" t="str">
        <x:v>未对上，收费口径待确认</x:v>
      </x:c>
      <x:c r="O150" s="26" t="n">
        <x:v>33</x:v>
      </x:c>
      <x:c r="P150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Q150" s="26" t="str">
        <x:v>运输费31.27
−折扣8.44
＋Residential Delivery 3.22
＋燃油6.77
＝承运净额32.82
账单实收39.384（按既有收费规则）</x:v>
      </x:c>
    </x:row>
    <x:row r="151" ht="120" customHeight="1">
      <x:c r="A151" s="26" t="n">
        <x:v>150</x:v>
      </x:c>
      <x:c r="B151" s="26" t="str">
        <x:v>873109425778</x:v>
      </x:c>
      <x:c r="C151" s="26"/>
      <x:c r="D151" s="31" t="n">
        <x:v>34.05</x:v>
      </x:c>
      <x:c r="E151" s="31" t="n">
        <x:v>19.03</x:v>
      </x:c>
      <x:c r="F151" s="31" t="n">
        <x:f>E151-D151</x:f>
        <x:v>-15.019999999999996</x:v>
      </x:c>
      <x:c r="G151" s="26" t="str">
        <x:v>未对上</x:v>
      </x:c>
      <x:c r="H151" s="31" t="n">
        <x:v>39.384</x:v>
      </x:c>
      <x:c r="I151" s="31" t="n">
        <x:v>32.82</x:v>
      </x:c>
      <x:c r="J151" s="31" t="n">
        <x:v>32.82</x:v>
      </x:c>
      <x:c r="K151" s="26" t="str">
        <x:v>分项加总一致</x:v>
      </x:c>
      <x:c r="L151" s="31" t="n">
        <x:v>36.102</x:v>
      </x:c>
      <x:c r="M151" s="31" t="n">
        <x:f>L151-H151</x:f>
        <x:v>-3.2820000000000036</x:v>
      </x:c>
      <x:c r="N151" s="26" t="str">
        <x:v>未对上，收费口径待确认</x:v>
      </x:c>
      <x:c r="O151" s="26" t="n">
        <x:v>26</x:v>
      </x:c>
      <x:c r="P151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Q151" s="26" t="str">
        <x:v>运输费31.27
−折扣8.44
＋Residential Delivery 3.22
＋燃油6.77
＝承运净额32.82
账单实收39.384（按既有收费规则）</x:v>
      </x:c>
    </x:row>
    <x:row r="152" ht="120" customHeight="1">
      <x:c r="A152" s="26" t="n">
        <x:v>151</x:v>
      </x:c>
      <x:c r="B152" s="26" t="str">
        <x:v>873109427862</x:v>
      </x:c>
      <x:c r="C152" s="26"/>
      <x:c r="D152" s="31" t="n">
        <x:v>34.05</x:v>
      </x:c>
      <x:c r="E152" s="31" t="n">
        <x:v>19.03</x:v>
      </x:c>
      <x:c r="F152" s="31" t="n">
        <x:f>E152-D152</x:f>
        <x:v>-15.019999999999996</x:v>
      </x:c>
      <x:c r="G152" s="26" t="str">
        <x:v>未对上</x:v>
      </x:c>
      <x:c r="H152" s="31" t="n">
        <x:v>39.384</x:v>
      </x:c>
      <x:c r="I152" s="31" t="n">
        <x:v>32.82</x:v>
      </x:c>
      <x:c r="J152" s="31" t="n">
        <x:v>32.82</x:v>
      </x:c>
      <x:c r="K152" s="26" t="str">
        <x:v>分项加总一致</x:v>
      </x:c>
      <x:c r="L152" s="31" t="n">
        <x:v>36.102</x:v>
      </x:c>
      <x:c r="M152" s="31" t="n">
        <x:f>L152-H152</x:f>
        <x:v>-3.2820000000000036</x:v>
      </x:c>
      <x:c r="N152" s="26" t="str">
        <x:v>未对上，收费口径待确认</x:v>
      </x:c>
      <x:c r="O152" s="26" t="n">
        <x:v>95</x:v>
      </x:c>
      <x:c r="P152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Q152" s="26" t="str">
        <x:v>运输费31.27
−折扣8.44
＋Residential Delivery 3.22
＋燃油6.77
＝承运净额32.82
账单实收39.384（按既有收费规则）</x:v>
      </x:c>
    </x:row>
    <x:row r="153" ht="120" customHeight="1">
      <x:c r="A153" s="26" t="n">
        <x:v>152</x:v>
      </x:c>
      <x:c r="B153" s="26" t="str">
        <x:v>873109425403</x:v>
      </x:c>
      <x:c r="C153" s="26"/>
      <x:c r="D153" s="31" t="n">
        <x:v>34.05</x:v>
      </x:c>
      <x:c r="E153" s="31" t="n">
        <x:v>19.03</x:v>
      </x:c>
      <x:c r="F153" s="31" t="n">
        <x:f>E153-D153</x:f>
        <x:v>-15.019999999999996</x:v>
      </x:c>
      <x:c r="G153" s="26" t="str">
        <x:v>未对上</x:v>
      </x:c>
      <x:c r="H153" s="31" t="n">
        <x:v>39.384</x:v>
      </x:c>
      <x:c r="I153" s="31" t="n">
        <x:v>32.82</x:v>
      </x:c>
      <x:c r="J153" s="31" t="n">
        <x:v>32.82</x:v>
      </x:c>
      <x:c r="K153" s="26" t="str">
        <x:v>分项加总一致</x:v>
      </x:c>
      <x:c r="L153" s="31" t="n">
        <x:v>36.102</x:v>
      </x:c>
      <x:c r="M153" s="31" t="n">
        <x:f>L153-H153</x:f>
        <x:v>-3.2820000000000036</x:v>
      </x:c>
      <x:c r="N153" s="26" t="str">
        <x:v>未对上，收费口径待确认</x:v>
      </x:c>
      <x:c r="O153" s="26" t="n">
        <x:v>88</x:v>
      </x:c>
      <x:c r="P153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Q153" s="26" t="str">
        <x:v>运输费31.27
−折扣8.44
＋Residential Delivery 3.22
＋燃油6.77
＝承运净额32.82
账单实收39.384（按既有收费规则）</x:v>
      </x:c>
    </x:row>
    <x:row r="154" ht="120" customHeight="1">
      <x:c r="A154" s="26" t="n">
        <x:v>153</x:v>
      </x:c>
      <x:c r="B154" s="26" t="str">
        <x:v>873109426362</x:v>
      </x:c>
      <x:c r="C154" s="26"/>
      <x:c r="D154" s="31" t="n">
        <x:v>34.05</x:v>
      </x:c>
      <x:c r="E154" s="31" t="n">
        <x:v>19.03</x:v>
      </x:c>
      <x:c r="F154" s="31" t="n">
        <x:f>E154-D154</x:f>
        <x:v>-15.019999999999996</x:v>
      </x:c>
      <x:c r="G154" s="26" t="str">
        <x:v>未对上</x:v>
      </x:c>
      <x:c r="H154" s="31" t="n">
        <x:v>39.384</x:v>
      </x:c>
      <x:c r="I154" s="31" t="n">
        <x:v>32.82</x:v>
      </x:c>
      <x:c r="J154" s="31" t="n">
        <x:v>32.82</x:v>
      </x:c>
      <x:c r="K154" s="26" t="str">
        <x:v>分项加总一致</x:v>
      </x:c>
      <x:c r="L154" s="31" t="n">
        <x:v>36.102</x:v>
      </x:c>
      <x:c r="M154" s="31" t="n">
        <x:f>L154-H154</x:f>
        <x:v>-3.2820000000000036</x:v>
      </x:c>
      <x:c r="N154" s="26" t="str">
        <x:v>未对上，收费口径待确认</x:v>
      </x:c>
      <x:c r="O154" s="26" t="n">
        <x:v>93</x:v>
      </x:c>
      <x:c r="P154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Q154" s="26" t="str">
        <x:v>运输费31.27
−折扣8.44
＋Residential Delivery 3.22
＋燃油6.77
＝承运净额32.82
账单实收39.384（按既有收费规则）</x:v>
      </x:c>
    </x:row>
    <x:row r="155" ht="120" customHeight="1">
      <x:c r="A155" s="26" t="n">
        <x:v>154</x:v>
      </x:c>
      <x:c r="B155" s="26" t="str">
        <x:v>873109426866</x:v>
      </x:c>
      <x:c r="C155" s="26"/>
      <x:c r="D155" s="31" t="n">
        <x:v>34.05</x:v>
      </x:c>
      <x:c r="E155" s="31" t="n">
        <x:v>19.03</x:v>
      </x:c>
      <x:c r="F155" s="31" t="n">
        <x:f>E155-D155</x:f>
        <x:v>-15.019999999999996</x:v>
      </x:c>
      <x:c r="G155" s="26" t="str">
        <x:v>未对上</x:v>
      </x:c>
      <x:c r="H155" s="31" t="n">
        <x:v>39.384</x:v>
      </x:c>
      <x:c r="I155" s="31" t="n">
        <x:v>32.82</x:v>
      </x:c>
      <x:c r="J155" s="31" t="n">
        <x:v>32.82</x:v>
      </x:c>
      <x:c r="K155" s="26" t="str">
        <x:v>分项加总一致</x:v>
      </x:c>
      <x:c r="L155" s="31" t="n">
        <x:v>36.102</x:v>
      </x:c>
      <x:c r="M155" s="31" t="n">
        <x:f>L155-H155</x:f>
        <x:v>-3.2820000000000036</x:v>
      </x:c>
      <x:c r="N155" s="26" t="str">
        <x:v>未对上，收费口径待确认</x:v>
      </x:c>
      <x:c r="O155" s="26" t="n">
        <x:v>74</x:v>
      </x:c>
      <x:c r="P155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Q155" s="26" t="str">
        <x:v>运输费31.27
−折扣8.44
＋Residential Delivery 3.22
＋燃油6.77
＝承运净额32.82
账单实收39.384（按既有收费规则）</x:v>
      </x:c>
    </x:row>
    <x:row r="156" ht="120" customHeight="1">
      <x:c r="A156" s="26" t="n">
        <x:v>155</x:v>
      </x:c>
      <x:c r="B156" s="26" t="str">
        <x:v>873109425701</x:v>
      </x:c>
      <x:c r="C156" s="26"/>
      <x:c r="D156" s="31" t="n">
        <x:v>34.05</x:v>
      </x:c>
      <x:c r="E156" s="31" t="n">
        <x:v>19.03</x:v>
      </x:c>
      <x:c r="F156" s="31" t="n">
        <x:f>E156-D156</x:f>
        <x:v>-15.019999999999996</x:v>
      </x:c>
      <x:c r="G156" s="26" t="str">
        <x:v>未对上</x:v>
      </x:c>
      <x:c r="H156" s="31" t="n">
        <x:v>39.384</x:v>
      </x:c>
      <x:c r="I156" s="31" t="n">
        <x:v>32.82</x:v>
      </x:c>
      <x:c r="J156" s="31" t="n">
        <x:v>32.82</x:v>
      </x:c>
      <x:c r="K156" s="26" t="str">
        <x:v>分项加总一致</x:v>
      </x:c>
      <x:c r="L156" s="31" t="n">
        <x:v>36.102</x:v>
      </x:c>
      <x:c r="M156" s="31" t="n">
        <x:f>L156-H156</x:f>
        <x:v>-3.2820000000000036</x:v>
      </x:c>
      <x:c r="N156" s="26" t="str">
        <x:v>未对上，收费口径待确认</x:v>
      </x:c>
      <x:c r="O156" s="26" t="n">
        <x:v>90</x:v>
      </x:c>
      <x:c r="P156" s="26" t="str">
        <x:v>反推假设：7lb、Zone8（账单Zone8）。
标准运费22.51×61%≈13.73
＋假设折后附加费0.00
＋燃油(13.73＋0.00)×26.00%≈3.57
＝预估承运成本17.30
按既有收费规则折算→预付19.03；与原预付差-15.02。</x:v>
      </x:c>
      <x:c r="Q156" s="26" t="str">
        <x:v>运输费31.27
−折扣8.44
＋Residential Delivery 3.22
＋燃油6.77
＝承运净额32.82
账单实收39.384（按既有收费规则）</x:v>
      </x:c>
    </x:row>
    <x:row r="157" ht="120" customHeight="1">
      <x:c r="A157" s="26" t="n">
        <x:v>156</x:v>
      </x:c>
      <x:c r="B157" s="26" t="str">
        <x:v>874399527902</x:v>
      </x:c>
      <x:c r="C157" s="26" t="str">
        <x:v>AC300</x:v>
      </x:c>
      <x:c r="D157" s="31" t="n">
        <x:v>56.27</x:v>
      </x:c>
      <x:c r="E157" s="31" t="n">
        <x:v>56.28</x:v>
      </x:c>
      <x:c r="F157" s="31" t="n">
        <x:f>E157-D157</x:f>
        <x:v>0.00999999999999801</x:v>
      </x:c>
      <x:c r="G157" s="26" t="str">
        <x:v>仅接近（不超过0.15美元）</x:v>
      </x:c>
      <x:c r="H157" s="31" t="n">
        <x:v>61.6</x:v>
      </x:c>
      <x:c r="I157" s="31" t="n">
        <x:v>56</x:v>
      </x:c>
      <x:c r="J157" s="31" t="n">
        <x:v>56</x:v>
      </x:c>
      <x:c r="K157" s="26" t="str">
        <x:v>分项加总一致</x:v>
      </x:c>
      <x:c r="L157" s="31" t="n">
        <x:v>61.6</x:v>
      </x:c>
      <x:c r="M157" s="31" t="n">
        <x:f>L157-H157</x:f>
        <x:v>0</x:v>
      </x:c>
      <x:c r="N157" s="26" t="str">
        <x:v>一致（按此前统一收费口径）</x:v>
      </x:c>
      <x:c r="O157" s="26" t="n">
        <x:v>421</x:v>
      </x:c>
      <x:c r="P157" s="26" t="str">
        <x:v>反推假设：56lb、Zone2（账单Zone2）。
标准运费29.40×61%≈17.93
＋假设折后附加费23.00
＋燃油(17.93＋23.00)×25.00%≈10.23
＝预估承运成本51.16
按既有收费规则折算→预付56.28；与原预付差+0.01。</x:v>
      </x:c>
      <x:c r="Q157" s="26" t="str">
        <x:v>运输费35.73
−折扣13.93
＋Add'l Handling-Weight 23.00
＋燃油11.20
＝承运净额56.00
账单实收61.600（按既有收费规则）</x:v>
      </x:c>
    </x:row>
    <x:row r="158" ht="120" customHeight="1">
      <x:c r="A158" s="26" t="n">
        <x:v>157</x:v>
      </x:c>
      <x:c r="B158" s="26" t="str">
        <x:v>873243819966</x:v>
      </x:c>
      <x:c r="C158" s="26" t="str">
        <x:v>EL100V2</x:v>
      </x:c>
      <x:c r="D158" s="31" t="n">
        <x:v>32.47</x:v>
      </x:c>
      <x:c r="E158" s="31" t="n">
        <x:v>32.47</x:v>
      </x:c>
      <x:c r="F158" s="31" t="n">
        <x:f>E158-D158</x:f>
        <x:v>0</x:v>
      </x:c>
      <x:c r="G158" s="26" t="str">
        <x:v>一致（精确到美分）</x:v>
      </x:c>
      <x:c r="H158" s="31" t="n">
        <x:v>37.774</x:v>
      </x:c>
      <x:c r="I158" s="31" t="n">
        <x:v>34.34</x:v>
      </x:c>
      <x:c r="J158" s="31" t="n">
        <x:v>34.34</x:v>
      </x:c>
      <x:c r="K158" s="26" t="str">
        <x:v>分项加总一致</x:v>
      </x:c>
      <x:c r="L158" s="31" t="n">
        <x:v>37.774</x:v>
      </x:c>
      <x:c r="M158" s="31" t="n">
        <x:f>L158-H158</x:f>
        <x:v>0</x:v>
      </x:c>
      <x:c r="N158" s="26" t="str">
        <x:v>一致（按此前统一收费口径）</x:v>
      </x:c>
      <x:c r="O158" s="26" t="n">
        <x:v>86</x:v>
      </x:c>
      <x:c r="P158" s="26" t="str">
        <x:v>反推假设：25lb、Zone6（账单Zone6）。
标准运费38.41×61%≈23.43
＋假设折后附加费0.00
＋燃油(23.43＋0.00)×26.00%≈6.09
＝预估承运成本29.52
按既有收费规则折算→预付32.47；与原预付差+0.00。</x:v>
      </x:c>
      <x:c r="Q158" s="26" t="str">
        <x:v>运输费44.68
−折扣17.43
＋燃油7.09
＝承运净额34.34
账单实收37.774（按既有收费规则）</x:v>
      </x:c>
    </x:row>
    <x:row r="159" ht="120" customHeight="1">
      <x:c r="A159" s="26" t="n">
        <x:v>158</x:v>
      </x:c>
      <x:c r="B159" s="26" t="str">
        <x:v>873185263260</x:v>
      </x:c>
      <x:c r="C159" s="26" t="str">
        <x:v>EL100V2</x:v>
      </x:c>
      <x:c r="D159" s="31" t="n">
        <x:v>18.28</x:v>
      </x:c>
      <x:c r="E159" s="31" t="n">
        <x:v>18.28</x:v>
      </x:c>
      <x:c r="F159" s="31" t="n">
        <x:f>E159-D159</x:f>
        <x:v>0</x:v>
      </x:c>
      <x:c r="G159" s="26" t="str">
        <x:v>一致（精确到美分）</x:v>
      </x:c>
      <x:c r="H159" s="31" t="n">
        <x:v>23.551</x:v>
      </x:c>
      <x:c r="I159" s="31" t="n">
        <x:v>21.41</x:v>
      </x:c>
      <x:c r="J159" s="31" t="n">
        <x:v>21.41</x:v>
      </x:c>
      <x:c r="K159" s="26" t="str">
        <x:v>分项加总一致</x:v>
      </x:c>
      <x:c r="L159" s="31" t="n">
        <x:v>23.551</x:v>
      </x:c>
      <x:c r="M159" s="31" t="n">
        <x:f>L159-H159</x:f>
        <x:v>0</x:v>
      </x:c>
      <x:c r="N159" s="26" t="str">
        <x:v>一致（按此前统一收费口径）</x:v>
      </x:c>
      <x:c r="O159" s="26" t="n">
        <x:v>66</x:v>
      </x:c>
      <x:c r="P159" s="26" t="str">
        <x:v>反推假设：26lb、Zone2（账单Zone3）。
标准运费21.62×61%≈13.19
＋假设折后附加费0.00
＋燃油(13.19＋0.00)×26.00%≈3.43
＝预估承运成本16.62
按既有收费规则折算→预付18.28；与原预付差+0.00。</x:v>
      </x:c>
      <x:c r="Q159" s="26" t="str">
        <x:v>运输费27.86
−折扣10.87
＋燃油4.42
＝承运净额21.41
账单实收23.551（按既有收费规则）</x:v>
      </x:c>
    </x:row>
    <x:row r="160" ht="120" customHeight="1">
      <x:c r="A160" s="26" t="n">
        <x:v>159</x:v>
      </x:c>
      <x:c r="B160" s="26" t="str">
        <x:v>874871743570</x:v>
      </x:c>
      <x:c r="C160" s="26" t="str">
        <x:v>EL300</x:v>
      </x:c>
      <x:c r="D160" s="31" t="n">
        <x:v>65.68</x:v>
      </x:c>
      <x:c r="E160" s="31" t="n">
        <x:v>65.96</x:v>
      </x:c>
      <x:c r="F160" s="31" t="n">
        <x:f>E160-D160</x:f>
        <x:v>0.2799999999999869</x:v>
      </x:c>
      <x:c r="G160" s="26" t="str">
        <x:v>未对上</x:v>
      </x:c>
      <x:c r="H160" s="31" t="n">
        <x:v>70.906</x:v>
      </x:c>
      <x:c r="I160" s="31" t="n">
        <x:v>64.46</x:v>
      </x:c>
      <x:c r="J160" s="31" t="n">
        <x:v>64.46</x:v>
      </x:c>
      <x:c r="K160" s="26" t="str">
        <x:v>分项加总一致</x:v>
      </x:c>
      <x:c r="L160" s="31" t="n">
        <x:v>70.906</x:v>
      </x:c>
      <x:c r="M160" s="31" t="n">
        <x:f>L160-H160</x:f>
        <x:v>0</x:v>
      </x:c>
      <x:c r="N160" s="26" t="str">
        <x:v>一致（按此前统一收费口径）</x:v>
      </x:c>
      <x:c r="O160" s="26" t="n">
        <x:v>563</x:v>
      </x:c>
      <x:c r="P160" s="26" t="str">
        <x:v>反推假设：58lb、Zone3（账单Zone3）。
标准运费36.96×61%≈22.55
＋假设折后附加费25.13
＋燃油(22.55＋25.13)×25.75%≈12.28
＝预估承运成本59.96
按既有收费规则折算→预付65.96；与原预付差+0.28。</x:v>
      </x:c>
      <x:c r="Q160" s="26" t="str">
        <x:v>运输费42.85
−折扣16.71
＋Add'l Handling-Weight 25.12
＋燃油13.20
＝承运净额64.46
账单实收70.906（按既有收费规则）</x:v>
      </x:c>
    </x:row>
    <x:row r="161" ht="120" customHeight="1">
      <x:c r="A161" s="26" t="n">
        <x:v>160</x:v>
      </x:c>
      <x:c r="B161" s="26" t="str">
        <x:v>875023902513</x:v>
      </x:c>
      <x:c r="C161" s="26" t="str">
        <x:v>EL100V2</x:v>
      </x:c>
      <x:c r="D161" s="31" t="n">
        <x:v>25.39</x:v>
      </x:c>
      <x:c r="E161" s="31"/>
      <x:c r="F161" s="31"/>
      <x:c r="G161" s="26" t="str">
        <x:v>缺明细，无法试算</x:v>
      </x:c>
      <x:c r="H161" s="31" t="n">
        <x:v>30.404</x:v>
      </x:c>
      <x:c r="I161" s="31"/>
      <x:c r="J161" s="31"/>
      <x:c r="K161" s="26" t="str">
        <x:v>缺核对明细</x:v>
      </x:c>
      <x:c r="L161" s="31"/>
      <x:c r="M161" s="31"/>
      <x:c r="N161" s="26" t="str">
        <x:v>缺核对明细，无法核算</x:v>
      </x:c>
      <x:c r="O161" s="26"/>
      <x:c r="P161" s="26" t="str">
        <x:v>缺核对明细，无法重建预付；原预付仅按基础表保留。</x:v>
      </x:c>
      <x:c r="Q161" s="26" t="str">
        <x:v>缺原始核对明细，无法拆分。</x:v>
      </x:c>
    </x:row>
    <x:row r="162" ht="120" customHeight="1">
      <x:c r="A162" s="26" t="n">
        <x:v>161</x:v>
      </x:c>
      <x:c r="B162" s="26" t="str">
        <x:v>873109428001</x:v>
      </x:c>
      <x:c r="C162" s="26"/>
      <x:c r="D162" s="31" t="n">
        <x:v>27.91</x:v>
      </x:c>
      <x:c r="E162" s="31" t="n">
        <x:v>27.89</x:v>
      </x:c>
      <x:c r="F162" s="31" t="n">
        <x:f>E162-D162</x:f>
        <x:v>-0.019999999999999574</x:v>
      </x:c>
      <x:c r="G162" s="26" t="str">
        <x:v>仅接近（不超过0.15美元）</x:v>
      </x:c>
      <x:c r="H162" s="31" t="n">
        <x:v>32.892</x:v>
      </x:c>
      <x:c r="I162" s="31" t="n">
        <x:v>27.41</x:v>
      </x:c>
      <x:c r="J162" s="31" t="n">
        <x:v>27.41</x:v>
      </x:c>
      <x:c r="K162" s="26" t="str">
        <x:v>分项加总一致</x:v>
      </x:c>
      <x:c r="L162" s="31" t="n">
        <x:v>30.151</x:v>
      </x:c>
      <x:c r="M162" s="31" t="n">
        <x:f>L162-H162</x:f>
        <x:v>-2.741000000000003</x:v>
      </x:c>
      <x:c r="N162" s="26" t="str">
        <x:v>未对上，收费口径待确认</x:v>
      </x:c>
      <x:c r="O162" s="26" t="n">
        <x:v>49</x:v>
      </x:c>
      <x:c r="P162" s="26" t="str">
        <x:v>反推假设：21lb、Zone6（账单Zone3）。
标准运费32.99×61%≈20.12
＋假设折后附加费0.00
＋燃油(20.12＋0.00)×26.00%≈5.23
＝预估承运成本25.35
按既有收费规则折算→预付27.89；与原预付差-0.02。</x:v>
      </x:c>
      <x:c r="Q162" s="26" t="str">
        <x:v>运输费27.25
−折扣8.72
＋Residential Delivery 3.22
＋燃油5.66
＝承运净额27.41
账单实收32.892（按既有收费规则）</x:v>
      </x:c>
    </x:row>
    <x:row r="163" ht="120" customHeight="1">
      <x:c r="A163" s="26" t="n">
        <x:v>162</x:v>
      </x:c>
      <x:c r="B163" s="26" t="str">
        <x:v>873595316833</x:v>
      </x:c>
      <x:c r="C163" s="26" t="str">
        <x:v>AC70</x:v>
      </x:c>
      <x:c r="D163" s="31" t="n">
        <x:v>20.78</x:v>
      </x:c>
      <x:c r="E163" s="31" t="n">
        <x:v>20.69</x:v>
      </x:c>
      <x:c r="F163" s="31" t="n">
        <x:f>E163-D163</x:f>
        <x:v>-0.08999999999999986</x:v>
      </x:c>
      <x:c r="G163" s="26" t="str">
        <x:v>仅接近（不超过0.15美元）</x:v>
      </x:c>
      <x:c r="H163" s="31" t="n">
        <x:v>25.751</x:v>
      </x:c>
      <x:c r="I163" s="31" t="n">
        <x:v>23.41</x:v>
      </x:c>
      <x:c r="J163" s="31" t="n">
        <x:v>23.41</x:v>
      </x:c>
      <x:c r="K163" s="26" t="str">
        <x:v>分项加总一致</x:v>
      </x:c>
      <x:c r="L163" s="31" t="n">
        <x:v>25.751</x:v>
      </x:c>
      <x:c r="M163" s="31" t="n">
        <x:f>L163-H163</x:f>
        <x:v>0</x:v>
      </x:c>
      <x:c r="N163" s="26" t="str">
        <x:v>一致（按此前统一收费口径）</x:v>
      </x:c>
      <x:c r="O163" s="26" t="n">
        <x:v>281</x:v>
      </x:c>
      <x:c r="P163" s="26" t="str">
        <x:v>反推假设：23lb、Zone4（账单Zone4）。
标准运费24.68×61%≈15.05
＋假设折后附加费0.00
＋燃油(15.05＋0.00)×25.00%≈3.76
＝预估承运成本18.81
按既有收费规则折算→预付20.69；与原预付差-0.09。</x:v>
      </x:c>
      <x:c r="Q163" s="26" t="str">
        <x:v>运输费30.70
−折扣11.97
＋燃油4.68
＝承运净额23.41
账单实收25.751（按既有收费规则）</x:v>
      </x:c>
    </x:row>
    <x:row r="164" ht="120" customHeight="1">
      <x:c r="A164" s="26" t="n">
        <x:v>163</x:v>
      </x:c>
      <x:c r="B164" s="26" t="str">
        <x:v>874202849656</x:v>
      </x:c>
      <x:c r="C164" s="26" t="str">
        <x:v>EL100V2</x:v>
      </x:c>
      <x:c r="D164" s="31" t="n">
        <x:v>24.39</x:v>
      </x:c>
      <x:c r="E164" s="31" t="n">
        <x:v>24.44</x:v>
      </x:c>
      <x:c r="F164" s="31" t="n">
        <x:f>E164-D164</x:f>
        <x:v>0.05000000000000071</x:v>
      </x:c>
      <x:c r="G164" s="26" t="str">
        <x:v>仅接近（不超过0.15美元）</x:v>
      </x:c>
      <x:c r="H164" s="31" t="n">
        <x:v>29.348</x:v>
      </x:c>
      <x:c r="I164" s="31" t="n">
        <x:v>26.68</x:v>
      </x:c>
      <x:c r="J164" s="31" t="n">
        <x:v>26.68</x:v>
      </x:c>
      <x:c r="K164" s="26" t="str">
        <x:v>分项加总一致</x:v>
      </x:c>
      <x:c r="L164" s="31" t="n">
        <x:v>29.348</x:v>
      </x:c>
      <x:c r="M164" s="31" t="n">
        <x:f>L164-H164</x:f>
        <x:v>0</x:v>
      </x:c>
      <x:c r="N164" s="26" t="str">
        <x:v>一致（按此前统一收费口径）</x:v>
      </x:c>
      <x:c r="O164" s="26" t="n">
        <x:v>484</x:v>
      </x:c>
      <x:c r="P164" s="26" t="str">
        <x:v>反推假设：23lb、Zone5（账单Zone5）。
标准运费29.09×61%≈17.74
＋假设折后附加费0.00
＋燃油(17.74＋0.00)×25.25%≈4.48
＝预估承运成本22.22
按既有收费规则折算→预付24.44；与原预付差+0.05。</x:v>
      </x:c>
      <x:c r="Q164" s="26" t="str">
        <x:v>运输费34.92
−折扣13.62
＋燃油5.38
＝承运净额26.68
账单实收29.348（按既有收费规则）</x:v>
      </x:c>
    </x:row>
    <x:row r="165" ht="120" customHeight="1">
      <x:c r="A165" s="26" t="n">
        <x:v>164</x:v>
      </x:c>
      <x:c r="B165" s="26" t="str">
        <x:v>874026150582</x:v>
      </x:c>
      <x:c r="C165" s="26" t="str">
        <x:v>EL300</x:v>
      </x:c>
      <x:c r="D165" s="31" t="n">
        <x:v>65.55</x:v>
      </x:c>
      <x:c r="E165" s="31" t="n">
        <x:v>65.56</x:v>
      </x:c>
      <x:c r="F165" s="31" t="n">
        <x:f>E165-D165</x:f>
        <x:v>0.010000000000005116</x:v>
      </x:c>
      <x:c r="G165" s="26" t="str">
        <x:v>仅接近（不超过0.15美元）</x:v>
      </x:c>
      <x:c r="H165" s="31" t="n">
        <x:v>70.488</x:v>
      </x:c>
      <x:c r="I165" s="31" t="n">
        <x:v>64.08</x:v>
      </x:c>
      <x:c r="J165" s="31" t="n">
        <x:v>64.08</x:v>
      </x:c>
      <x:c r="K165" s="26" t="str">
        <x:v>分项加总一致</x:v>
      </x:c>
      <x:c r="L165" s="31" t="n">
        <x:v>70.488</x:v>
      </x:c>
      <x:c r="M165" s="31" t="n">
        <x:f>L165-H165</x:f>
        <x:v>0</x:v>
      </x:c>
      <x:c r="N165" s="26" t="str">
        <x:v>一致（按此前统一收费口径）</x:v>
      </x:c>
      <x:c r="O165" s="26" t="n">
        <x:v>276</x:v>
      </x:c>
      <x:c r="P165" s="26" t="str">
        <x:v>反推假设：58lb、Zone3（账单Zone3）。
标准运费36.96×61%≈22.55
＋假设折后附加费25.13
＋燃油(22.55＋25.13)×25.00%≈11.92
＝预估承运成本59.60
按既有收费规则折算→预付65.56；与原预付差+0.01。</x:v>
      </x:c>
      <x:c r="Q165" s="26" t="str">
        <x:v>运输费42.85
−折扣16.71
＋Add'l Handling-Weight 25.12
＋燃油12.82
＝承运净额64.08
账单实收70.488（按既有收费规则）</x:v>
      </x:c>
    </x:row>
    <x:row r="166" ht="120" customHeight="1">
      <x:c r="A166" s="26" t="n">
        <x:v>165</x:v>
      </x:c>
      <x:c r="B166" s="26" t="str">
        <x:v>873097759126</x:v>
      </x:c>
      <x:c r="C166" s="26" t="str">
        <x:v>AC180</x:v>
      </x:c>
      <x:c r="D166" s="31" t="n">
        <x:v>52.3</x:v>
      </x:c>
      <x:c r="E166" s="31" t="n">
        <x:v>49.31</x:v>
      </x:c>
      <x:c r="F166" s="31" t="n">
        <x:f>E166-D166</x:f>
        <x:v>-2.989999999999995</x:v>
      </x:c>
      <x:c r="G166" s="26" t="str">
        <x:v>未对上</x:v>
      </x:c>
      <x:c r="H166" s="31" t="n">
        <x:v>57.178</x:v>
      </x:c>
      <x:c r="I166" s="31" t="n">
        <x:v>51.98</x:v>
      </x:c>
      <x:c r="J166" s="31" t="n">
        <x:v>51.98</x:v>
      </x:c>
      <x:c r="K166" s="26" t="str">
        <x:v>分项加总一致</x:v>
      </x:c>
      <x:c r="L166" s="31" t="n">
        <x:v>57.178</x:v>
      </x:c>
      <x:c r="M166" s="31" t="n">
        <x:f>L166-H166</x:f>
        <x:v>0</x:v>
      </x:c>
      <x:c r="N166" s="26" t="str">
        <x:v>一致（按此前统一收费口径）</x:v>
      </x:c>
      <x:c r="O166" s="26" t="n">
        <x:v>211</x:v>
      </x:c>
      <x:c r="P166" s="26" t="str">
        <x:v>反推假设：42lb、Zone6（账单Zone6）。
标准运费58.68×61%≈35.79
＋假设折后附加费0.00
＋燃油(35.79＋0.00)×25.25%≈9.04
＝预估承运成本44.83
按既有收费规则折算→预付49.31；与原预付差-2.99。</x:v>
      </x:c>
      <x:c r="Q166" s="26" t="str">
        <x:v>运输费68.03
−折扣26.53
＋燃油10.48
＝承运净额51.98
账单实收57.178（按既有收费规则）</x:v>
      </x:c>
    </x:row>
    <x:row r="167" ht="120" customHeight="1">
      <x:c r="A167" s="26" t="n">
        <x:v>166</x:v>
      </x:c>
      <x:c r="B167" s="26" t="str">
        <x:v>873750602294</x:v>
      </x:c>
      <x:c r="C167" s="26" t="str">
        <x:v>AC70</x:v>
      </x:c>
      <x:c r="D167" s="31" t="n">
        <x:v>24.44</x:v>
      </x:c>
      <x:c r="E167" s="31" t="n">
        <x:v>24.44</x:v>
      </x:c>
      <x:c r="F167" s="31" t="n">
        <x:f>E167-D167</x:f>
        <x:v>0</x:v>
      </x:c>
      <x:c r="G167" s="26" t="str">
        <x:v>一致（精确到美分）</x:v>
      </x:c>
      <x:c r="H167" s="31" t="n">
        <x:v>29.128</x:v>
      </x:c>
      <x:c r="I167" s="31" t="n">
        <x:v>26.48</x:v>
      </x:c>
      <x:c r="J167" s="31" t="n">
        <x:v>26.48</x:v>
      </x:c>
      <x:c r="K167" s="26" t="str">
        <x:v>分项加总一致</x:v>
      </x:c>
      <x:c r="L167" s="31" t="n">
        <x:v>29.128</x:v>
      </x:c>
      <x:c r="M167" s="31" t="n">
        <x:f>L167-H167</x:f>
        <x:v>0</x:v>
      </x:c>
      <x:c r="N167" s="26" t="str">
        <x:v>一致（按此前统一收费口径）</x:v>
      </x:c>
      <x:c r="O167" s="26" t="n">
        <x:v>231</x:v>
      </x:c>
      <x:c r="P167" s="26" t="str">
        <x:v>反推假设：23lb、Zone5（账单Zone5）。
标准运费29.09×61%≈17.74
＋假设折后附加费0.00
＋燃油(17.74＋0.00)×25.25%≈4.48
＝预估承运成本22.22
按既有收费规则折算→预付24.44；与原预付差+0.00。</x:v>
      </x:c>
      <x:c r="Q167" s="26" t="str">
        <x:v>运输费34.65
−折扣13.51
＋燃油5.34
＝承运净额26.48
账单实收29.128（按既有收费规则）</x:v>
      </x:c>
    </x:row>
    <x:row r="168" ht="120" customHeight="1">
      <x:c r="A168" s="26" t="n">
        <x:v>167</x:v>
      </x:c>
      <x:c r="B168" s="26" t="str">
        <x:v>875031214446</x:v>
      </x:c>
      <x:c r="C168" s="26" t="str">
        <x:v>EL100V2</x:v>
      </x:c>
      <x:c r="D168" s="31" t="n">
        <x:v>20.83</x:v>
      </x:c>
      <x:c r="E168" s="31"/>
      <x:c r="F168" s="31"/>
      <x:c r="G168" s="26" t="str">
        <x:v>缺明细，无法试算</x:v>
      </x:c>
      <x:c r="H168" s="31" t="n">
        <x:v>25.487</x:v>
      </x:c>
      <x:c r="I168" s="31"/>
      <x:c r="J168" s="31"/>
      <x:c r="K168" s="26" t="str">
        <x:v>缺核对明细</x:v>
      </x:c>
      <x:c r="L168" s="31"/>
      <x:c r="M168" s="31"/>
      <x:c r="N168" s="26" t="str">
        <x:v>缺核对明细，无法核算</x:v>
      </x:c>
      <x:c r="O168" s="26"/>
      <x:c r="P168" s="26" t="str">
        <x:v>缺核对明细，无法重建预付；原预付仅按基础表保留。</x:v>
      </x:c>
      <x:c r="Q168" s="26" t="str">
        <x:v>缺原始核对明细，无法拆分。</x:v>
      </x:c>
    </x:row>
    <x:row r="169" ht="120" customHeight="1">
      <x:c r="A169" s="26" t="n">
        <x:v>168</x:v>
      </x:c>
      <x:c r="B169" s="26" t="str">
        <x:v>874871197059</x:v>
      </x:c>
      <x:c r="C169" s="26" t="str">
        <x:v>AC70</x:v>
      </x:c>
      <x:c r="D169" s="31" t="n">
        <x:v>19.58</x:v>
      </x:c>
      <x:c r="E169" s="31"/>
      <x:c r="F169" s="31"/>
      <x:c r="G169" s="26" t="str">
        <x:v>缺明细，无法试算</x:v>
      </x:c>
      <x:c r="H169" s="31" t="n">
        <x:v>24.233</x:v>
      </x:c>
      <x:c r="I169" s="31"/>
      <x:c r="J169" s="31"/>
      <x:c r="K169" s="26" t="str">
        <x:v>缺核对明细</x:v>
      </x:c>
      <x:c r="L169" s="31"/>
      <x:c r="M169" s="31"/>
      <x:c r="N169" s="26" t="str">
        <x:v>缺核对明细，无法核算</x:v>
      </x:c>
      <x:c r="O169" s="26"/>
      <x:c r="P169" s="26" t="str">
        <x:v>缺核对明细，无法重建预付；原预付仅按基础表保留。</x:v>
      </x:c>
      <x:c r="Q169" s="26" t="str">
        <x:v>缺原始核对明细，无法拆分。</x:v>
      </x:c>
    </x:row>
    <x:row r="170" ht="120" customHeight="1">
      <x:c r="A170" s="26" t="n">
        <x:v>169</x:v>
      </x:c>
      <x:c r="B170" s="26" t="str">
        <x:v>873755731950</x:v>
      </x:c>
      <x:c r="C170" s="26" t="str">
        <x:v>AC70</x:v>
      </x:c>
      <x:c r="D170" s="31" t="n">
        <x:v>24.44</x:v>
      </x:c>
      <x:c r="E170" s="31" t="n">
        <x:v>24.4</x:v>
      </x:c>
      <x:c r="F170" s="31" t="n">
        <x:f>E170-D170</x:f>
        <x:v>-0.0400000000000027</x:v>
      </x:c>
      <x:c r="G170" s="26" t="str">
        <x:v>仅接近（不超过0.15美元）</x:v>
      </x:c>
      <x:c r="H170" s="31" t="n">
        <x:v>29.073</x:v>
      </x:c>
      <x:c r="I170" s="31" t="n">
        <x:v>26.43</x:v>
      </x:c>
      <x:c r="J170" s="31" t="n">
        <x:v>26.43</x:v>
      </x:c>
      <x:c r="K170" s="26" t="str">
        <x:v>分项加总一致</x:v>
      </x:c>
      <x:c r="L170" s="31" t="n">
        <x:v>29.073</x:v>
      </x:c>
      <x:c r="M170" s="31" t="n">
        <x:f>L170-H170</x:f>
        <x:v>0</x:v>
      </x:c>
      <x:c r="N170" s="26" t="str">
        <x:v>一致（按此前统一收费口径）</x:v>
      </x:c>
      <x:c r="O170" s="26" t="n">
        <x:v>318</x:v>
      </x:c>
      <x:c r="P170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Q170" s="26" t="str">
        <x:v>运输费34.65
−折扣13.51
＋燃油5.29
＝承运净额26.43
账单实收29.073（按既有收费规则）</x:v>
      </x:c>
    </x:row>
    <x:row r="171" ht="120" customHeight="1">
      <x:c r="A171" s="26" t="n">
        <x:v>170</x:v>
      </x:c>
      <x:c r="B171" s="26" t="str">
        <x:v>873910736860</x:v>
      </x:c>
      <x:c r="C171" s="26" t="str">
        <x:v>EL100V2</x:v>
      </x:c>
      <x:c r="D171" s="31" t="n">
        <x:v>24.44</x:v>
      </x:c>
      <x:c r="E171" s="31" t="n">
        <x:v>24.4</x:v>
      </x:c>
      <x:c r="F171" s="31" t="n">
        <x:f>E171-D171</x:f>
        <x:v>-0.0400000000000027</x:v>
      </x:c>
      <x:c r="G171" s="26" t="str">
        <x:v>仅接近（不超过0.15美元）</x:v>
      </x:c>
      <x:c r="H171" s="31" t="n">
        <x:v>29.073</x:v>
      </x:c>
      <x:c r="I171" s="31" t="n">
        <x:v>26.43</x:v>
      </x:c>
      <x:c r="J171" s="31" t="n">
        <x:v>26.43</x:v>
      </x:c>
      <x:c r="K171" s="26" t="str">
        <x:v>分项加总一致</x:v>
      </x:c>
      <x:c r="L171" s="31" t="n">
        <x:v>29.073</x:v>
      </x:c>
      <x:c r="M171" s="31" t="n">
        <x:f>L171-H171</x:f>
        <x:v>0</x:v>
      </x:c>
      <x:c r="N171" s="26" t="str">
        <x:v>一致（按此前统一收费口径）</x:v>
      </x:c>
      <x:c r="O171" s="26" t="n">
        <x:v>269</x:v>
      </x:c>
      <x:c r="P171" s="26" t="str">
        <x:v>反推假设：23lb、Zone5（账单Zone5）。
标准运费29.09×61%≈17.74
＋假设折后附加费0.00
＋燃油(17.74＋0.00)×25.00%≈4.44
＝预估承运成本22.18
按既有收费规则折算→预付24.40；与原预付差-0.04。</x:v>
      </x:c>
      <x:c r="Q171" s="26" t="str">
        <x:v>运输费34.65
−折扣13.51
＋燃油5.29
＝承运净额26.43
账单实收29.073（按既有收费规则）</x:v>
      </x:c>
    </x:row>
    <x:row r="172" ht="120" customHeight="1">
      <x:c r="A172" s="26" t="n">
        <x:v>171</x:v>
      </x:c>
      <x:c r="B172" s="26" t="str">
        <x:v>873747342683</x:v>
      </x:c>
      <x:c r="C172" s="26" t="str">
        <x:v>AC180</x:v>
      </x:c>
      <x:c r="D172" s="31" t="n">
        <x:v>36.51</x:v>
      </x:c>
      <x:c r="E172" s="31" t="n">
        <x:v>36.51</x:v>
      </x:c>
      <x:c r="F172" s="31" t="n">
        <x:f>E172-D172</x:f>
        <x:v>0</x:v>
      </x:c>
      <x:c r="G172" s="26" t="str">
        <x:v>一致（精确到美分）</x:v>
      </x:c>
      <x:c r="H172" s="31" t="n">
        <x:v>41.107</x:v>
      </x:c>
      <x:c r="I172" s="31" t="n">
        <x:v>37.37</x:v>
      </x:c>
      <x:c r="J172" s="31" t="n">
        <x:v>37.37</x:v>
      </x:c>
      <x:c r="K172" s="26" t="str">
        <x:v>分项加总一致</x:v>
      </x:c>
      <x:c r="L172" s="31" t="n">
        <x:v>41.107</x:v>
      </x:c>
      <x:c r="M172" s="31" t="n">
        <x:f>L172-H172</x:f>
        <x:v>0</x:v>
      </x:c>
      <x:c r="N172" s="26" t="str">
        <x:v>一致（按此前统一收费口径）</x:v>
      </x:c>
      <x:c r="O172" s="26" t="n">
        <x:v>228</x:v>
      </x:c>
      <x:c r="P172" s="26" t="str">
        <x:v>反推假设：38lb、Zone5（账单Zone5）。
标准运费43.44×61%≈26.50
＋假设折后附加费0.00
＋燃油(26.50＋0.00)×25.25%≈6.69
＝预估承运成本33.19
按既有收费规则折算→预付36.51；与原预付差+0.00。</x:v>
      </x:c>
      <x:c r="Q172" s="26" t="str">
        <x:v>运输费48.91
−折扣19.07
＋燃油7.53
＝承运净额37.37
账单实收41.107（按既有收费规则）</x:v>
      </x:c>
    </x:row>
    <x:row r="173" ht="120" customHeight="1">
      <x:c r="A173" s="26" t="n">
        <x:v>172</x:v>
      </x:c>
      <x:c r="B173" s="26" t="str">
        <x:v>874402086860</x:v>
      </x:c>
      <x:c r="C173" s="26" t="str">
        <x:v>EL00V2</x:v>
      </x:c>
      <x:c r="D173" s="31" t="n">
        <x:v>20.7</x:v>
      </x:c>
      <x:c r="E173" s="31" t="n">
        <x:v>20.69</x:v>
      </x:c>
      <x:c r="F173" s="31" t="n">
        <x:f>E173-D173</x:f>
        <x:v>-0.00999999999999801</x:v>
      </x:c>
      <x:c r="G173" s="26" t="str">
        <x:v>仅接近（不超过0.15美元）</x:v>
      </x:c>
      <x:c r="H173" s="31" t="n">
        <x:v>25.234</x:v>
      </x:c>
      <x:c r="I173" s="31" t="n">
        <x:v>22.94</x:v>
      </x:c>
      <x:c r="J173" s="31" t="n">
        <x:v>22.94</x:v>
      </x:c>
      <x:c r="K173" s="26" t="str">
        <x:v>分项加总一致</x:v>
      </x:c>
      <x:c r="L173" s="31" t="n">
        <x:v>25.234</x:v>
      </x:c>
      <x:c r="M173" s="31" t="n">
        <x:f>L173-H173</x:f>
        <x:v>0</x:v>
      </x:c>
      <x:c r="N173" s="26" t="str">
        <x:v>一致（按此前统一收费口径）</x:v>
      </x:c>
      <x:c r="O173" s="26" t="n">
        <x:v>467</x:v>
      </x:c>
      <x:c r="P173" s="26" t="str">
        <x:v>反推假设：23lb、Zone4（账单Zone4）。
标准运费24.68×61%≈15.05
＋假设折后附加费0.00
＋燃油(15.05＋0.00)×25.00%≈3.76
＝预估承运成本18.81
按既有收费规则折算→预付20.69；与原预付差-0.01。</x:v>
      </x:c>
      <x:c r="Q173" s="26" t="str">
        <x:v>运输费30.08
−折扣11.73
＋燃油4.59
＝承运净额22.94
账单实收25.234（按既有收费规则）</x:v>
      </x:c>
    </x:row>
    <x:row r="174" ht="120" customHeight="1">
      <x:c r="A174" s="26" t="n">
        <x:v>173</x:v>
      </x:c>
      <x:c r="B174" s="26" t="str">
        <x:v>874031007832</x:v>
      </x:c>
      <x:c r="C174" s="26" t="str">
        <x:v>EL200</x:v>
      </x:c>
      <x:c r="D174" s="31" t="n">
        <x:v>84.13</x:v>
      </x:c>
      <x:c r="E174" s="31" t="n">
        <x:v>84.14</x:v>
      </x:c>
      <x:c r="F174" s="31" t="n">
        <x:f>E174-D174</x:f>
        <x:v>0.010000000000005116</x:v>
      </x:c>
      <x:c r="G174" s="26" t="str">
        <x:v>仅接近（不超过0.15美元）</x:v>
      </x:c>
      <x:c r="H174" s="31" t="n">
        <x:v>88.66</x:v>
      </x:c>
      <x:c r="I174" s="31" t="n">
        <x:v>80.6</x:v>
      </x:c>
      <x:c r="J174" s="31" t="n">
        <x:v>80.6</x:v>
      </x:c>
      <x:c r="K174" s="26" t="str">
        <x:v>分项加总一致</x:v>
      </x:c>
      <x:c r="L174" s="31" t="n">
        <x:v>88.66</x:v>
      </x:c>
      <x:c r="M174" s="31" t="n">
        <x:f>L174-H174</x:f>
        <x:v>0</x:v>
      </x:c>
      <x:c r="N174" s="26" t="str">
        <x:v>一致（按此前统一收费口径）</x:v>
      </x:c>
      <x:c r="O174" s="26" t="n">
        <x:v>455</x:v>
      </x:c>
      <x:c r="P174" s="26" t="str">
        <x:v>反推假设：56lb、Zone5（账单Zone5）。
标准运费54.19×61%≈33.06
＋假设折后附加费28.13
＋燃油(33.06＋28.13)×25.00%≈15.30
＝预估承运成本76.49
按既有收费规则折算→预付84.14；与原预付差+0.01。</x:v>
      </x:c>
      <x:c r="Q174" s="26" t="str">
        <x:v>运输费59.60
−折扣23.24
＋Add'l Handling-Weight 28.12
＋燃油16.12
＝承运净额80.60
账单实收88.660（按既有收费规则）</x:v>
      </x:c>
    </x:row>
    <x:row r="175" ht="120" customHeight="1">
      <x:c r="A175" s="26" t="n">
        <x:v>174</x:v>
      </x:c>
      <x:c r="B175" s="26" t="str">
        <x:v>873109423812</x:v>
      </x:c>
      <x:c r="C175" s="26"/>
      <x:c r="D175" s="31" t="n">
        <x:v>27.46</x:v>
      </x:c>
      <x:c r="E175" s="31" t="n">
        <x:v>19.03</x:v>
      </x:c>
      <x:c r="F175" s="31" t="n">
        <x:f>E175-D175</x:f>
        <x:v>-8.43</x:v>
      </x:c>
      <x:c r="G175" s="26" t="str">
        <x:v>未对上</x:v>
      </x:c>
      <x:c r="H175" s="31" t="n">
        <x:v>31.908</x:v>
      </x:c>
      <x:c r="I175" s="31" t="n">
        <x:v>26.59</x:v>
      </x:c>
      <x:c r="J175" s="31" t="n">
        <x:v>26.59</x:v>
      </x:c>
      <x:c r="K175" s="26" t="str">
        <x:v>分项加总一致</x:v>
      </x:c>
      <x:c r="L175" s="31" t="n">
        <x:v>29.249</x:v>
      </x:c>
      <x:c r="M175" s="31" t="n">
        <x:f>L175-H175</x:f>
        <x:v>-2.6590000000000025</x:v>
      </x:c>
      <x:c r="N175" s="26" t="str">
        <x:v>未对上，收费口径待确认</x:v>
      </x:c>
      <x:c r="O175" s="26" t="n">
        <x:v>72</x:v>
      </x:c>
      <x:c r="P175" s="26" t="str">
        <x:v>反推假设：7lb、Zone8（账单Zone7）。
标准运费22.51×61%≈13.73
＋假设折后附加费0.00
＋燃油(13.73＋0.00)×26.00%≈3.57
＝预估承运成本17.30
按既有收费规则折算→预付19.03；与原预付差-8.43。</x:v>
      </x:c>
      <x:c r="Q175" s="26" t="str">
        <x:v>运输费29.04
−折扣10.16
＋DAS Commercial 2.22
＋燃油5.49
＝承运净额26.59
账单实收31.908（按既有收费规则）</x:v>
      </x:c>
    </x:row>
    <x:row r="176" ht="120" customHeight="1">
      <x:c r="A176" s="26" t="n">
        <x:v>175</x:v>
      </x:c>
      <x:c r="B176" s="26" t="str">
        <x:v>873109423503</x:v>
      </x:c>
      <x:c r="C176" s="26"/>
      <x:c r="D176" s="31" t="n">
        <x:v>28.3</x:v>
      </x:c>
      <x:c r="E176" s="31" t="n">
        <x:v>19.03</x:v>
      </x:c>
      <x:c r="F176" s="31" t="n">
        <x:f>E176-D176</x:f>
        <x:v>-9.27</x:v>
      </x:c>
      <x:c r="G176" s="26" t="str">
        <x:v>未对上</x:v>
      </x:c>
      <x:c r="H176" s="31" t="n">
        <x:v>32.736</x:v>
      </x:c>
      <x:c r="I176" s="31" t="n">
        <x:v>27.28</x:v>
      </x:c>
      <x:c r="J176" s="31" t="n">
        <x:v>27.28</x:v>
      </x:c>
      <x:c r="K176" s="26" t="str">
        <x:v>分项加总一致</x:v>
      </x:c>
      <x:c r="L176" s="31" t="n">
        <x:v>30.008</x:v>
      </x:c>
      <x:c r="M176" s="31" t="n">
        <x:f>L176-H176</x:f>
        <x:v>-2.727999999999998</x:v>
      </x:c>
      <x:c r="N176" s="26" t="str">
        <x:v>未对上，收费口径待确认</x:v>
      </x:c>
      <x:c r="O176" s="26" t="n">
        <x:v>71</x:v>
      </x:c>
      <x:c r="P176" s="26" t="str">
        <x:v>反推假设：7lb、Zone8（账单Zone7）。
标准运费22.51×61%≈13.73
＋假设折后附加费0.00
＋燃油(13.73＋0.00)×26.00%≈3.57
＝预估承运成本17.30
按既有收费规则折算→预付19.03；与原预付差-9.27。</x:v>
      </x:c>
      <x:c r="Q176" s="26" t="str">
        <x:v>运输费29.04
−折扣10.16
＋DAS Extended Commercial 2.77
＋燃油5.63
＝承运净额27.28
账单实收32.736（按既有收费规则）</x:v>
      </x:c>
    </x:row>
    <x:row r="177" ht="120" customHeight="1">
      <x:c r="A177" s="26" t="n">
        <x:v>176</x:v>
      </x:c>
      <x:c r="B177" s="26" t="str">
        <x:v>873109424418</x:v>
      </x:c>
      <x:c r="C177" s="26"/>
      <x:c r="D177" s="31" t="n">
        <x:v>28.3</x:v>
      </x:c>
      <x:c r="E177" s="31" t="n">
        <x:v>19.03</x:v>
      </x:c>
      <x:c r="F177" s="31" t="n">
        <x:f>E177-D177</x:f>
        <x:v>-9.27</x:v>
      </x:c>
      <x:c r="G177" s="26" t="str">
        <x:v>未对上</x:v>
      </x:c>
      <x:c r="H177" s="31" t="n">
        <x:v>32.736</x:v>
      </x:c>
      <x:c r="I177" s="31" t="n">
        <x:v>27.28</x:v>
      </x:c>
      <x:c r="J177" s="31" t="n">
        <x:v>27.28</x:v>
      </x:c>
      <x:c r="K177" s="26" t="str">
        <x:v>分项加总一致</x:v>
      </x:c>
      <x:c r="L177" s="31" t="n">
        <x:v>30.008</x:v>
      </x:c>
      <x:c r="M177" s="31" t="n">
        <x:f>L177-H177</x:f>
        <x:v>-2.727999999999998</x:v>
      </x:c>
      <x:c r="N177" s="26" t="str">
        <x:v>未对上，收费口径待确认</x:v>
      </x:c>
      <x:c r="O177" s="26" t="n">
        <x:v>73</x:v>
      </x:c>
      <x:c r="P177" s="26" t="str">
        <x:v>反推假设：7lb、Zone8（账单Zone7）。
标准运费22.51×61%≈13.73
＋假设折后附加费0.00
＋燃油(13.73＋0.00)×26.00%≈3.57
＝预估承运成本17.30
按既有收费规则折算→预付19.03；与原预付差-9.27。</x:v>
      </x:c>
      <x:c r="Q177" s="26" t="str">
        <x:v>运输费29.04
−折扣10.16
＋DAS Extended Commercial 2.77
＋燃油5.63
＝承运净额27.28
账单实收32.736（按既有收费规则）</x:v>
      </x:c>
    </x:row>
    <x:row r="178" ht="120" customHeight="1">
      <x:c r="A178" s="26" t="n">
        <x:v>177</x:v>
      </x:c>
      <x:c r="B178" s="26" t="str">
        <x:v>873424570680</x:v>
      </x:c>
      <x:c r="C178" s="26" t="str">
        <x:v>EL100V2</x:v>
      </x:c>
      <x:c r="D178" s="31" t="n">
        <x:v>26.31</x:v>
      </x:c>
      <x:c r="E178" s="31" t="n">
        <x:v>26.3</x:v>
      </x:c>
      <x:c r="F178" s="31" t="n">
        <x:f>E178-D178</x:f>
        <x:v>-0.00999999999999801</x:v>
      </x:c>
      <x:c r="G178" s="26" t="str">
        <x:v>仅接近（不超过0.15美元）</x:v>
      </x:c>
      <x:c r="H178" s="31" t="n">
        <x:v>30.734</x:v>
      </x:c>
      <x:c r="I178" s="31" t="n">
        <x:v>27.94</x:v>
      </x:c>
      <x:c r="J178" s="31" t="n">
        <x:v>27.94</x:v>
      </x:c>
      <x:c r="K178" s="26" t="str">
        <x:v>分项加总一致</x:v>
      </x:c>
      <x:c r="L178" s="31" t="n">
        <x:v>30.734</x:v>
      </x:c>
      <x:c r="M178" s="31" t="n">
        <x:f>L178-H178</x:f>
        <x:v>0</x:v>
      </x:c>
      <x:c r="N178" s="26" t="str">
        <x:v>一致（按此前统一收费口径）</x:v>
      </x:c>
      <x:c r="O178" s="26" t="n">
        <x:v>129</x:v>
      </x:c>
      <x:c r="P178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Q178" s="26" t="str">
        <x:v>运输费36.49
−折扣14.23
＋燃油5.68
＝承运净额27.94
账单实收30.734（按既有收费规则）</x:v>
      </x:c>
    </x:row>
    <x:row r="179" ht="120" customHeight="1">
      <x:c r="A179" s="26" t="n">
        <x:v>178</x:v>
      </x:c>
      <x:c r="B179" s="26" t="str">
        <x:v>873133287628</x:v>
      </x:c>
      <x:c r="C179" s="26" t="str">
        <x:v>AC180</x:v>
      </x:c>
      <x:c r="D179" s="31" t="n">
        <x:v>45.3</x:v>
      </x:c>
      <x:c r="E179" s="31" t="n">
        <x:v>45.3</x:v>
      </x:c>
      <x:c r="F179" s="31" t="n">
        <x:f>E179-D179</x:f>
        <x:v>0</x:v>
      </x:c>
      <x:c r="G179" s="26" t="str">
        <x:v>一致（精确到美分）</x:v>
      </x:c>
      <x:c r="H179" s="31" t="n">
        <x:v>49.61</x:v>
      </x:c>
      <x:c r="I179" s="31" t="n">
        <x:v>45.1</x:v>
      </x:c>
      <x:c r="J179" s="31" t="n">
        <x:v>45.1</x:v>
      </x:c>
      <x:c r="K179" s="26" t="str">
        <x:v>分项加总一致</x:v>
      </x:c>
      <x:c r="L179" s="31" t="n">
        <x:v>49.61</x:v>
      </x:c>
      <x:c r="M179" s="31" t="n">
        <x:f>L179-H179</x:f>
        <x:v>0</x:v>
      </x:c>
      <x:c r="N179" s="26" t="str">
        <x:v>一致（按此前统一收费口径）</x:v>
      </x:c>
      <x:c r="O179" s="26" t="n">
        <x:v>80</x:v>
      </x:c>
      <x:c r="P179" s="26" t="str">
        <x:v>反推假设：38lb、Zone6（账单Zone6）。
标准运费53.57×61%≈32.68
＋假设折后附加费0.00
＋燃油(32.68＋0.00)×26.00%≈8.50
＝预估承运成本41.18
按既有收费规则折算→预付45.30；与原预付差+0.00。</x:v>
      </x:c>
      <x:c r="Q179" s="26" t="str">
        <x:v>运输费58.68
−折扣22.89
＋燃油9.31
＝承运净额45.10
账单实收49.610（按既有收费规则）</x:v>
      </x:c>
    </x:row>
    <x:row r="180" ht="120" customHeight="1">
      <x:c r="A180" s="26" t="n">
        <x:v>179</x:v>
      </x:c>
      <x:c r="B180" s="26" t="str">
        <x:v>875028256192</x:v>
      </x:c>
      <x:c r="C180" s="26" t="str">
        <x:v>AC180</x:v>
      </x:c>
      <x:c r="D180" s="31" t="n">
        <x:v>45.21</x:v>
      </x:c>
      <x:c r="E180" s="31"/>
      <x:c r="F180" s="31"/>
      <x:c r="G180" s="26" t="str">
        <x:v>缺明细，无法试算</x:v>
      </x:c>
      <x:c r="H180" s="31" t="n">
        <x:v>49.511</x:v>
      </x:c>
      <x:c r="I180" s="31"/>
      <x:c r="J180" s="31"/>
      <x:c r="K180" s="26" t="str">
        <x:v>缺核对明细</x:v>
      </x:c>
      <x:c r="L180" s="31"/>
      <x:c r="M180" s="31"/>
      <x:c r="N180" s="26" t="str">
        <x:v>缺核对明细，无法核算</x:v>
      </x:c>
      <x:c r="O180" s="26"/>
      <x:c r="P180" s="26" t="str">
        <x:v>缺核对明细，无法重建预付；原预付仅按基础表保留。</x:v>
      </x:c>
      <x:c r="Q180" s="26" t="str">
        <x:v>缺原始核对明细，无法拆分。</x:v>
      </x:c>
    </x:row>
    <x:row r="181" ht="120" customHeight="1">
      <x:c r="A181" s="26" t="n">
        <x:v>180</x:v>
      </x:c>
      <x:c r="B181" s="26" t="str">
        <x:v>873749424392</x:v>
      </x:c>
      <x:c r="C181" s="26" t="str">
        <x:v>AC180</x:v>
      </x:c>
      <x:c r="D181" s="31" t="n">
        <x:v>45.03</x:v>
      </x:c>
      <x:c r="E181" s="31" t="n">
        <x:v>45.02</x:v>
      </x:c>
      <x:c r="F181" s="31" t="n">
        <x:f>E181-D181</x:f>
        <x:v>-0.00999999999999801</x:v>
      </x:c>
      <x:c r="G181" s="26" t="str">
        <x:v>仅接近（不超过0.15美元）</x:v>
      </x:c>
      <x:c r="H181" s="31" t="n">
        <x:v>49.313</x:v>
      </x:c>
      <x:c r="I181" s="31" t="n">
        <x:v>44.83</x:v>
      </x:c>
      <x:c r="J181" s="31" t="n">
        <x:v>44.83</x:v>
      </x:c>
      <x:c r="K181" s="26" t="str">
        <x:v>分项加总一致</x:v>
      </x:c>
      <x:c r="L181" s="31" t="n">
        <x:v>49.313</x:v>
      </x:c>
      <x:c r="M181" s="31" t="n">
        <x:f>L181-H181</x:f>
        <x:v>0</x:v>
      </x:c>
      <x:c r="N181" s="26" t="str">
        <x:v>一致（按此前统一收费口径）</x:v>
      </x:c>
      <x:c r="O181" s="26" t="n">
        <x:v>230</x:v>
      </x:c>
      <x:c r="P181" s="26" t="str">
        <x:v>反推假设：38lb、Zone6（账单Zone6）。
标准运费53.57×61%≈32.68
＋假设折后附加费0.00
＋燃油(32.68＋0.00)×25.25%≈8.25
＝预估承运成本40.93
按既有收费规则折算→预付45.02；与原预付差-0.01。</x:v>
      </x:c>
      <x:c r="Q181" s="26" t="str">
        <x:v>运输费58.68
−折扣22.89
＋燃油9.04
＝承运净额44.83
账单实收49.313（按既有收费规则）</x:v>
      </x:c>
    </x:row>
    <x:row r="182" ht="120" customHeight="1">
      <x:c r="A182" s="26" t="n">
        <x:v>181</x:v>
      </x:c>
      <x:c r="B182" s="26" t="str">
        <x:v>874088892027</x:v>
      </x:c>
      <x:c r="C182" s="26" t="str">
        <x:v>EL300</x:v>
      </x:c>
      <x:c r="D182" s="31" t="n">
        <x:v>95.71</x:v>
      </x:c>
      <x:c r="E182" s="31" t="n">
        <x:v>95.73</x:v>
      </x:c>
      <x:c r="F182" s="31" t="n">
        <x:f>E182-D182</x:f>
        <x:v>0.020000000000010232</x:v>
      </x:c>
      <x:c r="G182" s="26" t="str">
        <x:v>仅接近（不超过0.15美元）</x:v>
      </x:c>
      <x:c r="H182" s="31" t="n">
        <x:v>99.99</x:v>
      </x:c>
      <x:c r="I182" s="31" t="n">
        <x:v>90.9</x:v>
      </x:c>
      <x:c r="J182" s="31" t="n">
        <x:v>90.9</x:v>
      </x:c>
      <x:c r="K182" s="26" t="str">
        <x:v>分项加总一致</x:v>
      </x:c>
      <x:c r="L182" s="31" t="n">
        <x:v>99.99</x:v>
      </x:c>
      <x:c r="M182" s="31" t="n">
        <x:f>L182-H182</x:f>
        <x:v>0</x:v>
      </x:c>
      <x:c r="N182" s="26" t="str">
        <x:v>一致（按此前统一收费口径）</x:v>
      </x:c>
      <x:c r="O182" s="26" t="n">
        <x:v>351</x:v>
      </x:c>
      <x:c r="P182" s="26" t="str">
        <x:v>反推假设：56lb、Zone6（账单Zone6）。
标准运费68.01×61%≈41.49
＋假设折后附加费28.13
＋燃油(41.49＋28.13)×25.00%≈17.41
＝预估承运成本87.03
按既有收费规则折算→预付95.73；与原预付差+0.02。</x:v>
      </x:c>
      <x:c r="Q182" s="26" t="str">
        <x:v>运输费73.11
−折扣28.51
＋Add'l Handling-Weight 28.12
＋燃油18.18
＝承运净额90.90
账单实收99.990（按既有收费规则）</x:v>
      </x:c>
    </x:row>
    <x:row r="183" ht="120" customHeight="1">
      <x:c r="A183" s="26" t="n">
        <x:v>182</x:v>
      </x:c>
      <x:c r="B183" s="26" t="str">
        <x:v>873188705179</x:v>
      </x:c>
      <x:c r="C183" s="26" t="str">
        <x:v>EL100</x:v>
      </x:c>
      <x:c r="D183" s="31" t="n">
        <x:v>32.47</x:v>
      </x:c>
      <x:c r="E183" s="31" t="n">
        <x:v>32.47</x:v>
      </x:c>
      <x:c r="F183" s="31" t="n">
        <x:f>E183-D183</x:f>
        <x:v>0</x:v>
      </x:c>
      <x:c r="G183" s="26" t="str">
        <x:v>一致（精确到美分）</x:v>
      </x:c>
      <x:c r="H183" s="31" t="n">
        <x:v>36.729</x:v>
      </x:c>
      <x:c r="I183" s="31" t="n">
        <x:v>33.39</x:v>
      </x:c>
      <x:c r="J183" s="31" t="n">
        <x:v>33.39</x:v>
      </x:c>
      <x:c r="K183" s="26" t="str">
        <x:v>分项加总一致</x:v>
      </x:c>
      <x:c r="L183" s="31" t="n">
        <x:v>36.729</x:v>
      </x:c>
      <x:c r="M183" s="31" t="n">
        <x:f>L183-H183</x:f>
        <x:v>0</x:v>
      </x:c>
      <x:c r="N183" s="26" t="str">
        <x:v>一致（按此前统一收费口径）</x:v>
      </x:c>
      <x:c r="O183" s="26" t="n">
        <x:v>83</x:v>
      </x:c>
      <x:c r="P183" s="26" t="str">
        <x:v>反推假设：25lb、Zone6（账单Zone6）。
标准运费38.41×61%≈23.43
＋假设折后附加费0.00
＋燃油(23.43＋0.00)×26.00%≈6.09
＝预估承运成本29.52
按既有收费规则折算→预付32.47；与原预付差+0.00。</x:v>
      </x:c>
      <x:c r="Q183" s="26" t="str">
        <x:v>运输费43.44
−折扣16.94
＋燃油6.89
＝承运净额33.39
账单实收36.729（按既有收费规则）</x:v>
      </x:c>
    </x:row>
    <x:row r="184" ht="120" customHeight="1">
      <x:c r="A184" s="26" t="n">
        <x:v>183</x:v>
      </x:c>
      <x:c r="B184" s="26" t="str">
        <x:v>874148614747</x:v>
      </x:c>
      <x:c r="C184" s="26" t="str">
        <x:v>BC200</x:v>
      </x:c>
      <x:c r="D184" s="31" t="n">
        <x:v>31.44</x:v>
      </x:c>
      <x:c r="E184" s="31" t="n">
        <x:v>31.49</x:v>
      </x:c>
      <x:c r="F184" s="31" t="n">
        <x:f>E184-D184</x:f>
        <x:v>0.04999999999999716</x:v>
      </x:c>
      <x:c r="G184" s="26" t="str">
        <x:v>仅接近（不超过0.15美元）</x:v>
      </x:c>
      <x:c r="H184" s="31" t="n">
        <x:v>35.695</x:v>
      </x:c>
      <x:c r="I184" s="31" t="n">
        <x:v>32.45</x:v>
      </x:c>
      <x:c r="J184" s="31" t="n">
        <x:v>32.45</x:v>
      </x:c>
      <x:c r="K184" s="26" t="str">
        <x:v>分项加总一致</x:v>
      </x:c>
      <x:c r="L184" s="31" t="n">
        <x:v>35.695</x:v>
      </x:c>
      <x:c r="M184" s="31" t="n">
        <x:f>L184-H184</x:f>
        <x:v>0</x:v>
      </x:c>
      <x:c r="N184" s="26" t="str">
        <x:v>一致（按此前统一收费口径）</x:v>
      </x:c>
      <x:c r="O184" s="26" t="n">
        <x:v>515</x:v>
      </x:c>
      <x:c r="P184" s="26" t="str">
        <x:v>反推假设：40lb、Zone4（账单Zone4）。
标准运费37.48×61%≈22.86
＋假设折后附加费0.00
＋燃油(22.86＋0.00)×25.25%≈5.77
＝预估承运成本28.63
按既有收费规则折算→预付31.49；与原预付差+0.05。</x:v>
      </x:c>
      <x:c r="Q184" s="26" t="str">
        <x:v>运输费42.48
−折扣16.57
＋燃油6.54
＝承运净额32.45
账单实收35.695（按既有收费规则）</x:v>
      </x:c>
    </x:row>
    <x:row r="185" ht="120" customHeight="1">
      <x:c r="A185" s="26" t="n">
        <x:v>184</x:v>
      </x:c>
      <x:c r="B185" s="26" t="str">
        <x:v>873747943918</x:v>
      </x:c>
      <x:c r="C185" s="26" t="str">
        <x:v>EL100V2</x:v>
      </x:c>
      <x:c r="D185" s="31" t="n">
        <x:v>32.28</x:v>
      </x:c>
      <x:c r="E185" s="31" t="n">
        <x:v>32.29</x:v>
      </x:c>
      <x:c r="F185" s="31" t="n">
        <x:f>E185-D185</x:f>
        <x:v>0.00999999999999801</x:v>
      </x:c>
      <x:c r="G185" s="26" t="str">
        <x:v>仅接近（不超过0.15美元）</x:v>
      </x:c>
      <x:c r="H185" s="31" t="n">
        <x:v>36.509</x:v>
      </x:c>
      <x:c r="I185" s="31" t="n">
        <x:v>33.19</x:v>
      </x:c>
      <x:c r="J185" s="31" t="n">
        <x:v>33.19</x:v>
      </x:c>
      <x:c r="K185" s="26" t="str">
        <x:v>分项加总一致</x:v>
      </x:c>
      <x:c r="L185" s="31" t="n">
        <x:v>36.509</x:v>
      </x:c>
      <x:c r="M185" s="31" t="n">
        <x:f>L185-H185</x:f>
        <x:v>0</x:v>
      </x:c>
      <x:c r="N185" s="26" t="str">
        <x:v>一致（按此前统一收费口径）</x:v>
      </x:c>
      <x:c r="O185" s="26" t="n">
        <x:v>229</x:v>
      </x:c>
      <x:c r="P185" s="26" t="str">
        <x:v>反推假设：25lb、Zone6（账单Zone6）。
标准运费38.41×61%≈23.43
＋假设折后附加费0.00
＋燃油(23.43＋0.00)×25.25%≈5.92
＝预估承运成本29.35
按既有收费规则折算→预付32.29；与原预付差+0.01。</x:v>
      </x:c>
      <x:c r="Q185" s="26" t="str">
        <x:v>运输费43.44
−折扣16.94
＋燃油6.69
＝承运净额33.19
账单实收36.509（按既有收费规则）</x:v>
      </x:c>
    </x:row>
    <x:row r="186" ht="120" customHeight="1">
      <x:c r="A186" s="26" t="n">
        <x:v>185</x:v>
      </x:c>
      <x:c r="B186" s="26" t="str">
        <x:v>873941715541</x:v>
      </x:c>
      <x:c r="C186" s="26" t="str">
        <x:v>AC50B</x:v>
      </x:c>
      <x:c r="D186" s="31" t="n">
        <x:v>19.43</x:v>
      </x:c>
      <x:c r="E186" s="31" t="n">
        <x:v>19.92</x:v>
      </x:c>
      <x:c r="F186" s="31" t="n">
        <x:f>E186-D186</x:f>
        <x:v>0.490000000000002</x:v>
      </x:c>
      <x:c r="G186" s="26" t="str">
        <x:v>未对上</x:v>
      </x:c>
      <x:c r="H186" s="31" t="n">
        <x:v>23.606</x:v>
      </x:c>
      <x:c r="I186" s="31" t="n">
        <x:v>21.46</x:v>
      </x:c>
      <x:c r="J186" s="31" t="n">
        <x:v>21.46</x:v>
      </x:c>
      <x:c r="K186" s="26" t="str">
        <x:v>分项加总一致</x:v>
      </x:c>
      <x:c r="L186" s="31" t="n">
        <x:v>23.606</x:v>
      </x:c>
      <x:c r="M186" s="31" t="n">
        <x:f>L186-H186</x:f>
        <x:v>0</x:v>
      </x:c>
      <x:c r="N186" s="26" t="str">
        <x:v>一致（按此前统一收费口径）</x:v>
      </x:c>
      <x:c r="O186" s="26" t="n">
        <x:v>331</x:v>
      </x:c>
      <x:c r="P186" s="26" t="str">
        <x:v>反推假设：13lb、Zone6（账单Zone5）。
标准运费23.76×61%≈14.49
＋假设折后附加费0.00
＋燃油(14.49＋0.00)×25.00%≈3.62
＝预估承运成本18.11
按既有收费规则折算→预付19.92；与原预付差+0.49。</x:v>
      </x:c>
      <x:c r="Q186" s="26" t="str">
        <x:v>运输费26.42
−折扣9.25
＋燃油4.29
＝承运净额21.46
账单实收23.606（按既有收费规则）</x:v>
      </x:c>
    </x:row>
    <x:row r="187" ht="120" customHeight="1">
      <x:c r="A187" s="26" t="n">
        <x:v>186</x:v>
      </x:c>
      <x:c r="B187" s="26" t="str">
        <x:v>873424752756</x:v>
      </x:c>
      <x:c r="C187" s="26" t="str">
        <x:v>EL100V2</x:v>
      </x:c>
      <x:c r="D187" s="31" t="n">
        <x:v>32.34</x:v>
      </x:c>
      <x:c r="E187" s="31" t="n">
        <x:v>32.29</x:v>
      </x:c>
      <x:c r="F187" s="31" t="n">
        <x:f>E187-D187</x:f>
        <x:v>-0.05000000000000426</x:v>
      </x:c>
      <x:c r="G187" s="26" t="str">
        <x:v>仅接近（不超过0.15美元）</x:v>
      </x:c>
      <x:c r="H187" s="31" t="n">
        <x:v>36.509</x:v>
      </x:c>
      <x:c r="I187" s="31" t="n">
        <x:v>33.19</x:v>
      </x:c>
      <x:c r="J187" s="31" t="n">
        <x:v>33.19</x:v>
      </x:c>
      <x:c r="K187" s="26" t="str">
        <x:v>分项加总一致</x:v>
      </x:c>
      <x:c r="L187" s="31" t="n">
        <x:v>36.509</x:v>
      </x:c>
      <x:c r="M187" s="31" t="n">
        <x:f>L187-H187</x:f>
        <x:v>0</x:v>
      </x:c>
      <x:c r="N187" s="26" t="str">
        <x:v>一致（按此前统一收费口径）</x:v>
      </x:c>
      <x:c r="O187" s="26" t="n">
        <x:v>215</x:v>
      </x:c>
      <x:c r="P187" s="26" t="str">
        <x:v>反推假设：25lb、Zone6（账单Zone6）。
标准运费38.41×61%≈23.43
＋假设折后附加费0.00
＋燃油(23.43＋0.00)×25.25%≈5.92
＝预估承运成本29.35
按既有收费规则折算→预付32.29；与原预付差-0.05。</x:v>
      </x:c>
      <x:c r="Q187" s="26" t="str">
        <x:v>运输费43.44
−折扣16.94
＋燃油6.69
＝承运净额33.19
账单实收36.509（按既有收费规则）</x:v>
      </x:c>
    </x:row>
    <x:row r="188" ht="120" customHeight="1">
      <x:c r="A188" s="26" t="n">
        <x:v>187</x:v>
      </x:c>
      <x:c r="B188" s="26" t="str">
        <x:v>875082163177</x:v>
      </x:c>
      <x:c r="C188" s="26" t="str">
        <x:v>EL100V2</x:v>
      </x:c>
      <x:c r="D188" s="31" t="n">
        <x:v>26.36</x:v>
      </x:c>
      <x:c r="E188" s="31"/>
      <x:c r="F188" s="31"/>
      <x:c r="G188" s="26" t="str">
        <x:v>缺明细，无法试算</x:v>
      </x:c>
      <x:c r="H188" s="31" t="n">
        <x:v>30.525</x:v>
      </x:c>
      <x:c r="I188" s="31"/>
      <x:c r="J188" s="31"/>
      <x:c r="K188" s="26" t="str">
        <x:v>缺核对明细</x:v>
      </x:c>
      <x:c r="L188" s="31"/>
      <x:c r="M188" s="31"/>
      <x:c r="N188" s="26" t="str">
        <x:v>缺核对明细，无法核算</x:v>
      </x:c>
      <x:c r="O188" s="26"/>
      <x:c r="P188" s="26" t="str">
        <x:v>缺核对明细，无法重建预付；原预付仅按基础表保留。</x:v>
      </x:c>
      <x:c r="Q188" s="26" t="str">
        <x:v>缺原始核对明细，无法拆分。</x:v>
      </x:c>
    </x:row>
    <x:row r="189" ht="120" customHeight="1">
      <x:c r="A189" s="26" t="n">
        <x:v>188</x:v>
      </x:c>
      <x:c r="B189" s="26" t="str">
        <x:v>873342102865</x:v>
      </x:c>
      <x:c r="C189" s="26" t="str">
        <x:v>EL100V2</x:v>
      </x:c>
      <x:c r="D189" s="31" t="n">
        <x:v>32.47</x:v>
      </x:c>
      <x:c r="E189" s="31" t="n">
        <x:v>32.34</x:v>
      </x:c>
      <x:c r="F189" s="31" t="n">
        <x:f>E189-D189</x:f>
        <x:v>-0.12999999999999545</x:v>
      </x:c>
      <x:c r="G189" s="26" t="str">
        <x:v>仅接近（不超过0.15美元）</x:v>
      </x:c>
      <x:c r="H189" s="31" t="n">
        <x:v>36.586</x:v>
      </x:c>
      <x:c r="I189" s="31" t="n">
        <x:v>33.26</x:v>
      </x:c>
      <x:c r="J189" s="31" t="n">
        <x:v>33.26</x:v>
      </x:c>
      <x:c r="K189" s="26" t="str">
        <x:v>分项加总一致</x:v>
      </x:c>
      <x:c r="L189" s="31" t="n">
        <x:v>36.586</x:v>
      </x:c>
      <x:c r="M189" s="31" t="n">
        <x:f>L189-H189</x:f>
        <x:v>0</x:v>
      </x:c>
      <x:c r="N189" s="26" t="str">
        <x:v>一致（按此前统一收费口径）</x:v>
      </x:c>
      <x:c r="O189" s="26" t="n">
        <x:v>145</x:v>
      </x:c>
      <x:c r="P189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Q189" s="26" t="str">
        <x:v>运输费43.44
−折扣16.94
＋燃油6.76
＝承运净额33.26
账单实收36.586（按既有收费规则）</x:v>
      </x:c>
    </x:row>
    <x:row r="190" ht="120" customHeight="1">
      <x:c r="A190" s="26" t="n">
        <x:v>189</x:v>
      </x:c>
      <x:c r="B190" s="26" t="str">
        <x:v>873341905734</x:v>
      </x:c>
      <x:c r="C190" s="26" t="str">
        <x:v>EL100V2</x:v>
      </x:c>
      <x:c r="D190" s="31" t="n">
        <x:v>32.47</x:v>
      </x:c>
      <x:c r="E190" s="31" t="n">
        <x:v>32.34</x:v>
      </x:c>
      <x:c r="F190" s="31" t="n">
        <x:f>E190-D190</x:f>
        <x:v>-0.12999999999999545</x:v>
      </x:c>
      <x:c r="G190" s="26" t="str">
        <x:v>仅接近（不超过0.15美元）</x:v>
      </x:c>
      <x:c r="H190" s="31" t="n">
        <x:v>36.586</x:v>
      </x:c>
      <x:c r="I190" s="31" t="n">
        <x:v>33.26</x:v>
      </x:c>
      <x:c r="J190" s="31" t="n">
        <x:v>33.26</x:v>
      </x:c>
      <x:c r="K190" s="26" t="str">
        <x:v>分项加总一致</x:v>
      </x:c>
      <x:c r="L190" s="31" t="n">
        <x:v>36.586</x:v>
      </x:c>
      <x:c r="M190" s="31" t="n">
        <x:f>L190-H190</x:f>
        <x:v>0</x:v>
      </x:c>
      <x:c r="N190" s="26" t="str">
        <x:v>一致（按此前统一收费口径）</x:v>
      </x:c>
      <x:c r="O190" s="26" t="n">
        <x:v>119</x:v>
      </x:c>
      <x:c r="P190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Q190" s="26" t="str">
        <x:v>运输费43.44
−折扣16.94
＋燃油6.76
＝承运净额33.26
账单实收36.586（按既有收费规则）</x:v>
      </x:c>
    </x:row>
    <x:row r="191" ht="120" customHeight="1">
      <x:c r="A191" s="26" t="n">
        <x:v>190</x:v>
      </x:c>
      <x:c r="B191" s="26" t="str">
        <x:v>873062619570</x:v>
      </x:c>
      <x:c r="C191" s="26" t="str">
        <x:v>EL100V2</x:v>
      </x:c>
      <x:c r="D191" s="31" t="n">
        <x:v>32.47</x:v>
      </x:c>
      <x:c r="E191" s="31" t="n">
        <x:v>32.34</x:v>
      </x:c>
      <x:c r="F191" s="31" t="n">
        <x:f>E191-D191</x:f>
        <x:v>-0.12999999999999545</x:v>
      </x:c>
      <x:c r="G191" s="26" t="str">
        <x:v>仅接近（不超过0.15美元）</x:v>
      </x:c>
      <x:c r="H191" s="31" t="n">
        <x:v>36.586</x:v>
      </x:c>
      <x:c r="I191" s="31" t="n">
        <x:v>33.26</x:v>
      </x:c>
      <x:c r="J191" s="31" t="n">
        <x:v>33.26</x:v>
      </x:c>
      <x:c r="K191" s="26" t="str">
        <x:v>分项加总一致</x:v>
      </x:c>
      <x:c r="L191" s="31" t="n">
        <x:v>36.586</x:v>
      </x:c>
      <x:c r="M191" s="31" t="n">
        <x:f>L191-H191</x:f>
        <x:v>0</x:v>
      </x:c>
      <x:c r="N191" s="26" t="str">
        <x:v>一致（按此前统一收费口径）</x:v>
      </x:c>
      <x:c r="O191" s="26" t="n">
        <x:v>135</x:v>
      </x:c>
      <x:c r="P191" s="26" t="str">
        <x:v>反推假设：25lb、Zone6（账单Zone6）。
标准运费38.41×61%≈23.43
＋假设折后附加费0.00
＋燃油(23.43＋0.00)×25.50%≈5.97
＝预估承运成本29.40
按既有收费规则折算→预付32.34；与原预付差-0.13。</x:v>
      </x:c>
      <x:c r="Q191" s="26" t="str">
        <x:v>运输费43.44
−折扣16.94
＋燃油6.76
＝承运净额33.26
账单实收36.586（按既有收费规则）</x:v>
      </x:c>
    </x:row>
    <x:row r="192" ht="120" customHeight="1">
      <x:c r="A192" s="26" t="n">
        <x:v>191</x:v>
      </x:c>
      <x:c r="B192" s="26" t="str">
        <x:v>873122402042</x:v>
      </x:c>
      <x:c r="C192" s="26" t="str">
        <x:v>AC180</x:v>
      </x:c>
      <x:c r="D192" s="31" t="n">
        <x:v>45.3</x:v>
      </x:c>
      <x:c r="E192" s="31" t="n">
        <x:v>45.3</x:v>
      </x:c>
      <x:c r="F192" s="31" t="n">
        <x:f>E192-D192</x:f>
        <x:v>0</x:v>
      </x:c>
      <x:c r="G192" s="26" t="str">
        <x:v>一致（精确到美分）</x:v>
      </x:c>
      <x:c r="H192" s="31" t="n">
        <x:v>49.401</x:v>
      </x:c>
      <x:c r="I192" s="31" t="n">
        <x:v>44.91</x:v>
      </x:c>
      <x:c r="J192" s="31" t="n">
        <x:v>44.91</x:v>
      </x:c>
      <x:c r="K192" s="26" t="str">
        <x:v>分项加总一致</x:v>
      </x:c>
      <x:c r="L192" s="31" t="n">
        <x:v>49.401</x:v>
      </x:c>
      <x:c r="M192" s="31" t="n">
        <x:f>L192-H192</x:f>
        <x:v>0</x:v>
      </x:c>
      <x:c r="N192" s="26" t="str">
        <x:v>一致（按此前统一收费口径）</x:v>
      </x:c>
      <x:c r="O192" s="26" t="n">
        <x:v>76</x:v>
      </x:c>
      <x:c r="P192" s="26" t="str">
        <x:v>反推假设：38lb、Zone6（账单Zone6）。
标准运费53.57×61%≈32.68
＋假设折后附加费0.00
＋燃油(32.68＋0.00)×26.00%≈8.50
＝预估承运成本41.18
按既有收费规则折算→预付45.30；与原预付差+0.00。</x:v>
      </x:c>
      <x:c r="Q192" s="26" t="str">
        <x:v>运输费58.42
−折扣22.78
＋燃油9.27
＝承运净额44.91
账单实收49.401（按既有收费规则）</x:v>
      </x:c>
    </x:row>
    <x:row r="193" ht="120" customHeight="1">
      <x:c r="A193" s="26" t="n">
        <x:v>192</x:v>
      </x:c>
      <x:c r="B193" s="26" t="str">
        <x:v>874757565183</x:v>
      </x:c>
      <x:c r="C193" s="26" t="str">
        <x:v>SolarX 4K</x:v>
      </x:c>
      <x:c r="D193" s="31" t="n">
        <x:v>19.04</x:v>
      </x:c>
      <x:c r="E193" s="31" t="n">
        <x:v>18.24</x:v>
      </x:c>
      <x:c r="F193" s="31" t="n">
        <x:f>E193-D193</x:f>
        <x:v>-0.8000000000000007</x:v>
      </x:c>
      <x:c r="G193" s="26" t="str">
        <x:v>未对上</x:v>
      </x:c>
      <x:c r="H193" s="31" t="n">
        <x:v>23.133</x:v>
      </x:c>
      <x:c r="I193" s="31" t="n">
        <x:v>21.03</x:v>
      </x:c>
      <x:c r="J193" s="31" t="n">
        <x:v>21.03</x:v>
      </x:c>
      <x:c r="K193" s="26" t="str">
        <x:v>分项加总一致</x:v>
      </x:c>
      <x:c r="L193" s="31" t="n">
        <x:v>23.133</x:v>
      </x:c>
      <x:c r="M193" s="31" t="n">
        <x:f>L193-H193</x:f>
        <x:v>0</x:v>
      </x:c>
      <x:c r="N193" s="26" t="str">
        <x:v>一致（按此前统一收费口径）</x:v>
      </x:c>
      <x:c r="O193" s="26" t="n">
        <x:v>561</x:v>
      </x:c>
      <x:c r="P193" s="26" t="str">
        <x:v>反推假设：6lb、Zone8（账单Zone5）。
标准运费21.70×61%≈13.24
＋假设折后附加费0.00
＋燃油(13.24＋0.00)×25.25%≈3.34
＝预估承运成本16.58
按既有收费规则折算→预付18.24；与原预付差-0.80。</x:v>
      </x:c>
      <x:c r="Q193" s="26" t="str">
        <x:v>运输费27.52
−折扣10.73
＋燃油4.24
＝承运净额21.03
账单实收23.133（按既有收费规则）</x:v>
      </x:c>
    </x:row>
    <x:row r="194" ht="120" customHeight="1">
      <x:c r="A194" s="26" t="n">
        <x:v>193</x:v>
      </x:c>
      <x:c r="B194" s="26" t="str">
        <x:v>875028961352</x:v>
      </x:c>
      <x:c r="C194" s="26" t="str">
        <x:v>AC180</x:v>
      </x:c>
      <x:c r="D194" s="31" t="n">
        <x:v>45.21</x:v>
      </x:c>
      <x:c r="E194" s="31"/>
      <x:c r="F194" s="31"/>
      <x:c r="G194" s="26" t="str">
        <x:v>缺明细，无法试算</x:v>
      </x:c>
      <x:c r="H194" s="31" t="n">
        <x:v>49.302</x:v>
      </x:c>
      <x:c r="I194" s="31"/>
      <x:c r="J194" s="31"/>
      <x:c r="K194" s="26" t="str">
        <x:v>缺核对明细</x:v>
      </x:c>
      <x:c r="L194" s="31"/>
      <x:c r="M194" s="31"/>
      <x:c r="N194" s="26" t="str">
        <x:v>缺核对明细，无法核算</x:v>
      </x:c>
      <x:c r="O194" s="26"/>
      <x:c r="P194" s="26" t="str">
        <x:v>缺核对明细，无法重建预付；原预付仅按基础表保留。</x:v>
      </x:c>
      <x:c r="Q194" s="26" t="str">
        <x:v>缺原始核对明细，无法拆分。</x:v>
      </x:c>
    </x:row>
    <x:row r="195" ht="120" customHeight="1">
      <x:c r="A195" s="26" t="n">
        <x:v>194</x:v>
      </x:c>
      <x:c r="B195" s="26" t="str">
        <x:v>874764947246</x:v>
      </x:c>
      <x:c r="C195" s="26"/>
      <x:c r="D195" s="31" t="n">
        <x:v>21.72</x:v>
      </x:c>
      <x:c r="E195" s="31" t="n">
        <x:v>21.71</x:v>
      </x:c>
      <x:c r="F195" s="31" t="n">
        <x:f>E195-D195</x:f>
        <x:v>-0.00999999999999801</x:v>
      </x:c>
      <x:c r="G195" s="26" t="str">
        <x:v>仅接近（不超过0.15美元）</x:v>
      </x:c>
      <x:c r="H195" s="31" t="n">
        <x:v>25.795</x:v>
      </x:c>
      <x:c r="I195" s="31" t="n">
        <x:v>23.45</x:v>
      </x:c>
      <x:c r="J195" s="31" t="n">
        <x:v>23.45</x:v>
      </x:c>
      <x:c r="K195" s="26" t="str">
        <x:v>分项加总一致</x:v>
      </x:c>
      <x:c r="L195" s="31" t="n">
        <x:v>25.795</x:v>
      </x:c>
      <x:c r="M195" s="31" t="n">
        <x:f>L195-H195</x:f>
        <x:v>0</x:v>
      </x:c>
      <x:c r="N195" s="26" t="str">
        <x:v>一致（按此前统一收费口径）</x:v>
      </x:c>
      <x:c r="O195" s="26" t="n">
        <x:v>540</x:v>
      </x:c>
      <x:c r="P195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Q195" s="26" t="str">
        <x:v>运输费30.69
−折扣11.97
＋燃油4.73
＝承运净额23.45
账单实收25.795（按既有收费规则）</x:v>
      </x:c>
    </x:row>
    <x:row r="196" ht="120" customHeight="1">
      <x:c r="A196" s="26" t="n">
        <x:v>195</x:v>
      </x:c>
      <x:c r="B196" s="26" t="str">
        <x:v>873804075069</x:v>
      </x:c>
      <x:c r="C196" s="26" t="str">
        <x:v>AC180</x:v>
      </x:c>
      <x:c r="D196" s="31" t="n">
        <x:v>45.03</x:v>
      </x:c>
      <x:c r="E196" s="31" t="n">
        <x:v>45.02</x:v>
      </x:c>
      <x:c r="F196" s="31" t="n">
        <x:f>E196-D196</x:f>
        <x:v>-0.00999999999999801</x:v>
      </x:c>
      <x:c r="G196" s="26" t="str">
        <x:v>仅接近（不超过0.15美元）</x:v>
      </x:c>
      <x:c r="H196" s="31" t="n">
        <x:v>49.104</x:v>
      </x:c>
      <x:c r="I196" s="31" t="n">
        <x:v>44.64</x:v>
      </x:c>
      <x:c r="J196" s="31" t="n">
        <x:v>44.64</x:v>
      </x:c>
      <x:c r="K196" s="26" t="str">
        <x:v>分项加总一致</x:v>
      </x:c>
      <x:c r="L196" s="31" t="n">
        <x:v>49.104</x:v>
      </x:c>
      <x:c r="M196" s="31" t="n">
        <x:f>L196-H196</x:f>
        <x:v>0</x:v>
      </x:c>
      <x:c r="N196" s="26" t="str">
        <x:v>一致（按此前统一收费口径）</x:v>
      </x:c>
      <x:c r="O196" s="26" t="n">
        <x:v>233</x:v>
      </x:c>
      <x:c r="P196" s="26" t="str">
        <x:v>反推假设：38lb、Zone6（账单Zone6）。
标准运费53.57×61%≈32.68
＋假设折后附加费0.00
＋燃油(32.68＋0.00)×25.25%≈8.25
＝预估承运成本40.93
按既有收费规则折算→预付45.02；与原预付差-0.01。</x:v>
      </x:c>
      <x:c r="Q196" s="26" t="str">
        <x:v>运输费58.42
−折扣22.78
＋燃油9.00
＝承运净额44.64
账单实收49.104（按既有收费规则）</x:v>
      </x:c>
    </x:row>
    <x:row r="197" ht="120" customHeight="1">
      <x:c r="A197" s="26" t="n">
        <x:v>196</x:v>
      </x:c>
      <x:c r="B197" s="26" t="str">
        <x:v>873129844982</x:v>
      </x:c>
      <x:c r="C197" s="26" t="str">
        <x:v>EL100V2</x:v>
      </x:c>
      <x:c r="D197" s="31" t="n">
        <x:v>26.41</x:v>
      </x:c>
      <x:c r="E197" s="31" t="n">
        <x:v>26.4</x:v>
      </x:c>
      <x:c r="F197" s="31" t="n">
        <x:f>E197-D197</x:f>
        <x:v>-0.010000000000001563</x:v>
      </x:c>
      <x:c r="G197" s="26" t="str">
        <x:v>仅接近（不超过0.15美元）</x:v>
      </x:c>
      <x:c r="H197" s="31" t="n">
        <x:v>30.459</x:v>
      </x:c>
      <x:c r="I197" s="31" t="n">
        <x:v>27.69</x:v>
      </x:c>
      <x:c r="J197" s="31" t="n">
        <x:v>27.69</x:v>
      </x:c>
      <x:c r="K197" s="26" t="str">
        <x:v>分项加总一致</x:v>
      </x:c>
      <x:c r="L197" s="31" t="n">
        <x:v>30.459</x:v>
      </x:c>
      <x:c r="M197" s="31" t="n">
        <x:f>L197-H197</x:f>
        <x:v>0</x:v>
      </x:c>
      <x:c r="N197" s="26" t="str">
        <x:v>一致（按此前统一收费口径）</x:v>
      </x:c>
      <x:c r="O197" s="26" t="n">
        <x:v>114</x:v>
      </x:c>
      <x:c r="P197" s="26" t="str">
        <x:v>反推假设：25lb、Zone5（账单Zone5）。
标准运费31.23×61%≈19.05
＋假设折后附加费0.00
＋燃油(19.05＋0.00)×26.00%≈4.95
＝预估承运成本24.00
按既有收费规则折算→预付26.40；与原预付差-0.01。</x:v>
      </x:c>
      <x:c r="Q197" s="26" t="str">
        <x:v>运输费36.03
−折扣14.05
＋燃油5.71
＝承运净额27.69
账单实收30.459（按既有收费规则）</x:v>
      </x:c>
    </x:row>
    <x:row r="198" ht="120" customHeight="1">
      <x:c r="A198" s="26" t="n">
        <x:v>197</x:v>
      </x:c>
      <x:c r="B198" s="26" t="str">
        <x:v>873598300616</x:v>
      </x:c>
      <x:c r="C198" s="26" t="str">
        <x:v>EL100V2</x:v>
      </x:c>
      <x:c r="D198" s="31" t="n">
        <x:v>26.31</x:v>
      </x:c>
      <x:c r="E198" s="31" t="n">
        <x:v>26.3</x:v>
      </x:c>
      <x:c r="F198" s="31" t="n">
        <x:f>E198-D198</x:f>
        <x:v>-0.00999999999999801</x:v>
      </x:c>
      <x:c r="G198" s="26" t="str">
        <x:v>仅接近（不超过0.15美元）</x:v>
      </x:c>
      <x:c r="H198" s="31" t="n">
        <x:v>30.338</x:v>
      </x:c>
      <x:c r="I198" s="31" t="n">
        <x:v>27.58</x:v>
      </x:c>
      <x:c r="J198" s="31" t="n">
        <x:v>27.58</x:v>
      </x:c>
      <x:c r="K198" s="26" t="str">
        <x:v>分项加总一致</x:v>
      </x:c>
      <x:c r="L198" s="31" t="n">
        <x:v>30.338</x:v>
      </x:c>
      <x:c r="M198" s="31" t="n">
        <x:f>L198-H198</x:f>
        <x:v>0</x:v>
      </x:c>
      <x:c r="N198" s="26" t="str">
        <x:v>一致（按此前统一收费口径）</x:v>
      </x:c>
      <x:c r="O198" s="26" t="n">
        <x:v>166</x:v>
      </x:c>
      <x:c r="P198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Q198" s="26" t="str">
        <x:v>运输费36.03
−折扣14.05
＋燃油5.60
＝承运净额27.58
账单实收30.338（按既有收费规则）</x:v>
      </x:c>
    </x:row>
    <x:row r="199" ht="120" customHeight="1">
      <x:c r="A199" s="26" t="n">
        <x:v>198</x:v>
      </x:c>
      <x:c r="B199" s="26" t="str">
        <x:v>873544383510</x:v>
      </x:c>
      <x:c r="C199" s="26" t="str">
        <x:v>EL100V2</x:v>
      </x:c>
      <x:c r="D199" s="31" t="n">
        <x:v>26.31</x:v>
      </x:c>
      <x:c r="E199" s="31" t="n">
        <x:v>26.3</x:v>
      </x:c>
      <x:c r="F199" s="31" t="n">
        <x:f>E199-D199</x:f>
        <x:v>-0.00999999999999801</x:v>
      </x:c>
      <x:c r="G199" s="26" t="str">
        <x:v>仅接近（不超过0.15美元）</x:v>
      </x:c>
      <x:c r="H199" s="31" t="n">
        <x:v>30.338</x:v>
      </x:c>
      <x:c r="I199" s="31" t="n">
        <x:v>27.58</x:v>
      </x:c>
      <x:c r="J199" s="31" t="n">
        <x:v>27.58</x:v>
      </x:c>
      <x:c r="K199" s="26" t="str">
        <x:v>分项加总一致</x:v>
      </x:c>
      <x:c r="L199" s="31" t="n">
        <x:v>30.338</x:v>
      </x:c>
      <x:c r="M199" s="31" t="n">
        <x:f>L199-H199</x:f>
        <x:v>0</x:v>
      </x:c>
      <x:c r="N199" s="26" t="str">
        <x:v>一致（按此前统一收费口径）</x:v>
      </x:c>
      <x:c r="O199" s="26" t="n">
        <x:v>162</x:v>
      </x:c>
      <x:c r="P199" s="26" t="str">
        <x:v>反推假设：25lb、Zone5（账单Zone5）。
标准运费31.23×61%≈19.05
＋假设折后附加费0.00
＋燃油(19.05＋0.00)×25.50%≈4.86
＝预估承运成本23.91
按既有收费规则折算→预付26.30；与原预付差-0.01。</x:v>
      </x:c>
      <x:c r="Q199" s="26" t="str">
        <x:v>运输费36.03
−折扣14.05
＋燃油5.60
＝承运净额27.58
账单实收30.338（按既有收费规则）</x:v>
      </x:c>
    </x:row>
    <x:row r="200" ht="120" customHeight="1">
      <x:c r="A200" s="26" t="n">
        <x:v>199</x:v>
      </x:c>
      <x:c r="B200" s="26" t="str">
        <x:v>874087509761</x:v>
      </x:c>
      <x:c r="C200" s="26" t="str">
        <x:v>EL100V2</x:v>
      </x:c>
      <x:c r="D200" s="31" t="n">
        <x:v>26.2</x:v>
      </x:c>
      <x:c r="E200" s="31" t="n">
        <x:v>26.19</x:v>
      </x:c>
      <x:c r="F200" s="31" t="n">
        <x:f>E200-D200</x:f>
        <x:v>-0.00999999999999801</x:v>
      </x:c>
      <x:c r="G200" s="26" t="str">
        <x:v>仅接近（不超过0.15美元）</x:v>
      </x:c>
      <x:c r="H200" s="31" t="n">
        <x:v>30.228</x:v>
      </x:c>
      <x:c r="I200" s="31" t="n">
        <x:v>27.48</x:v>
      </x:c>
      <x:c r="J200" s="31" t="n">
        <x:v>27.48</x:v>
      </x:c>
      <x:c r="K200" s="26" t="str">
        <x:v>分项加总一致</x:v>
      </x:c>
      <x:c r="L200" s="31" t="n">
        <x:v>30.228</x:v>
      </x:c>
      <x:c r="M200" s="31" t="n">
        <x:f>L200-H200</x:f>
        <x:v>0</x:v>
      </x:c>
      <x:c r="N200" s="26" t="str">
        <x:v>一致（按此前统一收费口径）</x:v>
      </x:c>
      <x:c r="O200" s="26" t="n">
        <x:v>349</x:v>
      </x:c>
      <x:c r="P200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Q200" s="26" t="str">
        <x:v>运输费36.03
−折扣14.05
＋燃油5.50
＝承运净额27.48
账单实收30.228（按既有收费规则）</x:v>
      </x:c>
    </x:row>
    <x:row r="201" ht="120" customHeight="1">
      <x:c r="A201" s="26" t="n">
        <x:v>200</x:v>
      </x:c>
      <x:c r="B201" s="26" t="str">
        <x:v>874086007450</x:v>
      </x:c>
      <x:c r="C201" s="26" t="str">
        <x:v>EL100V2</x:v>
      </x:c>
      <x:c r="D201" s="31" t="n">
        <x:v>26.2</x:v>
      </x:c>
      <x:c r="E201" s="31" t="n">
        <x:v>26.19</x:v>
      </x:c>
      <x:c r="F201" s="31" t="n">
        <x:f>E201-D201</x:f>
        <x:v>-0.00999999999999801</x:v>
      </x:c>
      <x:c r="G201" s="26" t="str">
        <x:v>仅接近（不超过0.15美元）</x:v>
      </x:c>
      <x:c r="H201" s="31" t="n">
        <x:v>30.228</x:v>
      </x:c>
      <x:c r="I201" s="31" t="n">
        <x:v>27.48</x:v>
      </x:c>
      <x:c r="J201" s="31" t="n">
        <x:v>27.48</x:v>
      </x:c>
      <x:c r="K201" s="26" t="str">
        <x:v>分项加总一致</x:v>
      </x:c>
      <x:c r="L201" s="31" t="n">
        <x:v>30.228</x:v>
      </x:c>
      <x:c r="M201" s="31" t="n">
        <x:f>L201-H201</x:f>
        <x:v>0</x:v>
      </x:c>
      <x:c r="N201" s="26" t="str">
        <x:v>一致（按此前统一收费口径）</x:v>
      </x:c>
      <x:c r="O201" s="26" t="n">
        <x:v>348</x:v>
      </x:c>
      <x:c r="P201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Q201" s="26" t="str">
        <x:v>运输费36.03
−折扣14.05
＋燃油5.50
＝承运净额27.48
账单实收30.228（按既有收费规则）</x:v>
      </x:c>
    </x:row>
    <x:row r="202" ht="120" customHeight="1">
      <x:c r="A202" s="26" t="n">
        <x:v>201</x:v>
      </x:c>
      <x:c r="B202" s="26" t="str">
        <x:v>874515197234</x:v>
      </x:c>
      <x:c r="C202" s="26" t="str">
        <x:v>EL300</x:v>
      </x:c>
      <x:c r="D202" s="31" t="n">
        <x:v>95.71</x:v>
      </x:c>
      <x:c r="E202" s="31" t="n">
        <x:v>95.92</x:v>
      </x:c>
      <x:c r="F202" s="31" t="n">
        <x:f>E202-D202</x:f>
        <x:v>0.21000000000000796</x:v>
      </x:c>
      <x:c r="G202" s="26" t="str">
        <x:v>未对上</x:v>
      </x:c>
      <x:c r="H202" s="31" t="n">
        <x:v>99.726</x:v>
      </x:c>
      <x:c r="I202" s="31" t="n">
        <x:v>90.66</x:v>
      </x:c>
      <x:c r="J202" s="31" t="n">
        <x:v>90.66</x:v>
      </x:c>
      <x:c r="K202" s="26" t="str">
        <x:v>分项加总一致</x:v>
      </x:c>
      <x:c r="L202" s="31" t="n">
        <x:v>99.726</x:v>
      </x:c>
      <x:c r="M202" s="31" t="n">
        <x:f>L202-H202</x:f>
        <x:v>0</x:v>
      </x:c>
      <x:c r="N202" s="26" t="str">
        <x:v>一致（按此前统一收费口径）</x:v>
      </x:c>
      <x:c r="O202" s="26" t="n">
        <x:v>498</x:v>
      </x:c>
      <x:c r="P202" s="26" t="str">
        <x:v>反推假设：56lb、Zone6（账单Zone6）。
标准运费68.01×61%≈41.49
＋假设折后附加费28.13
＋燃油(41.49＋28.13)×25.25%≈17.58
＝预估承运成本87.20
按既有收费规则折算→预付95.92；与原预付差+0.21。</x:v>
      </x:c>
      <x:c r="Q202" s="26" t="str">
        <x:v>运输费72.55
−折扣28.29
＋Add'l Handling-Weight 28.12
＋燃油18.28
＝承运净额90.66
账单实收99.726（按既有收费规则）</x:v>
      </x:c>
    </x:row>
    <x:row r="203" ht="120" customHeight="1">
      <x:c r="A203" s="26" t="n">
        <x:v>202</x:v>
      </x:c>
      <x:c r="B203" s="26" t="str">
        <x:v>873807141577</x:v>
      </x:c>
      <x:c r="C203" s="26" t="str">
        <x:v>EL100V2</x:v>
      </x:c>
      <x:c r="D203" s="31" t="n">
        <x:v>26.25</x:v>
      </x:c>
      <x:c r="E203" s="31" t="n">
        <x:v>26.19</x:v>
      </x:c>
      <x:c r="F203" s="31" t="n">
        <x:f>E203-D203</x:f>
        <x:v>-0.05999999999999872</x:v>
      </x:c>
      <x:c r="G203" s="26" t="str">
        <x:v>仅接近（不超过0.15美元）</x:v>
      </x:c>
      <x:c r="H203" s="31" t="n">
        <x:v>30.228</x:v>
      </x:c>
      <x:c r="I203" s="31" t="n">
        <x:v>27.48</x:v>
      </x:c>
      <x:c r="J203" s="31" t="n">
        <x:v>27.48</x:v>
      </x:c>
      <x:c r="K203" s="26" t="str">
        <x:v>分项加总一致</x:v>
      </x:c>
      <x:c r="L203" s="31" t="n">
        <x:v>30.228</x:v>
      </x:c>
      <x:c r="M203" s="31" t="n">
        <x:f>L203-H203</x:f>
        <x:v>0</x:v>
      </x:c>
      <x:c r="N203" s="26" t="str">
        <x:v>一致（按此前统一收费口径）</x:v>
      </x:c>
      <x:c r="O203" s="26" t="n">
        <x:v>321</x:v>
      </x:c>
      <x:c r="P203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Q203" s="26" t="str">
        <x:v>运输费36.03
−折扣14.05
＋燃油5.50
＝承运净额27.48
账单实收30.228（按既有收费规则）</x:v>
      </x:c>
    </x:row>
    <x:row r="204" ht="120" customHeight="1">
      <x:c r="A204" s="26" t="n">
        <x:v>203</x:v>
      </x:c>
      <x:c r="B204" s="26" t="str">
        <x:v>874712418775</x:v>
      </x:c>
      <x:c r="C204" s="26" t="str">
        <x:v>EL100V</x:v>
      </x:c>
      <x:c r="D204" s="31" t="n">
        <x:v>17.5</x:v>
      </x:c>
      <x:c r="E204" s="31" t="n">
        <x:v>17.5</x:v>
      </x:c>
      <x:c r="F204" s="31" t="n">
        <x:f>E204-D204</x:f>
        <x:v>0</x:v>
      </x:c>
      <x:c r="G204" s="26" t="str">
        <x:v>一致（精确到美分）</x:v>
      </x:c>
      <x:c r="H204" s="31" t="n">
        <x:v>21.439</x:v>
      </x:c>
      <x:c r="I204" s="31" t="n">
        <x:v>19.49</x:v>
      </x:c>
      <x:c r="J204" s="31" t="n">
        <x:v>19.49</x:v>
      </x:c>
      <x:c r="K204" s="26" t="str">
        <x:v>分项加总一致</x:v>
      </x:c>
      <x:c r="L204" s="31" t="n">
        <x:v>21.439</x:v>
      </x:c>
      <x:c r="M204" s="31" t="n">
        <x:f>L204-H204</x:f>
        <x:v>0</x:v>
      </x:c>
      <x:c r="N204" s="26" t="str">
        <x:v>一致（按此前统一收费口径）</x:v>
      </x:c>
      <x:c r="O204" s="26" t="n">
        <x:v>536</x:v>
      </x:c>
      <x:c r="P204" s="26" t="str">
        <x:v>反推假设：25lb、Zone2（账单Zone3）。
标准运费20.82×61%≈12.70
＋假设折后附加费0.00
＋燃油(12.70＋0.00)×25.25%≈3.21
＝预估承运成本15.91
按既有收费规则折算→预付17.50；与原预付差+0.00。</x:v>
      </x:c>
      <x:c r="Q204" s="26" t="str">
        <x:v>运输费25.51
−折扣9.95
＋燃油3.93
＝承运净额19.49
账单实收21.439（按既有收费规则）</x:v>
      </x:c>
    </x:row>
    <x:row r="205" ht="120" customHeight="1">
      <x:c r="A205" s="26" t="n">
        <x:v>204</x:v>
      </x:c>
      <x:c r="B205" s="26" t="str">
        <x:v>874647411990</x:v>
      </x:c>
      <x:c r="C205" s="26" t="str">
        <x:v>AC300</x:v>
      </x:c>
      <x:c r="D205" s="31" t="n">
        <x:v>125.38</x:v>
      </x:c>
      <x:c r="E205" s="31"/>
      <x:c r="F205" s="31"/>
      <x:c r="G205" s="26" t="str">
        <x:v>缺明细，无法试算</x:v>
      </x:c>
      <x:c r="H205" s="31" t="n">
        <x:v>129.294</x:v>
      </x:c>
      <x:c r="I205" s="31"/>
      <x:c r="J205" s="31"/>
      <x:c r="K205" s="26" t="str">
        <x:v>缺核对明细</x:v>
      </x:c>
      <x:c r="L205" s="31"/>
      <x:c r="M205" s="31"/>
      <x:c r="N205" s="26" t="str">
        <x:v>缺核对明细，无法核算</x:v>
      </x:c>
      <x:c r="O205" s="26"/>
      <x:c r="P205" s="26" t="str">
        <x:v>缺核对明细，无法重建预付；原预付仅按基础表保留。</x:v>
      </x:c>
      <x:c r="Q205" s="26" t="str">
        <x:v>缺原始核对明细，无法拆分。</x:v>
      </x:c>
    </x:row>
    <x:row r="206" ht="120" customHeight="1">
      <x:c r="A206" s="26" t="n">
        <x:v>205</x:v>
      </x:c>
      <x:c r="B206" s="26" t="str">
        <x:v>874199056704</x:v>
      </x:c>
      <x:c r="C206" s="26" t="str">
        <x:v>AC200L</x:v>
      </x:c>
      <x:c r="D206" s="31" t="n">
        <x:v>65.37</x:v>
      </x:c>
      <x:c r="E206" s="31" t="n">
        <x:v>65.38</x:v>
      </x:c>
      <x:c r="F206" s="31" t="n">
        <x:f>E206-D206</x:f>
        <x:v>0.009999999999990905</x:v>
      </x:c>
      <x:c r="G206" s="26" t="str">
        <x:v>仅接近（不超过0.15美元）</x:v>
      </x:c>
      <x:c r="H206" s="31" t="n">
        <x:v>69.179</x:v>
      </x:c>
      <x:c r="I206" s="31" t="n">
        <x:v>62.89</x:v>
      </x:c>
      <x:c r="J206" s="31" t="n">
        <x:v>62.89</x:v>
      </x:c>
      <x:c r="K206" s="26" t="str">
        <x:v>分项加总一致</x:v>
      </x:c>
      <x:c r="L206" s="31" t="n">
        <x:v>69.179</x:v>
      </x:c>
      <x:c r="M206" s="31" t="n">
        <x:f>L206-H206</x:f>
        <x:v>0</x:v>
      </x:c>
      <x:c r="N206" s="26" t="str">
        <x:v>一致（按此前统一收费口径）</x:v>
      </x:c>
      <x:c r="O206" s="26" t="n">
        <x:v>435</x:v>
      </x:c>
      <x:c r="P206" s="26" t="str">
        <x:v>反推假设：56lb、Zone3（账单Zone3）。
标准运费36.76×61%≈22.42
＋假设折后附加费25.13
＋燃油(22.42＋25.13)×25.00%≈11.89
＝预估承运成本59.44
按既有收费规则折算→预付65.38；与原预付差+0.01。</x:v>
      </x:c>
      <x:c r="Q206" s="26" t="str">
        <x:v>运输费41.29
−折扣16.10
＋Add'l Handling-Weight 25.12
＋燃油12.58
＝承运净额62.89
账单实收69.179（按既有收费规则）</x:v>
      </x:c>
    </x:row>
    <x:row r="207" ht="120" customHeight="1">
      <x:c r="A207" s="26" t="n">
        <x:v>206</x:v>
      </x:c>
      <x:c r="B207" s="26" t="str">
        <x:v>874454129625</x:v>
      </x:c>
      <x:c r="C207" s="26" t="str">
        <x:v>EL300</x:v>
      </x:c>
      <x:c r="D207" s="31" t="n">
        <x:v>95.73</x:v>
      </x:c>
      <x:c r="E207" s="31" t="n">
        <x:v>95.74</x:v>
      </x:c>
      <x:c r="F207" s="31" t="n">
        <x:f>E207-D207</x:f>
        <x:v>0.009999999999990905</x:v>
      </x:c>
      <x:c r="G207" s="26" t="str">
        <x:v>仅接近（不超过0.15美元）</x:v>
      </x:c>
      <x:c r="H207" s="31" t="n">
        <x:v>99.528</x:v>
      </x:c>
      <x:c r="I207" s="31" t="n">
        <x:v>90.48</x:v>
      </x:c>
      <x:c r="J207" s="31" t="n">
        <x:v>90.48</x:v>
      </x:c>
      <x:c r="K207" s="26" t="str">
        <x:v>分项加总一致</x:v>
      </x:c>
      <x:c r="L207" s="31" t="n">
        <x:v>99.528</x:v>
      </x:c>
      <x:c r="M207" s="31" t="n">
        <x:f>L207-H207</x:f>
        <x:v>0</x:v>
      </x:c>
      <x:c r="N207" s="26" t="str">
        <x:v>一致（按此前统一收费口径）</x:v>
      </x:c>
      <x:c r="O207" s="26" t="n">
        <x:v>450</x:v>
      </x:c>
      <x:c r="P207" s="26" t="str">
        <x:v>反推假设：58lb、Zone6（账单Zone6）。
标准运费68.04×61%≈41.50
＋假设折后附加费28.13
＋燃油(41.50＋28.13)×25.00%≈17.41
＝预估承运成本87.04
按既有收费规则折算→预付95.74；与原预付差+0.01。</x:v>
      </x:c>
      <x:c r="Q207" s="26" t="str">
        <x:v>运输费72.55
−折扣28.29
＋Add'l Handling-Weight 28.12
＋燃油18.10
＝承运净额90.48
账单实收99.528（按既有收费规则）</x:v>
      </x:c>
    </x:row>
    <x:row r="208" ht="120" customHeight="1">
      <x:c r="A208" s="26" t="n">
        <x:v>207</x:v>
      </x:c>
      <x:c r="B208" s="26" t="str">
        <x:v>874461667390</x:v>
      </x:c>
      <x:c r="C208" s="26" t="str">
        <x:v>EL300</x:v>
      </x:c>
      <x:c r="D208" s="31" t="n">
        <x:v>66.86</x:v>
      </x:c>
      <x:c r="E208" s="31" t="n">
        <x:v>67</x:v>
      </x:c>
      <x:c r="F208" s="31" t="n">
        <x:f>E208-D208</x:f>
        <x:v>0.14000000000000057</x:v>
      </x:c>
      <x:c r="G208" s="26" t="str">
        <x:v>仅接近（不超过0.15美元）</x:v>
      </x:c>
      <x:c r="H208" s="31" t="n">
        <x:v>70.598</x:v>
      </x:c>
      <x:c r="I208" s="31" t="n">
        <x:v>64.18</x:v>
      </x:c>
      <x:c r="J208" s="31" t="n">
        <x:v>64.18</x:v>
      </x:c>
      <x:c r="K208" s="26" t="str">
        <x:v>分项加总一致</x:v>
      </x:c>
      <x:c r="L208" s="31" t="n">
        <x:v>70.598</x:v>
      </x:c>
      <x:c r="M208" s="31" t="n">
        <x:f>L208-H208</x:f>
        <x:v>0</x:v>
      </x:c>
      <x:c r="N208" s="26" t="str">
        <x:v>一致（按此前统一收费口径）</x:v>
      </x:c>
      <x:c r="O208" s="26" t="n">
        <x:v>459</x:v>
      </x:c>
      <x:c r="P208" s="26" t="str">
        <x:v>反推假设：61lb、Zone3（账单Zone3）。
标准运费38.53×61%≈23.50
＋假设折后附加费25.13
＋燃油(23.50＋25.13)×25.25%≈12.28
＝预估承运成本60.91
按既有收费规则折算→预付67.00；与原预付差+0.14。</x:v>
      </x:c>
      <x:c r="Q208" s="26" t="str">
        <x:v>运输费42.82
−折扣16.70
＋Add'l Handling-Weight 25.12
＋燃油12.94
＝承运净额64.18
账单实收70.598（按既有收费规则）</x:v>
      </x:c>
    </x:row>
    <x:row r="209" ht="120" customHeight="1">
      <x:c r="A209" s="26" t="n">
        <x:v>208</x:v>
      </x:c>
      <x:c r="B209" s="26" t="str">
        <x:v>873857958281</x:v>
      </x:c>
      <x:c r="C209" s="26" t="str">
        <x:v>EL100V2</x:v>
      </x:c>
      <x:c r="D209" s="31" t="n">
        <x:v>21.72</x:v>
      </x:c>
      <x:c r="E209" s="31"/>
      <x:c r="F209" s="31"/>
      <x:c r="G209" s="26" t="str">
        <x:v>缺明细，无法试算</x:v>
      </x:c>
      <x:c r="H209" s="31" t="n">
        <x:v>25.388</x:v>
      </x:c>
      <x:c r="I209" s="31"/>
      <x:c r="J209" s="31"/>
      <x:c r="K209" s="26" t="str">
        <x:v>缺核对明细</x:v>
      </x:c>
      <x:c r="L209" s="31"/>
      <x:c r="M209" s="31"/>
      <x:c r="N209" s="26" t="str">
        <x:v>缺核对明细，无法核算</x:v>
      </x:c>
      <x:c r="O209" s="26"/>
      <x:c r="P209" s="26" t="str">
        <x:v>缺核对明细，无法重建预付；原预付仅按基础表保留。</x:v>
      </x:c>
      <x:c r="Q209" s="26" t="str">
        <x:v>缺原始核对明细，无法拆分。</x:v>
      </x:c>
    </x:row>
    <x:row r="210" ht="120" customHeight="1">
      <x:c r="A210" s="26" t="n">
        <x:v>209</x:v>
      </x:c>
      <x:c r="B210" s="26" t="str">
        <x:v>875136838411</x:v>
      </x:c>
      <x:c r="C210" s="26" t="str">
        <x:v>AC2A</x:v>
      </x:c>
      <x:c r="D210" s="31" t="n">
        <x:v>19.12</x:v>
      </x:c>
      <x:c r="E210" s="31"/>
      <x:c r="F210" s="31"/>
      <x:c r="G210" s="26" t="str">
        <x:v>缺明细，无法试算</x:v>
      </x:c>
      <x:c r="H210" s="31" t="n">
        <x:v>22.781</x:v>
      </x:c>
      <x:c r="I210" s="31"/>
      <x:c r="J210" s="31"/>
      <x:c r="K210" s="26" t="str">
        <x:v>缺核对明细</x:v>
      </x:c>
      <x:c r="L210" s="31"/>
      <x:c r="M210" s="31"/>
      <x:c r="N210" s="26" t="str">
        <x:v>缺核对明细，无法核算</x:v>
      </x:c>
      <x:c r="O210" s="26"/>
      <x:c r="P210" s="26" t="str">
        <x:v>缺核对明细，无法重建预付；原预付仅按基础表保留。</x:v>
      </x:c>
      <x:c r="Q210" s="26" t="str">
        <x:v>缺原始核对明细，无法拆分。</x:v>
      </x:c>
    </x:row>
    <x:row r="211" ht="120" customHeight="1">
      <x:c r="A211" s="26" t="n">
        <x:v>210</x:v>
      </x:c>
      <x:c r="B211" s="26" t="str">
        <x:v>874457397667</x:v>
      </x:c>
      <x:c r="C211" s="26"/>
      <x:c r="D211" s="31" t="n">
        <x:v>21.67</x:v>
      </x:c>
      <x:c r="E211" s="31" t="n">
        <x:v>21.71</x:v>
      </x:c>
      <x:c r="F211" s="31" t="n">
        <x:f>E211-D211</x:f>
        <x:v>0.03999999999999915</x:v>
      </x:c>
      <x:c r="G211" s="26" t="str">
        <x:v>仅接近（不超过0.15美元）</x:v>
      </x:c>
      <x:c r="H211" s="31" t="n">
        <x:v>25.278</x:v>
      </x:c>
      <x:c r="I211" s="31" t="n">
        <x:v>22.98</x:v>
      </x:c>
      <x:c r="J211" s="31" t="n">
        <x:v>22.98</x:v>
      </x:c>
      <x:c r="K211" s="26" t="str">
        <x:v>分项加总一致</x:v>
      </x:c>
      <x:c r="L211" s="31" t="n">
        <x:v>25.278</x:v>
      </x:c>
      <x:c r="M211" s="31" t="n">
        <x:f>L211-H211</x:f>
        <x:v>0</x:v>
      </x:c>
      <x:c r="N211" s="26" t="str">
        <x:v>一致（按此前统一收费口径）</x:v>
      </x:c>
      <x:c r="O211" s="26" t="n">
        <x:v>490</x:v>
      </x:c>
      <x:c r="P211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Q211" s="26" t="str">
        <x:v>运输费30.08
−折扣11.73
＋燃油4.63
＝承运净额22.98
账单实收25.278（按既有收费规则）</x:v>
      </x:c>
    </x:row>
    <x:row r="212" ht="120" customHeight="1">
      <x:c r="A212" s="26" t="n">
        <x:v>211</x:v>
      </x:c>
      <x:c r="B212" s="26" t="str">
        <x:v>874405572227</x:v>
      </x:c>
      <x:c r="C212" s="26" t="str">
        <x:v>EL100V2</x:v>
      </x:c>
      <x:c r="D212" s="31" t="n">
        <x:v>21.67</x:v>
      </x:c>
      <x:c r="E212" s="31" t="n">
        <x:v>21.71</x:v>
      </x:c>
      <x:c r="F212" s="31" t="n">
        <x:f>E212-D212</x:f>
        <x:v>0.03999999999999915</x:v>
      </x:c>
      <x:c r="G212" s="26" t="str">
        <x:v>仅接近（不超过0.15美元）</x:v>
      </x:c>
      <x:c r="H212" s="31" t="n">
        <x:v>25.278</x:v>
      </x:c>
      <x:c r="I212" s="31" t="n">
        <x:v>22.98</x:v>
      </x:c>
      <x:c r="J212" s="31" t="n">
        <x:v>22.98</x:v>
      </x:c>
      <x:c r="K212" s="26" t="str">
        <x:v>分项加总一致</x:v>
      </x:c>
      <x:c r="L212" s="31" t="n">
        <x:v>25.278</x:v>
      </x:c>
      <x:c r="M212" s="31" t="n">
        <x:f>L212-H212</x:f>
        <x:v>0</x:v>
      </x:c>
      <x:c r="N212" s="26" t="str">
        <x:v>一致（按此前统一收费口径）</x:v>
      </x:c>
      <x:c r="O212" s="26" t="n">
        <x:v>468</x:v>
      </x:c>
      <x:c r="P212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Q212" s="26" t="str">
        <x:v>运输费30.08
−折扣11.73
＋燃油4.63
＝承运净额22.98
账单实收25.278（按既有收费规则）</x:v>
      </x:c>
    </x:row>
    <x:row r="213" ht="120" customHeight="1">
      <x:c r="A213" s="26" t="n">
        <x:v>212</x:v>
      </x:c>
      <x:c r="B213" s="26" t="str">
        <x:v>874819305254</x:v>
      </x:c>
      <x:c r="C213" s="26" t="str">
        <x:v>EL100V2</x:v>
      </x:c>
      <x:c r="D213" s="31" t="n">
        <x:v>21.72</x:v>
      </x:c>
      <x:c r="E213" s="31"/>
      <x:c r="F213" s="31"/>
      <x:c r="G213" s="26" t="str">
        <x:v>缺明细，无法试算</x:v>
      </x:c>
      <x:c r="H213" s="31" t="n">
        <x:v>25.278</x:v>
      </x:c>
      <x:c r="I213" s="31"/>
      <x:c r="J213" s="31"/>
      <x:c r="K213" s="26" t="str">
        <x:v>缺核对明细</x:v>
      </x:c>
      <x:c r="L213" s="31"/>
      <x:c r="M213" s="31"/>
      <x:c r="N213" s="26" t="str">
        <x:v>缺核对明细，无法核算</x:v>
      </x:c>
      <x:c r="O213" s="26"/>
      <x:c r="P213" s="26" t="str">
        <x:v>缺核对明细，无法重建预付；原预付仅按基础表保留。</x:v>
      </x:c>
      <x:c r="Q213" s="26" t="str">
        <x:v>缺原始核对明细，无法拆分。</x:v>
      </x:c>
    </x:row>
    <x:row r="214" ht="120" customHeight="1">
      <x:c r="A214" s="26" t="n">
        <x:v>213</x:v>
      </x:c>
      <x:c r="B214" s="26" t="str">
        <x:v>873805604665</x:v>
      </x:c>
      <x:c r="C214" s="26" t="str">
        <x:v>EL100V2</x:v>
      </x:c>
      <x:c r="D214" s="31" t="n">
        <x:v>21.72</x:v>
      </x:c>
      <x:c r="E214" s="31" t="n">
        <x:v>21.71</x:v>
      </x:c>
      <x:c r="F214" s="31" t="n">
        <x:f>E214-D214</x:f>
        <x:v>-0.00999999999999801</x:v>
      </x:c>
      <x:c r="G214" s="26" t="str">
        <x:v>仅接近（不超过0.15美元）</x:v>
      </x:c>
      <x:c r="H214" s="31" t="n">
        <x:v>25.278</x:v>
      </x:c>
      <x:c r="I214" s="31" t="n">
        <x:v>22.98</x:v>
      </x:c>
      <x:c r="J214" s="31" t="n">
        <x:v>22.98</x:v>
      </x:c>
      <x:c r="K214" s="26" t="str">
        <x:v>分项加总一致</x:v>
      </x:c>
      <x:c r="L214" s="31" t="n">
        <x:v>25.278</x:v>
      </x:c>
      <x:c r="M214" s="31" t="n">
        <x:f>L214-H214</x:f>
        <x:v>0</x:v>
      </x:c>
      <x:c r="N214" s="26" t="str">
        <x:v>一致（按此前统一收费口径）</x:v>
      </x:c>
      <x:c r="O214" s="26" t="n">
        <x:v>234</x:v>
      </x:c>
      <x:c r="P21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Q214" s="26" t="str">
        <x:v>运输费30.08
−折扣11.73
＋燃油4.63
＝承运净额22.98
账单实收25.278（按既有收费规则）</x:v>
      </x:c>
    </x:row>
    <x:row r="215" ht="120" customHeight="1">
      <x:c r="A215" s="26" t="n">
        <x:v>214</x:v>
      </x:c>
      <x:c r="B215" s="26" t="str">
        <x:v>873684283590</x:v>
      </x:c>
      <x:c r="C215" s="26" t="str">
        <x:v>AC180</x:v>
      </x:c>
      <x:c r="D215" s="31" t="n">
        <x:v>30.19</x:v>
      </x:c>
      <x:c r="E215" s="31" t="n">
        <x:v>30.2</x:v>
      </x:c>
      <x:c r="F215" s="31" t="n">
        <x:f>E215-D215</x:f>
        <x:v>0.00999999999999801</x:v>
      </x:c>
      <x:c r="G215" s="26" t="str">
        <x:v>仅接近（不超过0.15美元）</x:v>
      </x:c>
      <x:c r="H215" s="31" t="n">
        <x:v>33.726</x:v>
      </x:c>
      <x:c r="I215" s="31" t="n">
        <x:v>30.66</x:v>
      </x:c>
      <x:c r="J215" s="31" t="n">
        <x:v>30.66</x:v>
      </x:c>
      <x:c r="K215" s="26" t="str">
        <x:v>分项加总一致</x:v>
      </x:c>
      <x:c r="L215" s="31" t="n">
        <x:v>33.726</x:v>
      </x:c>
      <x:c r="M215" s="31" t="n">
        <x:f>L215-H215</x:f>
        <x:v>0</x:v>
      </x:c>
      <x:c r="N215" s="26" t="str">
        <x:v>一致（按此前统一收费口径）</x:v>
      </x:c>
      <x:c r="O215" s="26" t="n">
        <x:v>190</x:v>
      </x:c>
      <x:c r="P215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Q215" s="26" t="str">
        <x:v>运输费40.13
−折扣15.65
＋燃油6.18
＝承运净额30.66
账单实收33.726（按既有收费规则）</x:v>
      </x:c>
    </x:row>
    <x:row r="216" ht="120" customHeight="1">
      <x:c r="A216" s="26" t="n">
        <x:v>215</x:v>
      </x:c>
      <x:c r="B216" s="26" t="str">
        <x:v>874770576523</x:v>
      </x:c>
      <x:c r="C216" s="26" t="str">
        <x:v>AC200L</x:v>
      </x:c>
      <x:c r="D216" s="31" t="n">
        <x:v>74.1</x:v>
      </x:c>
      <x:c r="E216" s="31" t="n">
        <x:v>74.11</x:v>
      </x:c>
      <x:c r="F216" s="31" t="n">
        <x:f>E216-D216</x:f>
        <x:v>0.010000000000005116</x:v>
      </x:c>
      <x:c r="G216" s="26" t="str">
        <x:v>仅接近（不超过0.15美元）</x:v>
      </x:c>
      <x:c r="H216" s="31" t="n">
        <x:v>77.627</x:v>
      </x:c>
      <x:c r="I216" s="31" t="n">
        <x:v>70.57</x:v>
      </x:c>
      <x:c r="J216" s="31" t="n">
        <x:v>70.57</x:v>
      </x:c>
      <x:c r="K216" s="26" t="str">
        <x:v>分项加总一致</x:v>
      </x:c>
      <x:c r="L216" s="31" t="n">
        <x:v>77.627</x:v>
      </x:c>
      <x:c r="M216" s="31" t="n">
        <x:f>L216-H216</x:f>
        <x:v>0</x:v>
      </x:c>
      <x:c r="N216" s="26" t="str">
        <x:v>一致（按此前统一收费口径）</x:v>
      </x:c>
      <x:c r="O216" s="26" t="n">
        <x:v>542</x:v>
      </x:c>
      <x:c r="P216" s="26" t="str">
        <x:v>反推假设：63lb、Zone4（账单Zone4）。
标准运费46.98×61%≈28.66
＋假设折后附加费25.13
＋燃油(28.66＋25.13)×25.25%≈13.58
＝预估承运成本67.37
按既有收费规则折算→预付74.11；与原预付差+0.01。</x:v>
      </x:c>
      <x:c r="Q216" s="26" t="str">
        <x:v>运输费51.18
−折扣19.96
＋Add'l Handling-Weight 25.12
＋燃油14.23
＝承运净额70.57
账单实收77.627（按既有收费规则）</x:v>
      </x:c>
    </x:row>
    <x:row r="217" ht="120" customHeight="1">
      <x:c r="A217" s="26" t="n">
        <x:v>216</x:v>
      </x:c>
      <x:c r="B217" s="26" t="str">
        <x:v>874652959380</x:v>
      </x:c>
      <x:c r="C217" s="26" t="str">
        <x:v>AC180</x:v>
      </x:c>
      <x:c r="D217" s="31" t="n">
        <x:v>35.65</x:v>
      </x:c>
      <x:c r="E217" s="31"/>
      <x:c r="F217" s="31"/>
      <x:c r="G217" s="26" t="str">
        <x:v>缺明细，无法试算</x:v>
      </x:c>
      <x:c r="H217" s="31" t="n">
        <x:v>39.149</x:v>
      </x:c>
      <x:c r="I217" s="31"/>
      <x:c r="J217" s="31"/>
      <x:c r="K217" s="26" t="str">
        <x:v>缺核对明细</x:v>
      </x:c>
      <x:c r="L217" s="31"/>
      <x:c r="M217" s="31"/>
      <x:c r="N217" s="26" t="str">
        <x:v>缺核对明细，无法核算</x:v>
      </x:c>
      <x:c r="O217" s="26"/>
      <x:c r="P217" s="26" t="str">
        <x:v>缺核对明细，无法重建预付；原预付仅按基础表保留。</x:v>
      </x:c>
      <x:c r="Q217" s="26" t="str">
        <x:v>缺原始核对明细，无法拆分。</x:v>
      </x:c>
    </x:row>
    <x:row r="218" ht="120" customHeight="1">
      <x:c r="A218" s="26" t="n">
        <x:v>217</x:v>
      </x:c>
      <x:c r="B218" s="26" t="str">
        <x:v>874587773324</x:v>
      </x:c>
      <x:c r="C218" s="26" t="str">
        <x:v>AC180</x:v>
      </x:c>
      <x:c r="D218" s="31" t="n">
        <x:v>30.19</x:v>
      </x:c>
      <x:c r="E218" s="31" t="n">
        <x:v>30.2</x:v>
      </x:c>
      <x:c r="F218" s="31" t="n">
        <x:f>E218-D218</x:f>
        <x:v>0.00999999999999801</x:v>
      </x:c>
      <x:c r="G218" s="26" t="str">
        <x:v>仅接近（不超过0.15美元）</x:v>
      </x:c>
      <x:c r="H218" s="31" t="n">
        <x:v>33.671</x:v>
      </x:c>
      <x:c r="I218" s="31" t="n">
        <x:v>30.61</x:v>
      </x:c>
      <x:c r="J218" s="31" t="n">
        <x:v>30.61</x:v>
      </x:c>
      <x:c r="K218" s="26" t="str">
        <x:v>分项加总一致</x:v>
      </x:c>
      <x:c r="L218" s="31" t="n">
        <x:v>33.671</x:v>
      </x:c>
      <x:c r="M218" s="31" t="n">
        <x:f>L218-H218</x:f>
        <x:v>0</x:v>
      </x:c>
      <x:c r="N218" s="26" t="str">
        <x:v>一致（按此前统一收费口径）</x:v>
      </x:c>
      <x:c r="O218" s="26" t="n">
        <x:v>502</x:v>
      </x:c>
      <x:c r="P218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Q218" s="26" t="str">
        <x:v>运输费40.07
−折扣15.63
＋燃油6.17
＝承运净额30.61
账单实收33.671（按既有收费规则）</x:v>
      </x:c>
    </x:row>
    <x:row r="219" ht="120" customHeight="1">
      <x:c r="A219" s="26" t="n">
        <x:v>218</x:v>
      </x:c>
      <x:c r="B219" s="26" t="str">
        <x:v>873857594738</x:v>
      </x:c>
      <x:c r="C219" s="26" t="str">
        <x:v>AC180</x:v>
      </x:c>
      <x:c r="D219" s="31" t="n">
        <x:v>30.19</x:v>
      </x:c>
      <x:c r="E219" s="31" t="n">
        <x:v>30.2</x:v>
      </x:c>
      <x:c r="F219" s="31" t="n">
        <x:f>E219-D219</x:f>
        <x:v>0.00999999999999801</x:v>
      </x:c>
      <x:c r="G219" s="26" t="str">
        <x:v>仅接近（不超过0.15美元）</x:v>
      </x:c>
      <x:c r="H219" s="31" t="n">
        <x:v>33.671</x:v>
      </x:c>
      <x:c r="I219" s="31" t="n">
        <x:v>30.61</x:v>
      </x:c>
      <x:c r="J219" s="31" t="n">
        <x:v>30.61</x:v>
      </x:c>
      <x:c r="K219" s="26" t="str">
        <x:v>分项加总一致</x:v>
      </x:c>
      <x:c r="L219" s="31" t="n">
        <x:v>33.671</x:v>
      </x:c>
      <x:c r="M219" s="31" t="n">
        <x:f>L219-H219</x:f>
        <x:v>0</x:v>
      </x:c>
      <x:c r="N219" s="26" t="str">
        <x:v>一致（按此前统一收费口径）</x:v>
      </x:c>
      <x:c r="O219" s="26" t="n">
        <x:v>244</x:v>
      </x:c>
      <x:c r="P219" s="26" t="str">
        <x:v>反推假设：38lb、Zone4（账单Zone4）。
标准运费35.93×61%≈21.92
＋假设折后附加费0.00
＋燃油(21.92＋0.00)×25.25%≈5.53
＝预估承运成本27.45
按既有收费规则折算→预付30.20；与原预付差+0.01。</x:v>
      </x:c>
      <x:c r="Q219" s="26" t="str">
        <x:v>运输费40.07
−折扣15.63
＋燃油6.17
＝承运净额30.61
账单实收33.671（按既有收费规则）</x:v>
      </x:c>
    </x:row>
    <x:row r="220" ht="120" customHeight="1">
      <x:c r="A220" s="26" t="n">
        <x:v>219</x:v>
      </x:c>
      <x:c r="B220" s="26" t="str">
        <x:v>874085878859</x:v>
      </x:c>
      <x:c r="C220" s="26" t="str">
        <x:v>AC180</x:v>
      </x:c>
      <x:c r="D220" s="31" t="n">
        <x:v>30.14</x:v>
      </x:c>
      <x:c r="E220" s="31" t="n">
        <x:v>30.14</x:v>
      </x:c>
      <x:c r="F220" s="31" t="n">
        <x:f>E220-D220</x:f>
        <x:v>0</x:v>
      </x:c>
      <x:c r="G220" s="26" t="str">
        <x:v>一致（精确到美分）</x:v>
      </x:c>
      <x:c r="H220" s="31" t="n">
        <x:v>33.605</x:v>
      </x:c>
      <x:c r="I220" s="31" t="n">
        <x:v>30.55</x:v>
      </x:c>
      <x:c r="J220" s="31" t="n">
        <x:v>30.55</x:v>
      </x:c>
      <x:c r="K220" s="26" t="str">
        <x:v>分项加总一致</x:v>
      </x:c>
      <x:c r="L220" s="31" t="n">
        <x:v>33.605</x:v>
      </x:c>
      <x:c r="M220" s="31" t="n">
        <x:f>L220-H220</x:f>
        <x:v>0</x:v>
      </x:c>
      <x:c r="N220" s="26" t="str">
        <x:v>一致（按此前统一收费口径）</x:v>
      </x:c>
      <x:c r="O220" s="26" t="n">
        <x:v>347</x:v>
      </x:c>
      <x:c r="P220" s="26" t="str">
        <x:v>反推假设：38lb、Zone4（账单Zone4）。
标准运费35.93×61%≈21.92
＋假设折后附加费0.00
＋燃油(21.92＋0.00)×25.00%≈5.48
＝预估承运成本27.40
按既有收费规则折算→预付30.14；与原预付差+0.00。</x:v>
      </x:c>
      <x:c r="Q220" s="26" t="str">
        <x:v>运输费40.07
−折扣15.63
＋燃油6.11
＝承运净额30.55
账单实收33.605（按既有收费规则）</x:v>
      </x:c>
    </x:row>
    <x:row r="221" ht="120" customHeight="1">
      <x:c r="A221" s="26" t="n">
        <x:v>220</x:v>
      </x:c>
      <x:c r="B221" s="26" t="str">
        <x:v>873682371233</x:v>
      </x:c>
      <x:c r="C221" s="26" t="str">
        <x:v>AC70</x:v>
      </x:c>
      <x:c r="D221" s="31" t="n">
        <x:v>29.94</x:v>
      </x:c>
      <x:c r="E221" s="31" t="n">
        <x:v>29.88</x:v>
      </x:c>
      <x:c r="F221" s="31" t="n">
        <x:f>E221-D221</x:f>
        <x:v>-0.060000000000002274</x:v>
      </x:c>
      <x:c r="G221" s="26" t="str">
        <x:v>仅接近（不超过0.15美元）</x:v>
      </x:c>
      <x:c r="H221" s="31" t="n">
        <x:v>33.385</x:v>
      </x:c>
      <x:c r="I221" s="31" t="n">
        <x:v>30.35</x:v>
      </x:c>
      <x:c r="J221" s="31" t="n">
        <x:v>30.35</x:v>
      </x:c>
      <x:c r="K221" s="26" t="str">
        <x:v>分项加总一致</x:v>
      </x:c>
      <x:c r="L221" s="31" t="n">
        <x:v>33.385</x:v>
      </x:c>
      <x:c r="M221" s="31" t="n">
        <x:f>L221-H221</x:f>
        <x:v>0</x:v>
      </x:c>
      <x:c r="N221" s="26" t="str">
        <x:v>一致（按此前统一收费口径）</x:v>
      </x:c>
      <x:c r="O221" s="26" t="n">
        <x:v>285</x:v>
      </x:c>
      <x:c r="P221" s="26" t="str">
        <x:v>反推假设：23lb、Zone6（账单Zone6）。
标准运费35.63×61%≈21.73
＋假设折后附加费0.00
＋燃油(21.73＋0.00)×25.00%≈5.43
＝预估承运成本27.16
按既有收费规则折算→预付29.88；与原预付差-0.06。</x:v>
      </x:c>
      <x:c r="Q221" s="26" t="str">
        <x:v>运输费39.81
−折扣15.53
＋燃油6.07
＝承运净额30.35
账单实收33.385（按既有收费规则）</x:v>
      </x:c>
    </x:row>
    <x:row r="222" ht="120" customHeight="1">
      <x:c r="A222" s="26" t="n">
        <x:v>221</x:v>
      </x:c>
      <x:c r="B222" s="26" t="str">
        <x:v>874352788599</x:v>
      </x:c>
      <x:c r="C222" s="26" t="str">
        <x:v>AC180</x:v>
      </x:c>
      <x:c r="D222" s="31" t="n">
        <x:v>28.91</x:v>
      </x:c>
      <x:c r="E222" s="31" t="n">
        <x:v>28.91</x:v>
      </x:c>
      <x:c r="F222" s="31" t="n">
        <x:f>E222-D222</x:f>
        <x:v>0</x:v>
      </x:c>
      <x:c r="G222" s="26" t="str">
        <x:v>一致（精确到美分）</x:v>
      </x:c>
      <x:c r="H222" s="31" t="n">
        <x:v>32.351</x:v>
      </x:c>
      <x:c r="I222" s="31" t="n">
        <x:v>29.41</x:v>
      </x:c>
      <x:c r="J222" s="31" t="n">
        <x:v>29.41</x:v>
      </x:c>
      <x:c r="K222" s="26" t="str">
        <x:v>分项加总一致</x:v>
      </x:c>
      <x:c r="L222" s="31" t="n">
        <x:v>32.351</x:v>
      </x:c>
      <x:c r="M222" s="31" t="n">
        <x:f>L222-H222</x:f>
        <x:v>0</x:v>
      </x:c>
      <x:c r="N222" s="26" t="str">
        <x:v>一致（按此前统一收费口径）</x:v>
      </x:c>
      <x:c r="O222" s="26" t="n">
        <x:v>440</x:v>
      </x:c>
      <x:c r="P222" s="26" t="str">
        <x:v>反推假设：36lb、Zone4（账单Zone4）。
标准运费34.46×61%≈21.02
＋假设折后附加费0.00
＋燃油(21.02＋0.00)×25.00%≈5.26
＝预估承运成本26.28
按既有收费规则折算→预付28.91；与原预付差+0.00。</x:v>
      </x:c>
      <x:c r="Q222" s="26" t="str">
        <x:v>运输费38.57
−折扣15.04
＋燃油5.88
＝承运净额29.41
账单实收32.351（按既有收费规则）</x:v>
      </x:c>
    </x:row>
    <x:row r="223" ht="120" customHeight="1">
      <x:c r="A223" s="26" t="n">
        <x:v>222</x:v>
      </x:c>
      <x:c r="B223" s="26" t="str">
        <x:v>873597902928</x:v>
      </x:c>
      <x:c r="C223" s="26" t="str">
        <x:v>AC180</x:v>
      </x:c>
      <x:c r="D223" s="31" t="n">
        <x:v>30.26</x:v>
      </x:c>
      <x:c r="E223" s="31" t="n">
        <x:v>30.2</x:v>
      </x:c>
      <x:c r="F223" s="31" t="n">
        <x:f>E223-D223</x:f>
        <x:v>-0.060000000000002274</x:v>
      </x:c>
      <x:c r="G223" s="26" t="str">
        <x:v>仅接近（不超过0.15美元）</x:v>
      </x:c>
      <x:c r="H223" s="31" t="n">
        <x:v>33.671</x:v>
      </x:c>
      <x:c r="I223" s="31" t="n">
        <x:v>30.61</x:v>
      </x:c>
      <x:c r="J223" s="31" t="n">
        <x:v>30.61</x:v>
      </x:c>
      <x:c r="K223" s="26" t="str">
        <x:v>分项加总一致</x:v>
      </x:c>
      <x:c r="L223" s="31" t="n">
        <x:v>33.671</x:v>
      </x:c>
      <x:c r="M223" s="31" t="n">
        <x:f>L223-H223</x:f>
        <x:v>0</x:v>
      </x:c>
      <x:c r="N223" s="26" t="str">
        <x:v>一致（按此前统一收费口径）</x:v>
      </x:c>
      <x:c r="O223" s="26" t="n">
        <x:v>200</x:v>
      </x:c>
      <x:c r="P223" s="26" t="str">
        <x:v>反推假设：38lb、Zone4（账单Zone4）。
标准运费35.93×61%≈21.92
＋假设折后附加费0.00
＋燃油(21.92＋0.00)×25.25%≈5.53
＝预估承运成本27.45
按既有收费规则折算→预付30.20；与原预付差-0.06。</x:v>
      </x:c>
      <x:c r="Q223" s="26" t="str">
        <x:v>运输费40.07
−折扣15.63
＋燃油6.17
＝承运净额30.61
账单实收33.671（按既有收费规则）</x:v>
      </x:c>
    </x:row>
    <x:row r="224" ht="120" customHeight="1">
      <x:c r="A224" s="26" t="n">
        <x:v>223</x:v>
      </x:c>
      <x:c r="B224" s="26" t="str">
        <x:v>873964145814</x:v>
      </x:c>
      <x:c r="C224" s="26" t="str">
        <x:v>EL100V2</x:v>
      </x:c>
      <x:c r="D224" s="31" t="n">
        <x:v>21.73</x:v>
      </x:c>
      <x:c r="E224" s="31" t="n">
        <x:v>21.73</x:v>
      </x:c>
      <x:c r="F224" s="31" t="n">
        <x:f>E224-D224</x:f>
        <x:v>0</x:v>
      </x:c>
      <x:c r="G224" s="26" t="str">
        <x:v>一致（精确到美分）</x:v>
      </x:c>
      <x:c r="H224" s="31" t="n">
        <x:v>25.135</x:v>
      </x:c>
      <x:c r="I224" s="31" t="n">
        <x:v>22.85</x:v>
      </x:c>
      <x:c r="J224" s="31" t="n">
        <x:v>22.85</x:v>
      </x:c>
      <x:c r="K224" s="26" t="str">
        <x:v>分项加总一致</x:v>
      </x:c>
      <x:c r="L224" s="31" t="n">
        <x:v>25.135</x:v>
      </x:c>
      <x:c r="M224" s="31" t="n">
        <x:f>L224-H224</x:f>
        <x:v>0</x:v>
      </x:c>
      <x:c r="N224" s="26" t="str">
        <x:v>一致（按此前统一收费口径）</x:v>
      </x:c>
      <x:c r="O224" s="26" t="n">
        <x:v>273</x:v>
      </x:c>
      <x:c r="P224" s="26" t="str">
        <x:v>反推假设：38lb、Zone2（账单Zone2）。
标准运费25.90×61%≈15.80
＋假设折后附加费0.00
＋燃油(15.80＋0.00)×25.00%≈3.95
＝预估承运成本19.75
按既有收费规则折算→预付21.73；与原预付差+0.00。</x:v>
      </x:c>
      <x:c r="Q224" s="26" t="str">
        <x:v>运输费29.97
−折扣11.69
＋燃油4.57
＝承运净额22.85
账单实收25.135（按既有收费规则）</x:v>
      </x:c>
    </x:row>
    <x:row r="225" ht="120" customHeight="1">
      <x:c r="A225" s="26" t="n">
        <x:v>224</x:v>
      </x:c>
      <x:c r="B225" s="26" t="str">
        <x:v>873354490358</x:v>
      </x:c>
      <x:c r="C225" s="26" t="str">
        <x:v>AC70</x:v>
      </x:c>
      <x:c r="D225" s="31" t="n">
        <x:v>20.78</x:v>
      </x:c>
      <x:c r="E225" s="31" t="n">
        <x:v>20.74</x:v>
      </x:c>
      <x:c r="F225" s="31" t="n">
        <x:f>E225-D225</x:f>
        <x:v>-0.0400000000000027</x:v>
      </x:c>
      <x:c r="G225" s="26" t="str">
        <x:v>仅接近（不超过0.15美元）</x:v>
      </x:c>
      <x:c r="H225" s="31" t="n">
        <x:v>24.134</x:v>
      </x:c>
      <x:c r="I225" s="31" t="n">
        <x:v>21.94</x:v>
      </x:c>
      <x:c r="J225" s="31" t="n">
        <x:v>21.94</x:v>
      </x:c>
      <x:c r="K225" s="26" t="str">
        <x:v>分项加总一致</x:v>
      </x:c>
      <x:c r="L225" s="31" t="n">
        <x:v>24.134</x:v>
      </x:c>
      <x:c r="M225" s="31" t="n">
        <x:f>L225-H225</x:f>
        <x:v>0</x:v>
      </x:c>
      <x:c r="N225" s="26" t="str">
        <x:v>一致（按此前统一收费口径）</x:v>
      </x:c>
      <x:c r="O225" s="26" t="n">
        <x:v>214</x:v>
      </x:c>
      <x:c r="P225" s="26" t="str">
        <x:v>反推假设：23lb、Zone4（账单Zone4）。
标准运费24.68×61%≈15.05
＋假设折后附加费0.00
＋燃油(15.05＋0.00)×25.25%≈3.80
＝预估承运成本18.85
按既有收费规则折算→预付20.74；与原预付差-0.04。</x:v>
      </x:c>
      <x:c r="Q225" s="26" t="str">
        <x:v>运输费28.72
−折扣11.20
＋燃油4.42
＝承运净额21.94
账单实收24.134（按既有收费规则）</x:v>
      </x:c>
    </x:row>
    <x:row r="226" ht="120" customHeight="1">
      <x:c r="A226" s="26" t="n">
        <x:v>225</x:v>
      </x:c>
      <x:c r="B226" s="26" t="str">
        <x:v>873243276841</x:v>
      </x:c>
      <x:c r="C226" s="26" t="str">
        <x:v>AC180</x:v>
      </x:c>
      <x:c r="D226" s="31" t="n">
        <x:v>29.14</x:v>
      </x:c>
      <x:c r="E226" s="31" t="n">
        <x:v>29.02</x:v>
      </x:c>
      <x:c r="F226" s="31" t="n">
        <x:f>E226-D226</x:f>
        <x:v>-0.120000000000001</x:v>
      </x:c>
      <x:c r="G226" s="26" t="str">
        <x:v>仅接近（不超过0.15美元）</x:v>
      </x:c>
      <x:c r="H226" s="31" t="n">
        <x:v>32.483</x:v>
      </x:c>
      <x:c r="I226" s="31" t="n">
        <x:v>29.53</x:v>
      </x:c>
      <x:c r="J226" s="31" t="n">
        <x:v>29.53</x:v>
      </x:c>
      <x:c r="K226" s="26" t="str">
        <x:v>分项加总一致</x:v>
      </x:c>
      <x:c r="L226" s="31" t="n">
        <x:v>32.483</x:v>
      </x:c>
      <x:c r="M226" s="31" t="n">
        <x:f>L226-H226</x:f>
        <x:v>0</x:v>
      </x:c>
      <x:c r="N226" s="26" t="str">
        <x:v>一致（按此前统一收费口径）</x:v>
      </x:c>
      <x:c r="O226" s="26" t="n">
        <x:v>141</x:v>
      </x:c>
      <x:c r="P226" s="26" t="str">
        <x:v>反推假设：36lb、Zone4（账单Zone4）。
标准运费34.46×61%≈21.02
＋假设折后附加费0.00
＋燃油(21.02＋0.00)×25.50%≈5.36
＝预估承运成本26.38
按既有收费规则折算→预付29.02；与原预付差-0.12。</x:v>
      </x:c>
      <x:c r="Q226" s="26" t="str">
        <x:v>运输费38.57
−折扣15.04
＋燃油6.00
＝承运净额29.53
账单实收32.483（按既有收费规则）</x:v>
      </x:c>
    </x:row>
    <x:row r="227" ht="120" customHeight="1">
      <x:c r="A227" s="26" t="n">
        <x:v>226</x:v>
      </x:c>
      <x:c r="B227" s="26" t="str">
        <x:v>873651295526</x:v>
      </x:c>
      <x:c r="C227" s="26" t="str">
        <x:v>EL300</x:v>
      </x:c>
      <x:c r="D227" s="31" t="n">
        <x:v>85.85</x:v>
      </x:c>
      <x:c r="E227" s="31" t="n">
        <x:v>85.86</x:v>
      </x:c>
      <x:c r="F227" s="31" t="n">
        <x:f>E227-D227</x:f>
        <x:v>0.010000000000005116</x:v>
      </x:c>
      <x:c r="G227" s="26" t="str">
        <x:v>仅接近（不超过0.15美元）</x:v>
      </x:c>
      <x:c r="H227" s="31" t="n">
        <x:v>89.166</x:v>
      </x:c>
      <x:c r="I227" s="31" t="n">
        <x:v>81.06</x:v>
      </x:c>
      <x:c r="J227" s="31" t="n">
        <x:v>81.06</x:v>
      </x:c>
      <x:c r="K227" s="26" t="str">
        <x:v>分项加总一致</x:v>
      </x:c>
      <x:c r="L227" s="31" t="n">
        <x:v>89.166</x:v>
      </x:c>
      <x:c r="M227" s="31" t="n">
        <x:f>L227-H227</x:f>
        <x:v>0</x:v>
      </x:c>
      <x:c r="N227" s="26" t="str">
        <x:v>一致（按此前统一收费口径）</x:v>
      </x:c>
      <x:c r="O227" s="26" t="n">
        <x:v>202</x:v>
      </x:c>
      <x:c r="P227" s="26" t="str">
        <x:v>反推假设：58lb、Zone5（账单Zone5）。
标准运费55.83×61%≈34.06
＋假设折后附加费28.13
＋燃油(34.06＋28.13)×25.50%≈15.86
＝预估承运成本78.05
按既有收费规则折算→预付85.86；与原预付差+0.01。</x:v>
      </x:c>
      <x:c r="Q227" s="26" t="str">
        <x:v>运输费59.78
−折扣23.31
＋Add'l Handling-Weight 28.12
＋燃油16.47
＝承运净额81.06
账单实收89.166（按既有收费规则）</x:v>
      </x:c>
    </x:row>
    <x:row r="228" ht="120" customHeight="1">
      <x:c r="A228" s="26" t="n">
        <x:v>227</x:v>
      </x:c>
      <x:c r="B228" s="26" t="str">
        <x:v>875132753001</x:v>
      </x:c>
      <x:c r="C228" s="26" t="str">
        <x:v>EL300</x:v>
      </x:c>
      <x:c r="D228" s="31" t="n">
        <x:v>72.1</x:v>
      </x:c>
      <x:c r="E228" s="31"/>
      <x:c r="F228" s="31"/>
      <x:c r="G228" s="26" t="str">
        <x:v>缺明细，无法试算</x:v>
      </x:c>
      <x:c r="H228" s="31" t="n">
        <x:v>75.35</x:v>
      </x:c>
      <x:c r="I228" s="31"/>
      <x:c r="J228" s="31"/>
      <x:c r="K228" s="26" t="str">
        <x:v>缺核对明细</x:v>
      </x:c>
      <x:c r="L228" s="31"/>
      <x:c r="M228" s="31"/>
      <x:c r="N228" s="26" t="str">
        <x:v>缺核对明细，无法核算</x:v>
      </x:c>
      <x:c r="O228" s="26"/>
      <x:c r="P228" s="26" t="str">
        <x:v>缺核对明细，无法重建预付；原预付仅按基础表保留。</x:v>
      </x:c>
      <x:c r="Q228" s="26" t="str">
        <x:v>缺原始核对明细，无法拆分。</x:v>
      </x:c>
    </x:row>
    <x:row r="229" ht="120" customHeight="1">
      <x:c r="A229" s="26" t="n">
        <x:v>228</x:v>
      </x:c>
      <x:c r="B229" s="26" t="str">
        <x:v>873109424680</x:v>
      </x:c>
      <x:c r="C229" s="26"/>
      <x:c r="D229" s="31" t="n">
        <x:v>25.3</x:v>
      </x:c>
      <x:c r="E229" s="31" t="n">
        <x:v>23.28</x:v>
      </x:c>
      <x:c r="F229" s="31" t="n">
        <x:f>E229-D229</x:f>
        <x:v>-2.0199999999999996</x:v>
      </x:c>
      <x:c r="G229" s="26" t="str">
        <x:v>未对上</x:v>
      </x:c>
      <x:c r="H229" s="31" t="n">
        <x:v>28.536</x:v>
      </x:c>
      <x:c r="I229" s="31" t="n">
        <x:v>23.78</x:v>
      </x:c>
      <x:c r="J229" s="31" t="n">
        <x:v>23.78</x:v>
      </x:c>
      <x:c r="K229" s="26" t="str">
        <x:v>分项加总一致</x:v>
      </x:c>
      <x:c r="L229" s="31" t="n">
        <x:v>26.158</x:v>
      </x:c>
      <x:c r="M229" s="31" t="n">
        <x:f>L229-H229</x:f>
        <x:v>-2.378</x:v>
      </x:c>
      <x:c r="N229" s="26" t="str">
        <x:v>未对上，收费口径待确认</x:v>
      </x:c>
      <x:c r="O229" s="26" t="n">
        <x:v>14</x:v>
      </x:c>
      <x:c r="P229" s="26" t="str">
        <x:v>反推假设：21lb、Zone5（账单Zone2）。
标准运费27.52×61%≈16.79
＋假设折后附加费0.00
＋燃油(16.79＋0.00)×26.00%≈4.37
＝预估承运成本21.16
按既有收费规则折算→预付23.28；与原预付差-2.02。</x:v>
      </x:c>
      <x:c r="Q229" s="26" t="str">
        <x:v>运输费23.02
−折扣7.37
＋Residential Delivery 3.22
＋燃油4.91
＝承运净额23.78
账单实收28.536（按既有收费规则）</x:v>
      </x:c>
    </x:row>
    <x:row r="230" ht="120" customHeight="1">
      <x:c r="A230" s="26" t="n">
        <x:v>229</x:v>
      </x:c>
      <x:c r="B230" s="26" t="str">
        <x:v>873354707385</x:v>
      </x:c>
      <x:c r="C230" s="26" t="str">
        <x:v>EL300</x:v>
      </x:c>
      <x:c r="D230" s="31" t="n">
        <x:v>85.85</x:v>
      </x:c>
      <x:c r="E230" s="31" t="n">
        <x:v>85.86</x:v>
      </x:c>
      <x:c r="F230" s="31" t="n">
        <x:f>E230-D230</x:f>
        <x:v>0.010000000000005116</x:v>
      </x:c>
      <x:c r="G230" s="26" t="str">
        <x:v>仅接近（不超过0.15美元）</x:v>
      </x:c>
      <x:c r="H230" s="31" t="n">
        <x:v>89.045</x:v>
      </x:c>
      <x:c r="I230" s="31" t="n">
        <x:v>80.95</x:v>
      </x:c>
      <x:c r="J230" s="31" t="n">
        <x:v>80.95</x:v>
      </x:c>
      <x:c r="K230" s="26" t="str">
        <x:v>分项加总一致</x:v>
      </x:c>
      <x:c r="L230" s="31" t="n">
        <x:v>89.045</x:v>
      </x:c>
      <x:c r="M230" s="31" t="n">
        <x:f>L230-H230</x:f>
        <x:v>0</x:v>
      </x:c>
      <x:c r="N230" s="26" t="str">
        <x:v>一致（按此前统一收费口径）</x:v>
      </x:c>
      <x:c r="O230" s="26" t="n">
        <x:v>107</x:v>
      </x:c>
      <x:c r="P230" s="26" t="str">
        <x:v>反推假设：58lb、Zone5（账单Zone5）。
标准运费55.83×61%≈34.06
＋假设折后附加费28.13
＋燃油(34.06＋28.13)×25.50%≈15.86
＝预估承运成本78.05
按既有收费规则折算→预付85.86；与原预付差+0.01。</x:v>
      </x:c>
      <x:c r="Q230" s="26" t="str">
        <x:v>运输费59.64
−折扣23.26
＋Add'l Handling-Weight 28.12
＋燃油16.45
＝承运净额80.95
账单实收89.045（按既有收费规则）</x:v>
      </x:c>
    </x:row>
    <x:row r="231" ht="120" customHeight="1">
      <x:c r="A231" s="26" t="n">
        <x:v>230</x:v>
      </x:c>
      <x:c r="B231" s="26" t="str">
        <x:v>873679799079</x:v>
      </x:c>
      <x:c r="C231" s="26" t="str">
        <x:v>EL100V2</x:v>
      </x:c>
      <x:c r="D231" s="31" t="n">
        <x:v>22.63</x:v>
      </x:c>
      <x:c r="E231" s="31" t="n">
        <x:v>22.63</x:v>
      </x:c>
      <x:c r="F231" s="31" t="n">
        <x:f>E231-D231</x:f>
        <x:v>0</x:v>
      </x:c>
      <x:c r="G231" s="26" t="str">
        <x:v>一致（精确到美分）</x:v>
      </x:c>
      <x:c r="H231" s="31" t="n">
        <x:v>25.806</x:v>
      </x:c>
      <x:c r="I231" s="31" t="n">
        <x:v>23.46</x:v>
      </x:c>
      <x:c r="J231" s="31" t="n">
        <x:v>23.46</x:v>
      </x:c>
      <x:c r="K231" s="26" t="str">
        <x:v>分项加总一致</x:v>
      </x:c>
      <x:c r="L231" s="31" t="n">
        <x:v>25.806</x:v>
      </x:c>
      <x:c r="M231" s="31" t="n">
        <x:f>L231-H231</x:f>
        <x:v>0</x:v>
      </x:c>
      <x:c r="N231" s="26" t="str">
        <x:v>一致（按此前统一收费口径）</x:v>
      </x:c>
      <x:c r="O231" s="26" t="n">
        <x:v>225</x:v>
      </x:c>
      <x:c r="P231" s="26" t="str">
        <x:v>反推假设：26lb、Zone4（账单Zone4）。
标准运费26.91×61%≈16.42
＋假设折后附加费0.00
＋燃油(16.42＋0.00)×25.25%≈4.15
＝预估承运成本20.57
按既有收费规则折算→预付22.63；与原预付差+0.00。</x:v>
      </x:c>
      <x:c r="Q231" s="26" t="str">
        <x:v>运输费30.70
−折扣11.97
＋燃油4.73
＝承运净额23.46
账单实收25.806（按既有收费规则）</x:v>
      </x:c>
    </x:row>
    <x:row r="232" ht="120" customHeight="1">
      <x:c r="A232" s="26" t="n">
        <x:v>231</x:v>
      </x:c>
      <x:c r="B232" s="26" t="str">
        <x:v>874970642534</x:v>
      </x:c>
      <x:c r="C232" s="26"/>
      <x:c r="D232" s="31" t="n">
        <x:v>29.38</x:v>
      </x:c>
      <x:c r="E232" s="31"/>
      <x:c r="F232" s="31"/>
      <x:c r="G232" s="26" t="str">
        <x:v>缺明细，无法试算</x:v>
      </x:c>
      <x:c r="H232" s="31" t="n">
        <x:v>32.549</x:v>
      </x:c>
      <x:c r="I232" s="31"/>
      <x:c r="J232" s="31"/>
      <x:c r="K232" s="26" t="str">
        <x:v>缺核对明细</x:v>
      </x:c>
      <x:c r="L232" s="31"/>
      <x:c r="M232" s="31"/>
      <x:c r="N232" s="26" t="str">
        <x:v>缺核对明细，无法核算</x:v>
      </x:c>
      <x:c r="O232" s="26"/>
      <x:c r="P232" s="26" t="str">
        <x:v>缺核对明细，无法重建预付；原预付仅按基础表保留。</x:v>
      </x:c>
      <x:c r="Q232" s="26" t="str">
        <x:v>缺原始核对明细，无法拆分。</x:v>
      </x:c>
    </x:row>
    <x:row r="233" ht="120" customHeight="1">
      <x:c r="A233" s="26" t="n">
        <x:v>232</x:v>
      </x:c>
      <x:c r="B233" s="26" t="str">
        <x:v>874595143529</x:v>
      </x:c>
      <x:c r="C233" s="26" t="str">
        <x:v>EL100V2</x:v>
      </x:c>
      <x:c r="D233" s="31" t="n">
        <x:v>20.24</x:v>
      </x:c>
      <x:c r="E233" s="31" t="n">
        <x:v>20.24</x:v>
      </x:c>
      <x:c r="F233" s="31" t="n">
        <x:f>E233-D233</x:f>
        <x:v>0</x:v>
      </x:c>
      <x:c r="G233" s="26" t="str">
        <x:v>一致（精确到美分）</x:v>
      </x:c>
      <x:c r="H233" s="31" t="n">
        <x:v>23.408</x:v>
      </x:c>
      <x:c r="I233" s="31" t="n">
        <x:v>21.28</x:v>
      </x:c>
      <x:c r="J233" s="31" t="n">
        <x:v>21.28</x:v>
      </x:c>
      <x:c r="K233" s="26" t="str">
        <x:v>分项加总一致</x:v>
      </x:c>
      <x:c r="L233" s="31" t="n">
        <x:v>23.408</x:v>
      </x:c>
      <x:c r="M233" s="31" t="n">
        <x:f>L233-H233</x:f>
        <x:v>0</x:v>
      </x:c>
      <x:c r="N233" s="26" t="str">
        <x:v>一致（按此前统一收费口径）</x:v>
      </x:c>
      <x:c r="O233" s="26" t="n">
        <x:v>504</x:v>
      </x:c>
      <x:c r="P233" s="26" t="str">
        <x:v>反推假设：25lb、Zone3（账单Zone3）。
标准运费24.09×61%≈14.69
＋假设折后附加费0.00
＋燃油(14.69＋0.00)×25.25%≈3.71
＝预估承运成本18.40
按既有收费规则折算→预付20.24；与原预付差+0.00。</x:v>
      </x:c>
      <x:c r="Q233" s="26" t="str">
        <x:v>运输费27.86
−折扣10.87
＋燃油4.29
＝承运净额21.28
账单实收23.408（按既有收费规则）</x:v>
      </x:c>
    </x:row>
    <x:row r="234" ht="120" customHeight="1">
      <x:c r="A234" s="26" t="n">
        <x:v>233</x:v>
      </x:c>
      <x:c r="B234" s="26" t="str">
        <x:v>875079467174</x:v>
      </x:c>
      <x:c r="C234" s="26" t="str">
        <x:v>AC50B</x:v>
      </x:c>
      <x:c r="D234" s="31" t="n">
        <x:v>20.7</x:v>
      </x:c>
      <x:c r="E234" s="31"/>
      <x:c r="F234" s="31"/>
      <x:c r="G234" s="26" t="str">
        <x:v>缺明细，无法试算</x:v>
      </x:c>
      <x:c r="H234" s="31" t="n">
        <x:v>23.848</x:v>
      </x:c>
      <x:c r="I234" s="31"/>
      <x:c r="J234" s="31"/>
      <x:c r="K234" s="26" t="str">
        <x:v>缺核对明细</x:v>
      </x:c>
      <x:c r="L234" s="31"/>
      <x:c r="M234" s="31"/>
      <x:c r="N234" s="26" t="str">
        <x:v>缺核对明细，无法核算</x:v>
      </x:c>
      <x:c r="O234" s="26"/>
      <x:c r="P234" s="26" t="str">
        <x:v>缺核对明细，无法重建预付；原预付仅按基础表保留。</x:v>
      </x:c>
      <x:c r="Q234" s="26" t="str">
        <x:v>缺原始核对明细，无法拆分。</x:v>
      </x:c>
    </x:row>
    <x:row r="235" ht="120" customHeight="1">
      <x:c r="A235" s="26" t="n">
        <x:v>234</x:v>
      </x:c>
      <x:c r="B235" s="26" t="str">
        <x:v>874462330644</x:v>
      </x:c>
      <x:c r="C235" s="26" t="str">
        <x:v>EL100V2</x:v>
      </x:c>
      <x:c r="D235" s="31" t="n">
        <x:v>26.2</x:v>
      </x:c>
      <x:c r="E235" s="31" t="n">
        <x:v>26.25</x:v>
      </x:c>
      <x:c r="F235" s="31" t="n">
        <x:f>E235-D235</x:f>
        <x:v>0.05000000000000071</x:v>
      </x:c>
      <x:c r="G235" s="26" t="str">
        <x:v>仅接近（不超过0.15美元）</x:v>
      </x:c>
      <x:c r="H235" s="31" t="n">
        <x:v>29.348</x:v>
      </x:c>
      <x:c r="I235" s="31" t="n">
        <x:v>26.68</x:v>
      </x:c>
      <x:c r="J235" s="31" t="n">
        <x:v>26.68</x:v>
      </x:c>
      <x:c r="K235" s="26" t="str">
        <x:v>分项加总一致</x:v>
      </x:c>
      <x:c r="L235" s="31" t="n">
        <x:v>29.348</x:v>
      </x:c>
      <x:c r="M235" s="31" t="n">
        <x:f>L235-H235</x:f>
        <x:v>0</x:v>
      </x:c>
      <x:c r="N235" s="26" t="str">
        <x:v>一致（按此前统一收费口径）</x:v>
      </x:c>
      <x:c r="O235" s="26" t="n">
        <x:v>491</x:v>
      </x:c>
      <x:c r="P235" s="26" t="str">
        <x:v>反推假设：25lb、Zone5（账单Zone5）。
标准运费31.23×61%≈19.05
＋假设折后附加费0.00
＋燃油(19.05＋0.00)×25.25%≈4.81
＝预估承运成本23.86
按既有收费规则折算→预付26.25；与原预付差+0.05。</x:v>
      </x:c>
      <x:c r="Q235" s="26" t="str">
        <x:v>运输费34.92
−折扣13.62
＋燃油5.38
＝承运净额26.68
账单实收29.348（按既有收费规则）</x:v>
      </x:c>
    </x:row>
    <x:row r="236" ht="120" customHeight="1">
      <x:c r="A236" s="26" t="n">
        <x:v>235</x:v>
      </x:c>
      <x:c r="B236" s="26" t="str">
        <x:v>873812786100</x:v>
      </x:c>
      <x:c r="C236" s="26" t="str">
        <x:v>PV350</x:v>
      </x:c>
      <x:c r="D236" s="31" t="n">
        <x:v>46.82</x:v>
      </x:c>
      <x:c r="E236" s="31" t="n">
        <x:v>45.63</x:v>
      </x:c>
      <x:c r="F236" s="31" t="n">
        <x:f>E236-D236</x:f>
        <x:v>-1.1899999999999977</x:v>
      </x:c>
      <x:c r="G236" s="26" t="str">
        <x:v>未对上</x:v>
      </x:c>
      <x:c r="H236" s="31" t="n">
        <x:v>49.929</x:v>
      </x:c>
      <x:c r="I236" s="31" t="n">
        <x:v>45.39</x:v>
      </x:c>
      <x:c r="J236" s="31" t="n">
        <x:v>45.39</x:v>
      </x:c>
      <x:c r="K236" s="26" t="str">
        <x:v>分项加总一致</x:v>
      </x:c>
      <x:c r="L236" s="31" t="n">
        <x:v>49.929</x:v>
      </x:c>
      <x:c r="M236" s="31" t="n">
        <x:f>L236-H236</x:f>
        <x:v>0</x:v>
      </x:c>
      <x:c r="N236" s="26" t="str">
        <x:v>一致（按此前统一收费口径）</x:v>
      </x:c>
      <x:c r="O236" s="26" t="n">
        <x:v>265</x:v>
      </x:c>
      <x:c r="P236" s="26" t="str">
        <x:v>反推假设：31lb、Zone7（账单Zone3）。
标准运费54.40×61%≈33.18
＋假设折后附加费0.00
＋燃油(33.18＋0.00)×25.00%≈8.30
＝预估承运成本41.48
按既有收费规则折算→预付45.63；与原预付差-1.19。</x:v>
      </x:c>
      <x:c r="Q236" s="26" t="str">
        <x:v>运输费32.69
−折扣12.75
＋Add'l Handling-Dimension 16.37
＋燃油9.08
＝承运净额45.39
账单实收49.929（按既有收费规则）</x:v>
      </x:c>
    </x:row>
    <x:row r="237" ht="120" customHeight="1">
      <x:c r="A237" s="26" t="n">
        <x:v>236</x:v>
      </x:c>
      <x:c r="B237" s="26" t="str">
        <x:v>873476103347</x:v>
      </x:c>
      <x:c r="C237" s="26" t="str">
        <x:v>BC200</x:v>
      </x:c>
      <x:c r="D237" s="31" t="n">
        <x:v>31.56</x:v>
      </x:c>
      <x:c r="E237" s="31" t="n">
        <x:v>31.56</x:v>
      </x:c>
      <x:c r="F237" s="31" t="n">
        <x:f>E237-D237</x:f>
        <x:v>0</x:v>
      </x:c>
      <x:c r="G237" s="26" t="str">
        <x:v>一致（精确到美分）</x:v>
      </x:c>
      <x:c r="H237" s="31" t="n">
        <x:v>34.661</x:v>
      </x:c>
      <x:c r="I237" s="31" t="n">
        <x:v>31.51</x:v>
      </x:c>
      <x:c r="J237" s="31" t="n">
        <x:v>31.51</x:v>
      </x:c>
      <x:c r="K237" s="26" t="str">
        <x:v>分项加总一致</x:v>
      </x:c>
      <x:c r="L237" s="31" t="n">
        <x:v>34.661</x:v>
      </x:c>
      <x:c r="M237" s="31" t="n">
        <x:f>L237-H237</x:f>
        <x:v>0</x:v>
      </x:c>
      <x:c r="N237" s="26" t="str">
        <x:v>一致（按此前统一收费口径）</x:v>
      </x:c>
      <x:c r="O237" s="26" t="n">
        <x:v>171</x:v>
      </x:c>
      <x:c r="P237" s="26" t="str">
        <x:v>反推假设：40lb、Zone4（账单Zone4）。
标准运费37.48×61%≈22.86
＋假设折后附加费0.00
＋燃油(22.86＋0.00)×25.50%≈5.83
＝预估承运成本28.69
按既有收费规则折算→预付31.56；与原预付差+0.00。</x:v>
      </x:c>
      <x:c r="Q237" s="26" t="str">
        <x:v>运输费41.17
−折扣16.06
＋燃油6.40
＝承运净额31.51
账单实收34.661（按既有收费规则）</x:v>
      </x:c>
    </x:row>
    <x:row r="238" ht="120" customHeight="1">
      <x:c r="A238" s="26" t="n">
        <x:v>237</x:v>
      </x:c>
      <x:c r="B238" s="26" t="str">
        <x:v>873806431486</x:v>
      </x:c>
      <x:c r="C238" s="26" t="str">
        <x:v>EL100V2</x:v>
      </x:c>
      <x:c r="D238" s="31" t="n">
        <x:v>26.25</x:v>
      </x:c>
      <x:c r="E238" s="31" t="n">
        <x:v>26.25</x:v>
      </x:c>
      <x:c r="F238" s="31" t="n">
        <x:f>E238-D238</x:f>
        <x:v>0</x:v>
      </x:c>
      <x:c r="G238" s="26" t="str">
        <x:v>一致（精确到美分）</x:v>
      </x:c>
      <x:c r="H238" s="31" t="n">
        <x:v>29.348</x:v>
      </x:c>
      <x:c r="I238" s="31" t="n">
        <x:v>26.68</x:v>
      </x:c>
      <x:c r="J238" s="31" t="n">
        <x:v>26.68</x:v>
      </x:c>
      <x:c r="K238" s="26" t="str">
        <x:v>分项加总一致</x:v>
      </x:c>
      <x:c r="L238" s="31" t="n">
        <x:v>29.348</x:v>
      </x:c>
      <x:c r="M238" s="31" t="n">
        <x:f>L238-H238</x:f>
        <x:v>0</x:v>
      </x:c>
      <x:c r="N238" s="26" t="str">
        <x:v>一致（按此前统一收费口径）</x:v>
      </x:c>
      <x:c r="O238" s="26" t="n">
        <x:v>235</x:v>
      </x:c>
      <x:c r="P238" s="26" t="str">
        <x:v>反推假设：25lb、Zone5（账单Zone5）。
标准运费31.23×61%≈19.05
＋假设折后附加费0.00
＋燃油(19.05＋0.00)×25.25%≈4.81
＝预估承运成本23.86
按既有收费规则折算→预付26.25；与原预付差+0.00。</x:v>
      </x:c>
      <x:c r="Q238" s="26" t="str">
        <x:v>运输费34.92
−折扣13.62
＋燃油5.38
＝承运净额26.68
账单实收29.348（按既有收费规则）</x:v>
      </x:c>
    </x:row>
    <x:row r="239" ht="120" customHeight="1">
      <x:c r="A239" s="26" t="n">
        <x:v>238</x:v>
      </x:c>
      <x:c r="B239" s="26" t="str">
        <x:v>875083885545</x:v>
      </x:c>
      <x:c r="C239" s="26" t="str">
        <x:v>AC70</x:v>
      </x:c>
      <x:c r="D239" s="31" t="n">
        <x:v>24.54</x:v>
      </x:c>
      <x:c r="E239" s="31"/>
      <x:c r="F239" s="31"/>
      <x:c r="G239" s="26" t="str">
        <x:v>缺明细，无法试算</x:v>
      </x:c>
      <x:c r="H239" s="31" t="n">
        <x:v>27.621</x:v>
      </x:c>
      <x:c r="I239" s="31"/>
      <x:c r="J239" s="31"/>
      <x:c r="K239" s="26" t="str">
        <x:v>缺核对明细</x:v>
      </x:c>
      <x:c r="L239" s="31"/>
      <x:c r="M239" s="31"/>
      <x:c r="N239" s="26" t="str">
        <x:v>缺核对明细，无法核算</x:v>
      </x:c>
      <x:c r="O239" s="26"/>
      <x:c r="P239" s="26" t="str">
        <x:v>缺核对明细，无法重建预付；原预付仅按基础表保留。</x:v>
      </x:c>
      <x:c r="Q239" s="26" t="str">
        <x:v>缺原始核对明细，无法拆分。</x:v>
      </x:c>
    </x:row>
    <x:row r="240" ht="120" customHeight="1">
      <x:c r="A240" s="26" t="n">
        <x:v>239</x:v>
      </x:c>
      <x:c r="B240" s="26" t="str">
        <x:v>873371346866</x:v>
      </x:c>
      <x:c r="C240" s="26" t="str">
        <x:v>AC70</x:v>
      </x:c>
      <x:c r="D240" s="31" t="n">
        <x:v>33.52</x:v>
      </x:c>
      <x:c r="E240" s="31" t="n">
        <x:v>33.52</x:v>
      </x:c>
      <x:c r="F240" s="31" t="n">
        <x:f>E240-D240</x:f>
        <x:v>0</x:v>
      </x:c>
      <x:c r="G240" s="26" t="str">
        <x:v>一致（精确到美分）</x:v>
      </x:c>
      <x:c r="H240" s="31" t="n">
        <x:v>36.586</x:v>
      </x:c>
      <x:c r="I240" s="31" t="n">
        <x:v>33.26</x:v>
      </x:c>
      <x:c r="J240" s="31" t="n">
        <x:v>33.26</x:v>
      </x:c>
      <x:c r="K240" s="26" t="str">
        <x:v>分项加总一致</x:v>
      </x:c>
      <x:c r="L240" s="31" t="n">
        <x:v>36.586</x:v>
      </x:c>
      <x:c r="M240" s="31" t="n">
        <x:f>L240-H240</x:f>
        <x:v>0</x:v>
      </x:c>
      <x:c r="N240" s="26" t="str">
        <x:v>一致（按此前统一收费口径）</x:v>
      </x:c>
      <x:c r="O240" s="26" t="n">
        <x:v>122</x:v>
      </x:c>
      <x:c r="P240" s="26" t="str">
        <x:v>反推假设：26lb、Zone6（账单Zone6）。
标准运费39.81×61%≈24.28
＋假设折后附加费0.00
＋燃油(24.28＋0.00)×25.50%≈6.19
＝预估承运成本30.47
按既有收费规则折算→预付33.52；与原预付差+0.00。</x:v>
      </x:c>
      <x:c r="Q240" s="26" t="str">
        <x:v>运输费43.44
−折扣16.94
＋燃油6.76
＝承运净额33.26
账单实收36.586（按既有收费规则）</x:v>
      </x:c>
    </x:row>
    <x:row r="241" ht="120" customHeight="1">
      <x:c r="A241" s="26" t="n">
        <x:v>240</x:v>
      </x:c>
      <x:c r="B241" s="26" t="str">
        <x:v>873909174173</x:v>
      </x:c>
      <x:c r="C241" s="26" t="str">
        <x:v>EL300</x:v>
      </x:c>
      <x:c r="D241" s="31" t="n">
        <x:v>85.67</x:v>
      </x:c>
      <x:c r="E241" s="31" t="n">
        <x:v>85.51</x:v>
      </x:c>
      <x:c r="F241" s="31" t="n">
        <x:f>E241-D241</x:f>
        <x:v>-0.1599999999999966</x:v>
      </x:c>
      <x:c r="G241" s="26" t="str">
        <x:v>未对上</x:v>
      </x:c>
      <x:c r="H241" s="31" t="n">
        <x:v>88.715</x:v>
      </x:c>
      <x:c r="I241" s="31" t="n">
        <x:v>80.65</x:v>
      </x:c>
      <x:c r="J241" s="31" t="n">
        <x:v>80.65</x:v>
      </x:c>
      <x:c r="K241" s="26" t="str">
        <x:v>分项加总一致</x:v>
      </x:c>
      <x:c r="L241" s="31" t="n">
        <x:v>88.715</x:v>
      </x:c>
      <x:c r="M241" s="31" t="n">
        <x:f>L241-H241</x:f>
        <x:v>0</x:v>
      </x:c>
      <x:c r="N241" s="26" t="str">
        <x:v>一致（按此前统一收费口径）</x:v>
      </x:c>
      <x:c r="O241" s="26" t="n">
        <x:v>292</x:v>
      </x:c>
      <x:c r="P241" s="26" t="str">
        <x:v>反推假设：58lb、Zone5（账单Zone5）。
标准运费55.83×61%≈34.06
＋假设折后附加费28.13
＋燃油(34.06＋28.13)×25.00%≈15.55
＝预估承运成本77.74
按既有收费规则折算→预付85.51；与原预付差-0.16。</x:v>
      </x:c>
      <x:c r="Q241" s="26" t="str">
        <x:v>运输费59.67
−折扣23.27
＋Add'l Handling-Weight 28.12
＋燃油16.13
＝承运净额80.65
账单实收88.715（按既有收费规则）</x:v>
      </x:c>
    </x:row>
    <x:row r="242" ht="120" customHeight="1">
      <x:c r="A242" s="26" t="n">
        <x:v>241</x:v>
      </x:c>
      <x:c r="B242" s="26" t="str">
        <x:v>873648195891</x:v>
      </x:c>
      <x:c r="C242" s="26" t="str">
        <x:v>EL300</x:v>
      </x:c>
      <x:c r="D242" s="31" t="n">
        <x:v>85.85</x:v>
      </x:c>
      <x:c r="E242" s="31" t="n">
        <x:v>85.68</x:v>
      </x:c>
      <x:c r="F242" s="31" t="n">
        <x:f>E242-D242</x:f>
        <x:v>-0.1699999999999875</x:v>
      </x:c>
      <x:c r="G242" s="26" t="str">
        <x:v>未对上</x:v>
      </x:c>
      <x:c r="H242" s="31" t="n">
        <x:v>88.891</x:v>
      </x:c>
      <x:c r="I242" s="31" t="n">
        <x:v>80.81</x:v>
      </x:c>
      <x:c r="J242" s="31" t="n">
        <x:v>80.81</x:v>
      </x:c>
      <x:c r="K242" s="26" t="str">
        <x:v>分项加总一致</x:v>
      </x:c>
      <x:c r="L242" s="31" t="n">
        <x:v>88.891</x:v>
      </x:c>
      <x:c r="M242" s="31" t="n">
        <x:f>L242-H242</x:f>
        <x:v>0</x:v>
      </x:c>
      <x:c r="N242" s="26" t="str">
        <x:v>一致（按此前统一收费口径）</x:v>
      </x:c>
      <x:c r="O242" s="26" t="n">
        <x:v>201</x:v>
      </x:c>
      <x:c r="P242" s="26" t="str">
        <x:v>反推假设：58lb、Zone5（账单Zone5）。
标准运费55.83×61%≈34.06
＋假设折后附加费28.13
＋燃油(34.06＋28.13)×25.25%≈15.70
＝预估承运成本77.89
按既有收费规则折算→预付85.68；与原预付差-0.17。</x:v>
      </x:c>
      <x:c r="Q242" s="26" t="str">
        <x:v>运输费59.67
−折扣23.27
＋Add'l Handling-Weight 28.12
＋燃油16.29
＝承运净额80.81
账单实收88.891（按既有收费规则）</x:v>
      </x:c>
    </x:row>
    <x:row r="243" ht="120" customHeight="1">
      <x:c r="A243" s="26" t="n">
        <x:v>242</x:v>
      </x:c>
      <x:c r="B243" s="26" t="str">
        <x:v>873364626827</x:v>
      </x:c>
      <x:c r="C243" s="26" t="str">
        <x:v>AC200L</x:v>
      </x:c>
      <x:c r="D243" s="31" t="n">
        <x:v>58.76</x:v>
      </x:c>
      <x:c r="E243" s="31" t="n">
        <x:v>58.52</x:v>
      </x:c>
      <x:c r="F243" s="31" t="n">
        <x:f>E243-D243</x:f>
        <x:v>-0.23999999999999488</x:v>
      </x:c>
      <x:c r="G243" s="26" t="str">
        <x:v>未对上</x:v>
      </x:c>
      <x:c r="H243" s="31" t="n">
        <x:v>61.798</x:v>
      </x:c>
      <x:c r="I243" s="31" t="n">
        <x:v>56.18</x:v>
      </x:c>
      <x:c r="J243" s="31" t="n">
        <x:v>56.18</x:v>
      </x:c>
      <x:c r="K243" s="26" t="str">
        <x:v>分项加总一致</x:v>
      </x:c>
      <x:c r="L243" s="31" t="n">
        <x:v>61.798</x:v>
      </x:c>
      <x:c r="M243" s="31" t="n">
        <x:f>L243-H243</x:f>
        <x:v>0</x:v>
      </x:c>
      <x:c r="N243" s="26" t="str">
        <x:v>一致（按此前统一收费口径）</x:v>
      </x:c>
      <x:c r="O243" s="26" t="n">
        <x:v>376</x:v>
      </x:c>
      <x:c r="P243" s="26" t="str">
        <x:v>反推假设：62lb、Zone2（账单Zone2）。
标准运费32.07×61%≈19.56
＋假设折后附加费23.00
＋燃油(19.56＋23.00)×25.00%≈10.64
＝预估承运成本53.20
按既有收费规则折算→预付58.52；与原预付差-0.24。</x:v>
      </x:c>
      <x:c r="Q243" s="26" t="str">
        <x:v>运输费35.96
−折扣14.02
＋Add'l Handling-Weight 23.00
＋燃油11.24
＝承运净额56.18
账单实收61.798（按既有收费规则）</x:v>
      </x:c>
    </x:row>
    <x:row r="244" ht="120" customHeight="1">
      <x:c r="A244" s="26" t="n">
        <x:v>243</x:v>
      </x:c>
      <x:c r="B244" s="26" t="str">
        <x:v>874406749367</x:v>
      </x:c>
      <x:c r="C244" s="26" t="str">
        <x:v>EL100V2</x:v>
      </x:c>
      <x:c r="D244" s="31" t="n">
        <x:v>27.26</x:v>
      </x:c>
      <x:c r="E244" s="31" t="n">
        <x:v>27.32</x:v>
      </x:c>
      <x:c r="F244" s="31" t="n">
        <x:f>E244-D244</x:f>
        <x:v>0.05999999999999872</x:v>
      </x:c>
      <x:c r="G244" s="26" t="str">
        <x:v>仅接近（不超过0.15美元）</x:v>
      </x:c>
      <x:c r="H244" s="31" t="n">
        <x:v>30.283</x:v>
      </x:c>
      <x:c r="I244" s="31" t="n">
        <x:v>27.53</x:v>
      </x:c>
      <x:c r="J244" s="31" t="n">
        <x:v>27.53</x:v>
      </x:c>
      <x:c r="K244" s="26" t="str">
        <x:v>分项加总一致</x:v>
      </x:c>
      <x:c r="L244" s="31" t="n">
        <x:v>30.283</x:v>
      </x:c>
      <x:c r="M244" s="31" t="n">
        <x:f>L244-H244</x:f>
        <x:v>0</x:v>
      </x:c>
      <x:c r="N244" s="26" t="str">
        <x:v>一致（按此前统一收费口径）</x:v>
      </x:c>
      <x:c r="O244" s="26" t="n">
        <x:v>487</x:v>
      </x:c>
      <x:c r="P244" s="26" t="str">
        <x:v>反推假设：26lb、Zone5（账单Zone5）。
标准运费32.50×61%≈19.83
＋假设折后附加费0.00
＋燃油(19.83＋0.00)×25.25%≈5.01
＝预估承运成本24.84
按既有收费规则折算→预付27.32；与原预付差+0.06。</x:v>
      </x:c>
      <x:c r="Q244" s="26" t="str">
        <x:v>运输费36.03
−折扣14.05
＋燃油5.55
＝承运净额27.53
账单实收30.283（按既有收费规则）</x:v>
      </x:c>
    </x:row>
    <x:row r="245" ht="120" customHeight="1">
      <x:c r="A245" s="26" t="n">
        <x:v>244</x:v>
      </x:c>
      <x:c r="B245" s="26" t="str">
        <x:v>875026925112</x:v>
      </x:c>
      <x:c r="C245" s="26" t="str">
        <x:v>EL100V2</x:v>
      </x:c>
      <x:c r="D245" s="31" t="n">
        <x:v>27.41</x:v>
      </x:c>
      <x:c r="E245" s="31"/>
      <x:c r="F245" s="31"/>
      <x:c r="G245" s="26" t="str">
        <x:v>缺明细，无法试算</x:v>
      </x:c>
      <x:c r="H245" s="31" t="n">
        <x:v>30.404</x:v>
      </x:c>
      <x:c r="I245" s="31"/>
      <x:c r="J245" s="31"/>
      <x:c r="K245" s="26" t="str">
        <x:v>缺核对明细</x:v>
      </x:c>
      <x:c r="L245" s="31"/>
      <x:c r="M245" s="31"/>
      <x:c r="N245" s="26" t="str">
        <x:v>缺核对明细，无法核算</x:v>
      </x:c>
      <x:c r="O245" s="26"/>
      <x:c r="P245" s="26" t="str">
        <x:v>缺核对明细，无法重建预付；原预付仅按基础表保留。</x:v>
      </x:c>
      <x:c r="Q245" s="26" t="str">
        <x:v>缺原始核对明细，无法拆分。</x:v>
      </x:c>
    </x:row>
    <x:row r="246" ht="120" customHeight="1">
      <x:c r="A246" s="26" t="n">
        <x:v>245</x:v>
      </x:c>
      <x:c r="B246" s="26" t="str">
        <x:v>874028982045</x:v>
      </x:c>
      <x:c r="C246" s="26" t="str">
        <x:v>EL100V2</x:v>
      </x:c>
      <x:c r="D246" s="31" t="n">
        <x:v>27.26</x:v>
      </x:c>
      <x:c r="E246" s="31" t="n">
        <x:v>27.27</x:v>
      </x:c>
      <x:c r="F246" s="31" t="n">
        <x:f>E246-D246</x:f>
        <x:v>0.00999999999999801</x:v>
      </x:c>
      <x:c r="G246" s="26" t="str">
        <x:v>仅接近（不超过0.15美元）</x:v>
      </x:c>
      <x:c r="H246" s="31" t="n">
        <x:v>30.228</x:v>
      </x:c>
      <x:c r="I246" s="31" t="n">
        <x:v>27.48</x:v>
      </x:c>
      <x:c r="J246" s="31" t="n">
        <x:v>27.48</x:v>
      </x:c>
      <x:c r="K246" s="26" t="str">
        <x:v>分项加总一致</x:v>
      </x:c>
      <x:c r="L246" s="31" t="n">
        <x:v>30.228</x:v>
      </x:c>
      <x:c r="M246" s="31" t="n">
        <x:f>L246-H246</x:f>
        <x:v>0</x:v>
      </x:c>
      <x:c r="N246" s="26" t="str">
        <x:v>一致（按此前统一收费口径）</x:v>
      </x:c>
      <x:c r="O246" s="26" t="n">
        <x:v>368</x:v>
      </x:c>
      <x:c r="P246" s="26" t="str">
        <x:v>反推假设：26lb、Zone5（账单Zone5）。
标准运费32.50×61%≈19.83
＋假设折后附加费0.00
＋燃油(19.83＋0.00)×25.00%≈4.96
＝预估承运成本24.79
按既有收费规则折算→预付27.27；与原预付差+0.01。</x:v>
      </x:c>
      <x:c r="Q246" s="26" t="str">
        <x:v>运输费36.03
−折扣14.05
＋燃油5.50
＝承运净额27.48
账单实收30.228（按既有收费规则）</x:v>
      </x:c>
    </x:row>
    <x:row r="247" ht="120" customHeight="1">
      <x:c r="A247" s="26" t="n">
        <x:v>246</x:v>
      </x:c>
      <x:c r="B247" s="26" t="str">
        <x:v>873236734387</x:v>
      </x:c>
      <x:c r="C247" s="26" t="str">
        <x:v>EL100V2</x:v>
      </x:c>
      <x:c r="D247" s="31" t="n">
        <x:v>26.41</x:v>
      </x:c>
      <x:c r="E247" s="31"/>
      <x:c r="F247" s="31"/>
      <x:c r="G247" s="26" t="str">
        <x:v>缺明细，无法试算</x:v>
      </x:c>
      <x:c r="H247" s="31" t="n">
        <x:v>29.359</x:v>
      </x:c>
      <x:c r="I247" s="31"/>
      <x:c r="J247" s="31"/>
      <x:c r="K247" s="26" t="str">
        <x:v>缺核对明细</x:v>
      </x:c>
      <x:c r="L247" s="31"/>
      <x:c r="M247" s="31"/>
      <x:c r="N247" s="26" t="str">
        <x:v>缺核对明细，无法核算</x:v>
      </x:c>
      <x:c r="O247" s="26"/>
      <x:c r="P247" s="26" t="str">
        <x:v>缺核对明细，无法重建预付；原预付仅按基础表保留。</x:v>
      </x:c>
      <x:c r="Q247" s="26" t="str">
        <x:v>缺原始核对明细，无法拆分。</x:v>
      </x:c>
    </x:row>
    <x:row r="248" ht="120" customHeight="1">
      <x:c r="A248" s="26" t="n">
        <x:v>247</x:v>
      </x:c>
      <x:c r="B248" s="26" t="str">
        <x:v>874454755548</x:v>
      </x:c>
      <x:c r="C248" s="26" t="str">
        <x:v>EL100V2</x:v>
      </x:c>
      <x:c r="D248" s="31" t="n">
        <x:v>26.2</x:v>
      </x:c>
      <x:c r="E248" s="31" t="n">
        <x:v>26.19</x:v>
      </x:c>
      <x:c r="F248" s="31" t="n">
        <x:f>E248-D248</x:f>
        <x:v>-0.00999999999999801</x:v>
      </x:c>
      <x:c r="G248" s="26" t="str">
        <x:v>仅接近（不超过0.15美元）</x:v>
      </x:c>
      <x:c r="H248" s="31" t="n">
        <x:v>29.073</x:v>
      </x:c>
      <x:c r="I248" s="31" t="n">
        <x:v>26.43</x:v>
      </x:c>
      <x:c r="J248" s="31" t="n">
        <x:v>26.43</x:v>
      </x:c>
      <x:c r="K248" s="26" t="str">
        <x:v>分项加总一致</x:v>
      </x:c>
      <x:c r="L248" s="31" t="n">
        <x:v>29.073</x:v>
      </x:c>
      <x:c r="M248" s="31" t="n">
        <x:f>L248-H248</x:f>
        <x:v>0</x:v>
      </x:c>
      <x:c r="N248" s="26" t="str">
        <x:v>一致（按此前统一收费口径）</x:v>
      </x:c>
      <x:c r="O248" s="26" t="n">
        <x:v>489</x:v>
      </x:c>
      <x:c r="P248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Q248" s="26" t="str">
        <x:v>运输费34.65
−折扣13.51
＋燃油5.29
＝承运净额26.43
账单实收29.073（按既有收费规则）</x:v>
      </x:c>
    </x:row>
    <x:row r="249" ht="120" customHeight="1">
      <x:c r="A249" s="26" t="n">
        <x:v>248</x:v>
      </x:c>
      <x:c r="B249" s="26" t="str">
        <x:v>874199745095</x:v>
      </x:c>
      <x:c r="C249" s="26" t="str">
        <x:v>EL100V2</x:v>
      </x:c>
      <x:c r="D249" s="31" t="n">
        <x:v>26.2</x:v>
      </x:c>
      <x:c r="E249" s="31" t="n">
        <x:v>26.19</x:v>
      </x:c>
      <x:c r="F249" s="31" t="n">
        <x:f>E249-D249</x:f>
        <x:v>-0.00999999999999801</x:v>
      </x:c>
      <x:c r="G249" s="26" t="str">
        <x:v>仅接近（不超过0.15美元）</x:v>
      </x:c>
      <x:c r="H249" s="31" t="n">
        <x:v>29.073</x:v>
      </x:c>
      <x:c r="I249" s="31" t="n">
        <x:v>26.43</x:v>
      </x:c>
      <x:c r="J249" s="31" t="n">
        <x:v>26.43</x:v>
      </x:c>
      <x:c r="K249" s="26" t="str">
        <x:v>分项加总一致</x:v>
      </x:c>
      <x:c r="L249" s="31" t="n">
        <x:v>29.073</x:v>
      </x:c>
      <x:c r="M249" s="31" t="n">
        <x:f>L249-H249</x:f>
        <x:v>0</x:v>
      </x:c>
      <x:c r="N249" s="26" t="str">
        <x:v>一致（按此前统一收费口径）</x:v>
      </x:c>
      <x:c r="O249" s="26" t="n">
        <x:v>406</x:v>
      </x:c>
      <x:c r="P249" s="26" t="str">
        <x:v>反推假设：25lb、Zone5（账单Zone5）。
标准运费31.23×61%≈19.05
＋假设折后附加费0.00
＋燃油(19.05＋0.00)×25.00%≈4.76
＝预估承运成本23.81
按既有收费规则折算→预付26.19；与原预付差-0.01。</x:v>
      </x:c>
      <x:c r="Q249" s="26" t="str">
        <x:v>运输费34.65
−折扣13.51
＋燃油5.29
＝承运净额26.43
账单实收29.073（按既有收费规则）</x:v>
      </x:c>
    </x:row>
    <x:row r="250" ht="120" customHeight="1">
      <x:c r="A250" s="26" t="n">
        <x:v>249</x:v>
      </x:c>
      <x:c r="B250" s="26" t="str">
        <x:v>874406439920</x:v>
      </x:c>
      <x:c r="C250" s="26" t="str">
        <x:v>AC180</x:v>
      </x:c>
      <x:c r="D250" s="31" t="n">
        <x:v>25.89</x:v>
      </x:c>
      <x:c r="E250" s="31" t="n">
        <x:v>25.94</x:v>
      </x:c>
      <x:c r="F250" s="31" t="n">
        <x:f>E250-D250</x:f>
        <x:v>0.05000000000000071</x:v>
      </x:c>
      <x:c r="G250" s="26" t="str">
        <x:v>仅接近（不超过0.15美元）</x:v>
      </x:c>
      <x:c r="H250" s="31" t="n">
        <x:v>28.754</x:v>
      </x:c>
      <x:c r="I250" s="31" t="n">
        <x:v>26.14</x:v>
      </x:c>
      <x:c r="J250" s="31" t="n">
        <x:v>26.14</x:v>
      </x:c>
      <x:c r="K250" s="26" t="str">
        <x:v>分项加总一致</x:v>
      </x:c>
      <x:c r="L250" s="31" t="n">
        <x:v>28.754</x:v>
      </x:c>
      <x:c r="M250" s="31" t="n">
        <x:f>L250-H250</x:f>
        <x:v>0</x:v>
      </x:c>
      <x:c r="N250" s="26" t="str">
        <x:v>一致（按此前统一收费口径）</x:v>
      </x:c>
      <x:c r="O250" s="26" t="n">
        <x:v>486</x:v>
      </x:c>
      <x:c r="P250" s="26" t="str">
        <x:v>反推假设：37lb、Zone3（账单Zone3）。
标准运费30.87×61%≈18.83
＋假设折后附加费0.00
＋燃油(18.83＋0.00)×25.25%≈4.75
＝预估承运成本23.58
按既有收费规则折算→预付25.94；与原预付差+0.05。</x:v>
      </x:c>
      <x:c r="Q250" s="26" t="str">
        <x:v>运输费34.22
−折扣13.35
＋燃油5.27
＝承运净额26.14
账单实收28.754（按既有收费规则）</x:v>
      </x:c>
    </x:row>
    <x:row r="251" ht="120" customHeight="1">
      <x:c r="A251" s="26" t="n">
        <x:v>250</x:v>
      </x:c>
      <x:c r="B251" s="26" t="str">
        <x:v>873114830593</x:v>
      </x:c>
      <x:c r="C251" s="26"/>
      <x:c r="D251" s="31" t="n">
        <x:v>29.56</x:v>
      </x:c>
      <x:c r="E251" s="31" t="n">
        <x:v>30.87</x:v>
      </x:c>
      <x:c r="F251" s="31" t="n">
        <x:f>E251-D251</x:f>
        <x:v>1.3100000000000023</x:v>
      </x:c>
      <x:c r="G251" s="26" t="str">
        <x:v>未对上</x:v>
      </x:c>
      <x:c r="H251" s="31" t="n">
        <x:v>32.388</x:v>
      </x:c>
      <x:c r="I251" s="31" t="n">
        <x:v>26.99</x:v>
      </x:c>
      <x:c r="J251" s="31" t="n">
        <x:v>26.99</x:v>
      </x:c>
      <x:c r="K251" s="26" t="str">
        <x:v>分项加总一致</x:v>
      </x:c>
      <x:c r="L251" s="31" t="n">
        <x:v>29.689</x:v>
      </x:c>
      <x:c r="M251" s="31" t="n">
        <x:f>L251-H251</x:f>
        <x:v>-2.698999999999998</x:v>
      </x:c>
      <x:c r="N251" s="26" t="str">
        <x:v>未对上，收费口径待确认</x:v>
      </x:c>
      <x:c r="O251" s="26" t="n">
        <x:v>57</x:v>
      </x:c>
      <x:c r="P251" s="26" t="str">
        <x:v>反推假设：32lb、Zone5（账单Zone2）。
标准运费36.50×61%≈22.27
＋假设折后附加费0.00
＋燃油(22.27＋0.00)×26.00%≈5.79
＝预估承运成本28.06
按既有收费规则折算→预付30.87；与原预付差+1.31。</x:v>
      </x:c>
      <x:c r="Q251" s="26" t="str">
        <x:v>运输费26.77
−折扣8.57
＋Residential Delivery 3.22
＋燃油5.57
＝承运净额26.99
账单实收32.388（按既有收费规则）</x:v>
      </x:c>
    </x:row>
    <x:row r="252" ht="120" customHeight="1">
      <x:c r="A252" s="26" t="n">
        <x:v>251</x:v>
      </x:c>
      <x:c r="B252" s="26" t="str">
        <x:v>873748387608</x:v>
      </x:c>
      <x:c r="C252" s="26" t="str">
        <x:v>EL100V2</x:v>
      </x:c>
      <x:c r="D252" s="31" t="n">
        <x:v>26.25</x:v>
      </x:c>
      <x:c r="E252" s="31" t="n">
        <x:v>26.19</x:v>
      </x:c>
      <x:c r="F252" s="31" t="n">
        <x:f>E252-D252</x:f>
        <x:v>-0.05999999999999872</x:v>
      </x:c>
      <x:c r="G252" s="26" t="str">
        <x:v>仅接近（不超过0.15美元）</x:v>
      </x:c>
      <x:c r="H252" s="31" t="n">
        <x:v>29.073</x:v>
      </x:c>
      <x:c r="I252" s="31" t="n">
        <x:v>26.43</x:v>
      </x:c>
      <x:c r="J252" s="31" t="n">
        <x:v>26.43</x:v>
      </x:c>
      <x:c r="K252" s="26" t="str">
        <x:v>分项加总一致</x:v>
      </x:c>
      <x:c r="L252" s="31" t="n">
        <x:v>29.073</x:v>
      </x:c>
      <x:c r="M252" s="31" t="n">
        <x:f>L252-H252</x:f>
        <x:v>0</x:v>
      </x:c>
      <x:c r="N252" s="26" t="str">
        <x:v>一致（按此前统一收费口径）</x:v>
      </x:c>
      <x:c r="O252" s="26" t="n">
        <x:v>317</x:v>
      </x:c>
      <x:c r="P252" s="26" t="str">
        <x:v>反推假设：25lb、Zone5（账单Zone5）。
标准运费31.23×61%≈19.05
＋假设折后附加费0.00
＋燃油(19.05＋0.00)×25.00%≈4.76
＝预估承运成本23.81
按既有收费规则折算→预付26.19；与原预付差-0.06。</x:v>
      </x:c>
      <x:c r="Q252" s="26" t="str">
        <x:v>运输费34.65
−折扣13.51
＋燃油5.29
＝承运净额26.43
账单实收29.073（按既有收费规则）</x:v>
      </x:c>
    </x:row>
    <x:row r="253" ht="120" customHeight="1">
      <x:c r="A253" s="26" t="n">
        <x:v>252</x:v>
      </x:c>
      <x:c r="B253" s="26" t="str">
        <x:v>873424093974</x:v>
      </x:c>
      <x:c r="C253" s="26" t="str">
        <x:v>EL100V2</x:v>
      </x:c>
      <x:c r="D253" s="31" t="n">
        <x:v>26.31</x:v>
      </x:c>
      <x:c r="E253" s="31" t="n">
        <x:v>26.25</x:v>
      </x:c>
      <x:c r="F253" s="31" t="n">
        <x:f>E253-D253</x:f>
        <x:v>-0.05999999999999872</x:v>
      </x:c>
      <x:c r="G253" s="26" t="str">
        <x:v>仅接近（不超过0.15美元）</x:v>
      </x:c>
      <x:c r="H253" s="31" t="n">
        <x:v>29.128</x:v>
      </x:c>
      <x:c r="I253" s="31" t="n">
        <x:v>26.48</x:v>
      </x:c>
      <x:c r="J253" s="31" t="n">
        <x:v>26.48</x:v>
      </x:c>
      <x:c r="K253" s="26" t="str">
        <x:v>分项加总一致</x:v>
      </x:c>
      <x:c r="L253" s="31" t="n">
        <x:v>29.128</x:v>
      </x:c>
      <x:c r="M253" s="31" t="n">
        <x:f>L253-H253</x:f>
        <x:v>0</x:v>
      </x:c>
      <x:c r="N253" s="26" t="str">
        <x:v>一致（按此前统一收费口径）</x:v>
      </x:c>
      <x:c r="O253" s="26" t="n">
        <x:v>196</x:v>
      </x:c>
      <x:c r="P253" s="26" t="str">
        <x:v>反推假设：25lb、Zone5（账单Zone5）。
标准运费31.23×61%≈19.05
＋假设折后附加费0.00
＋燃油(19.05＋0.00)×25.25%≈4.81
＝预估承运成本23.86
按既有收费规则折算→预付26.25；与原预付差-0.06。</x:v>
      </x:c>
      <x:c r="Q253" s="26" t="str">
        <x:v>运输费34.65
−折扣13.51
＋燃油5.34
＝承运净额26.48
账单实收29.128（按既有收费规则）</x:v>
      </x:c>
    </x:row>
    <x:row r="254" ht="120" customHeight="1">
      <x:c r="A254" s="26" t="n">
        <x:v>253</x:v>
      </x:c>
      <x:c r="B254" s="26" t="str">
        <x:v>873485268926</x:v>
      </x:c>
      <x:c r="C254" s="26" t="str">
        <x:v>EL300</x:v>
      </x:c>
      <x:c r="D254" s="31" t="n">
        <x:v>71.94</x:v>
      </x:c>
      <x:c r="E254" s="31" t="n">
        <x:v>71.81</x:v>
      </x:c>
      <x:c r="F254" s="31" t="n">
        <x:f>E254-D254</x:f>
        <x:v>-0.12999999999999545</x:v>
      </x:c>
      <x:c r="G254" s="26" t="str">
        <x:v>仅接近（不超过0.15美元）</x:v>
      </x:c>
      <x:c r="H254" s="31" t="n">
        <x:v>74.756</x:v>
      </x:c>
      <x:c r="I254" s="31" t="n">
        <x:v>67.96</x:v>
      </x:c>
      <x:c r="J254" s="31" t="n">
        <x:v>67.96</x:v>
      </x:c>
      <x:c r="K254" s="26" t="str">
        <x:v>分项加总一致</x:v>
      </x:c>
      <x:c r="L254" s="31" t="n">
        <x:v>74.756</x:v>
      </x:c>
      <x:c r="M254" s="31" t="n">
        <x:f>L254-H254</x:f>
        <x:v>0</x:v>
      </x:c>
      <x:c r="N254" s="26" t="str">
        <x:v>一致（按此前统一收费口径）</x:v>
      </x:c>
      <x:c r="O254" s="26" t="n">
        <x:v>217</x:v>
      </x:c>
      <x:c r="P254" s="26" t="str">
        <x:v>反推假设：56lb、Zone4（账单Zone4）。
标准运费44.24×61%≈26.99
＋假设折后附加费25.13
＋燃油(26.99＋25.13)×25.25%≈13.16
＝预估承运成本65.28
按既有收费规则折算→预付71.81；与原预付差-0.13。</x:v>
      </x:c>
      <x:c r="Q254" s="26" t="str">
        <x:v>运输费47.77
−折扣18.63
＋Add'l Handling-Weight 25.12
＋燃油13.70
＝承运净额67.96
账单实收74.756（按既有收费规则）</x:v>
      </x:c>
    </x:row>
    <x:row r="255" ht="120" customHeight="1">
      <x:c r="A255" s="26" t="n">
        <x:v>254</x:v>
      </x:c>
      <x:c r="B255" s="26" t="str">
        <x:v>874290703451</x:v>
      </x:c>
      <x:c r="C255" s="26" t="str">
        <x:v>EL100V2</x:v>
      </x:c>
      <x:c r="D255" s="31" t="n">
        <x:v>27.46</x:v>
      </x:c>
      <x:c r="E255" s="31" t="n">
        <x:v>27.46</x:v>
      </x:c>
      <x:c r="F255" s="31" t="n">
        <x:f>E255-D255</x:f>
        <x:v>0</x:v>
      </x:c>
      <x:c r="G255" s="26" t="str">
        <x:v>一致（精确到美分）</x:v>
      </x:c>
      <x:c r="H255" s="31" t="n">
        <x:v>30.228</x:v>
      </x:c>
      <x:c r="I255" s="31" t="n">
        <x:v>27.48</x:v>
      </x:c>
      <x:c r="J255" s="31" t="n">
        <x:v>27.48</x:v>
      </x:c>
      <x:c r="K255" s="26" t="str">
        <x:v>分项加总一致</x:v>
      </x:c>
      <x:c r="L255" s="31" t="n">
        <x:v>30.228</x:v>
      </x:c>
      <x:c r="M255" s="31" t="n">
        <x:f>L255-H255</x:f>
        <x:v>0</x:v>
      </x:c>
      <x:c r="N255" s="26" t="str">
        <x:v>一致（按此前统一收费口径）</x:v>
      </x:c>
      <x:c r="O255" s="26" t="n">
        <x:v>416</x:v>
      </x:c>
      <x:c r="P255" s="26" t="str">
        <x:v>反推假设：27lb、Zone5（账单Zone5）。
标准运费32.73×61%≈19.97
＋假设折后附加费0.00
＋燃油(19.97＋0.00)×25.00%≈4.99
＝预估承运成本24.96
按既有收费规则折算→预付27.46；与原预付差+0.00。</x:v>
      </x:c>
      <x:c r="Q255" s="26" t="str">
        <x:v>运输费36.03
−折扣14.05
＋燃油5.50
＝承运净额27.48
账单实收30.228（按既有收费规则）</x:v>
      </x:c>
    </x:row>
    <x:row r="256" ht="120" customHeight="1">
      <x:c r="A256" s="26" t="n">
        <x:v>255</x:v>
      </x:c>
      <x:c r="B256" s="26" t="str">
        <x:v>873543285720</x:v>
      </x:c>
      <x:c r="C256" s="26" t="str">
        <x:v>EL100V2</x:v>
      </x:c>
      <x:c r="D256" s="31" t="n">
        <x:v>26.31</x:v>
      </x:c>
      <x:c r="E256" s="31" t="n">
        <x:v>26.19</x:v>
      </x:c>
      <x:c r="F256" s="31" t="n">
        <x:f>E256-D256</x:f>
        <x:v>-0.11999999999999744</x:v>
      </x:c>
      <x:c r="G256" s="26" t="str">
        <x:v>仅接近（不超过0.15美元）</x:v>
      </x:c>
      <x:c r="H256" s="31" t="n">
        <x:v>29.073</x:v>
      </x:c>
      <x:c r="I256" s="31" t="n">
        <x:v>26.43</x:v>
      </x:c>
      <x:c r="J256" s="31" t="n">
        <x:v>26.43</x:v>
      </x:c>
      <x:c r="K256" s="26" t="str">
        <x:v>分项加总一致</x:v>
      </x:c>
      <x:c r="L256" s="31" t="n">
        <x:v>29.073</x:v>
      </x:c>
      <x:c r="M256" s="31" t="n">
        <x:f>L256-H256</x:f>
        <x:v>0</x:v>
      </x:c>
      <x:c r="N256" s="26" t="str">
        <x:v>一致（按此前统一收费口径）</x:v>
      </x:c>
      <x:c r="O256" s="26" t="n">
        <x:v>280</x:v>
      </x:c>
      <x:c r="P256" s="26" t="str">
        <x:v>反推假设：25lb、Zone5（账单Zone5）。
标准运费31.23×61%≈19.05
＋假设折后附加费0.00
＋燃油(19.05＋0.00)×25.00%≈4.76
＝预估承运成本23.81
按既有收费规则折算→预付26.19；与原预付差-0.12。</x:v>
      </x:c>
      <x:c r="Q256" s="26" t="str">
        <x:v>运输费34.65
−折扣13.51
＋燃油5.29
＝承运净额26.43
账单实收29.073（按既有收费规则）</x:v>
      </x:c>
    </x:row>
    <x:row r="257" ht="120" customHeight="1">
      <x:c r="A257" s="26" t="n">
        <x:v>256</x:v>
      </x:c>
      <x:c r="B257" s="26" t="str">
        <x:v>874714646339</x:v>
      </x:c>
      <x:c r="C257" s="26"/>
      <x:c r="D257" s="31" t="n">
        <x:v>17.5</x:v>
      </x:c>
      <x:c r="E257" s="31"/>
      <x:c r="F257" s="31"/>
      <x:c r="G257" s="26" t="str">
        <x:v>缺明细，无法试算</x:v>
      </x:c>
      <x:c r="H257" s="31" t="n">
        <x:v>20.262</x:v>
      </x:c>
      <x:c r="I257" s="31"/>
      <x:c r="J257" s="31"/>
      <x:c r="K257" s="26" t="str">
        <x:v>缺核对明细</x:v>
      </x:c>
      <x:c r="L257" s="31"/>
      <x:c r="M257" s="31"/>
      <x:c r="N257" s="26" t="str">
        <x:v>缺核对明细，无法核算</x:v>
      </x:c>
      <x:c r="O257" s="26"/>
      <x:c r="P257" s="26" t="str">
        <x:v>缺核对明细，无法重建预付；原预付仅按基础表保留。</x:v>
      </x:c>
      <x:c r="Q257" s="26" t="str">
        <x:v>缺原始核对明细，无法拆分。</x:v>
      </x:c>
    </x:row>
    <x:row r="258" ht="120" customHeight="1">
      <x:c r="A258" s="26" t="n">
        <x:v>257</x:v>
      </x:c>
      <x:c r="B258" s="26" t="str">
        <x:v>873689062051</x:v>
      </x:c>
      <x:c r="C258" s="26" t="str">
        <x:v>EL100</x:v>
      </x:c>
      <x:c r="D258" s="31" t="n">
        <x:v>23.06</x:v>
      </x:c>
      <x:c r="E258" s="31" t="n">
        <x:v>23.07</x:v>
      </x:c>
      <x:c r="F258" s="31" t="n">
        <x:f>E258-D258</x:f>
        <x:v>0.010000000000001563</x:v>
      </x:c>
      <x:c r="G258" s="26" t="str">
        <x:v>仅接近（不超过0.15美元）</x:v>
      </x:c>
      <x:c r="H258" s="31" t="n">
        <x:v>25.806</x:v>
      </x:c>
      <x:c r="I258" s="31" t="n">
        <x:v>23.46</x:v>
      </x:c>
      <x:c r="J258" s="31" t="n">
        <x:v>23.46</x:v>
      </x:c>
      <x:c r="K258" s="26" t="str">
        <x:v>分项加总一致</x:v>
      </x:c>
      <x:c r="L258" s="31" t="n">
        <x:v>25.806</x:v>
      </x:c>
      <x:c r="M258" s="31" t="n">
        <x:f>L258-H258</x:f>
        <x:v>0</x:v>
      </x:c>
      <x:c r="N258" s="26" t="str">
        <x:v>一致（按此前统一收费口径）</x:v>
      </x:c>
      <x:c r="O258" s="26" t="n">
        <x:v>204</x:v>
      </x:c>
      <x:c r="P258" s="26" t="str">
        <x:v>反推假设：27lb、Zone4（账单Zone4）。
标准运费27.45×61%≈16.74
＋假设折后附加费0.00
＋燃油(16.74＋0.00)×25.25%≈4.23
＝预估承运成本20.97
按既有收费规则折算→预付23.07；与原预付差+0.01。</x:v>
      </x:c>
      <x:c r="Q258" s="26" t="str">
        <x:v>运输费30.70
−折扣11.97
＋燃油4.73
＝承运净额23.46
账单实收25.806（按既有收费规则）</x:v>
      </x:c>
    </x:row>
    <x:row r="259" ht="120" customHeight="1">
      <x:c r="A259" s="26" t="n">
        <x:v>258</x:v>
      </x:c>
      <x:c r="B259" s="26" t="str">
        <x:v>873125800348</x:v>
      </x:c>
      <x:c r="C259" s="26" t="str">
        <x:v>AC180</x:v>
      </x:c>
      <x:c r="D259" s="31" t="n">
        <x:v>26.5</x:v>
      </x:c>
      <x:c r="E259" s="31" t="n">
        <x:v>26.4</x:v>
      </x:c>
      <x:c r="F259" s="31" t="n">
        <x:f>E259-D259</x:f>
        <x:v>-0.10000000000000142</x:v>
      </x:c>
      <x:c r="G259" s="26" t="str">
        <x:v>仅接近（不超过0.15美元）</x:v>
      </x:c>
      <x:c r="H259" s="31" t="n">
        <x:v>29.227</x:v>
      </x:c>
      <x:c r="I259" s="31" t="n">
        <x:v>26.57</x:v>
      </x:c>
      <x:c r="J259" s="31" t="n">
        <x:v>26.57</x:v>
      </x:c>
      <x:c r="K259" s="26" t="str">
        <x:v>分项加总一致</x:v>
      </x:c>
      <x:c r="L259" s="31" t="n">
        <x:v>29.227</x:v>
      </x:c>
      <x:c r="M259" s="31" t="n">
        <x:f>L259-H259</x:f>
        <x:v>0</x:v>
      </x:c>
      <x:c r="N259" s="26" t="str">
        <x:v>一致（按此前统一收费口径）</x:v>
      </x:c>
      <x:c r="O259" s="26" t="n">
        <x:v>111</x:v>
      </x:c>
      <x:c r="P259" s="26" t="str">
        <x:v>反推假设：38lb、Zone3（账单Zone3）。
标准运费31.34×61%≈19.12
＋假设折后附加费0.00
＋燃油(19.12＋0.00)×25.50%≈4.88
＝预估承运成本24.00
按既有收费规则折算→预付26.40；与原预付差-0.10。</x:v>
      </x:c>
      <x:c r="Q259" s="26" t="str">
        <x:v>运输费34.71
−折扣13.54
＋燃油5.40
＝承运净额26.57
账单实收29.227（按既有收费规则）</x:v>
      </x:c>
    </x:row>
    <x:row r="260" ht="120" customHeight="1">
      <x:c r="A260" s="26" t="n">
        <x:v>259</x:v>
      </x:c>
      <x:c r="B260" s="26" t="str">
        <x:v>874456457692</x:v>
      </x:c>
      <x:c r="C260" s="26" t="str">
        <x:v>EL100V2</x:v>
      </x:c>
      <x:c r="D260" s="31" t="n">
        <x:v>21.67</x:v>
      </x:c>
      <x:c r="E260" s="31" t="n">
        <x:v>21.71</x:v>
      </x:c>
      <x:c r="F260" s="31" t="n">
        <x:f>E260-D260</x:f>
        <x:v>0.03999999999999915</x:v>
      </x:c>
      <x:c r="G260" s="26" t="str">
        <x:v>仅接近（不超过0.15美元）</x:v>
      </x:c>
      <x:c r="H260" s="31" t="n">
        <x:v>24.354</x:v>
      </x:c>
      <x:c r="I260" s="31" t="n">
        <x:v>22.14</x:v>
      </x:c>
      <x:c r="J260" s="31" t="n">
        <x:v>22.14</x:v>
      </x:c>
      <x:c r="K260" s="26" t="str">
        <x:v>分项加总一致</x:v>
      </x:c>
      <x:c r="L260" s="31" t="n">
        <x:v>24.354</x:v>
      </x:c>
      <x:c r="M260" s="31" t="n">
        <x:f>L260-H260</x:f>
        <x:v>0</x:v>
      </x:c>
      <x:c r="N260" s="26" t="str">
        <x:v>一致（按此前统一收费口径）</x:v>
      </x:c>
      <x:c r="O260" s="26" t="n">
        <x:v>470</x:v>
      </x:c>
      <x:c r="P260" s="26" t="str">
        <x:v>反推假设：25lb、Zone4（账单Zone4）。
标准运费25.83×61%≈15.76
＋假设折后附加费0.00
＋燃油(15.76＋0.00)×25.25%≈3.98
＝预估承运成本19.74
按既有收费规则折算→预付21.71；与原预付差+0.04。</x:v>
      </x:c>
      <x:c r="Q260" s="26" t="str">
        <x:v>运输费28.98
−折扣11.30
＋燃油4.46
＝承运净额22.14
账单实收24.354（按既有收费规则）</x:v>
      </x:c>
    </x:row>
    <x:row r="261" ht="120" customHeight="1">
      <x:c r="A261" s="26" t="n">
        <x:v>260</x:v>
      </x:c>
      <x:c r="B261" s="26" t="str">
        <x:v>874087725260</x:v>
      </x:c>
      <x:c r="C261" s="26" t="str">
        <x:v>EL100V2</x:v>
      </x:c>
      <x:c r="D261" s="31" t="n">
        <x:v>20.2</x:v>
      </x:c>
      <x:c r="E261" s="31" t="n">
        <x:v>20.2</x:v>
      </x:c>
      <x:c r="F261" s="31" t="n">
        <x:f>E261-D261</x:f>
        <x:v>0</x:v>
      </x:c>
      <x:c r="G261" s="26" t="str">
        <x:v>一致（精确到美分）</x:v>
      </x:c>
      <x:c r="H261" s="31" t="n">
        <x:v>22.858</x:v>
      </x:c>
      <x:c r="I261" s="31" t="n">
        <x:v>20.78</x:v>
      </x:c>
      <x:c r="J261" s="31" t="n">
        <x:v>20.78</x:v>
      </x:c>
      <x:c r="K261" s="26" t="str">
        <x:v>分项加总一致</x:v>
      </x:c>
      <x:c r="L261" s="31" t="n">
        <x:v>22.858</x:v>
      </x:c>
      <x:c r="M261" s="31" t="n">
        <x:f>L261-H261</x:f>
        <x:v>0</x:v>
      </x:c>
      <x:c r="N261" s="26" t="str">
        <x:v>一致（按此前统一收费口径）</x:v>
      </x:c>
      <x:c r="O261" s="26" t="n">
        <x:v>350</x:v>
      </x:c>
      <x:c r="P261" s="26" t="str">
        <x:v>反推假设：25lb、Zone3（账单Zone3）。
标准运费24.09×61%≈14.69
＋假设折后附加费0.00
＋燃油(14.69＋0.00)×25.00%≈3.67
＝预估承运成本18.36
按既有收费规则折算→预付20.20；与原预付差+0.00。</x:v>
      </x:c>
      <x:c r="Q261" s="26" t="str">
        <x:v>运输费27.25
−折扣10.63
＋燃油4.16
＝承运净额20.78
账单实收22.858（按既有收费规则）</x:v>
      </x:c>
    </x:row>
    <x:row r="262" ht="120" customHeight="1">
      <x:c r="A262" s="26" t="n">
        <x:v>261</x:v>
      </x:c>
      <x:c r="B262" s="26" t="str">
        <x:v>874906233666</x:v>
      </x:c>
      <x:c r="C262" s="26" t="str">
        <x:v>AC180</x:v>
      </x:c>
      <x:c r="D262" s="31" t="n">
        <x:v>36.65</x:v>
      </x:c>
      <x:c r="E262" s="31"/>
      <x:c r="F262" s="31"/>
      <x:c r="G262" s="26" t="str">
        <x:v>缺明细，无法试算</x:v>
      </x:c>
      <x:c r="H262" s="31" t="n">
        <x:v>39.303</x:v>
      </x:c>
      <x:c r="I262" s="31"/>
      <x:c r="J262" s="31"/>
      <x:c r="K262" s="26" t="str">
        <x:v>缺核对明细</x:v>
      </x:c>
      <x:c r="L262" s="31"/>
      <x:c r="M262" s="31"/>
      <x:c r="N262" s="26" t="str">
        <x:v>缺核对明细，无法核算</x:v>
      </x:c>
      <x:c r="O262" s="26"/>
      <x:c r="P262" s="26" t="str">
        <x:v>缺核对明细，无法重建预付；原预付仅按基础表保留。</x:v>
      </x:c>
      <x:c r="Q262" s="26" t="str">
        <x:v>缺原始核对明细，无法拆分。</x:v>
      </x:c>
    </x:row>
    <x:row r="263" ht="120" customHeight="1">
      <x:c r="A263" s="26" t="n">
        <x:v>262</x:v>
      </x:c>
      <x:c r="B263" s="26" t="str">
        <x:v>873481838718</x:v>
      </x:c>
      <x:c r="C263" s="26" t="str">
        <x:v>EL100V2</x:v>
      </x:c>
      <x:c r="D263" s="31" t="n">
        <x:v>21.76</x:v>
      </x:c>
      <x:c r="E263" s="31" t="n">
        <x:v>21.76</x:v>
      </x:c>
      <x:c r="F263" s="31" t="n">
        <x:f>E263-D263</x:f>
        <x:v>0</x:v>
      </x:c>
      <x:c r="G263" s="26" t="str">
        <x:v>一致（精确到美分）</x:v>
      </x:c>
      <x:c r="H263" s="31" t="n">
        <x:v>24.409</x:v>
      </x:c>
      <x:c r="I263" s="31" t="n">
        <x:v>22.19</x:v>
      </x:c>
      <x:c r="J263" s="31" t="n">
        <x:v>22.19</x:v>
      </x:c>
      <x:c r="K263" s="26" t="str">
        <x:v>分项加总一致</x:v>
      </x:c>
      <x:c r="L263" s="31" t="n">
        <x:v>24.409</x:v>
      </x:c>
      <x:c r="M263" s="31" t="n">
        <x:f>L263-H263</x:f>
        <x:v>0</x:v>
      </x:c>
      <x:c r="N263" s="26" t="str">
        <x:v>一致（按此前统一收费口径）</x:v>
      </x:c>
      <x:c r="O263" s="26" t="n">
        <x:v>132</x:v>
      </x:c>
      <x:c r="P263" s="26" t="str">
        <x:v>反推假设：25lb、Zone4（账单Zone4）。
标准运费25.83×61%≈15.76
＋假设折后附加费0.00
＋燃油(15.76＋0.00)×25.50%≈4.02
＝预估承运成本19.78
按既有收费规则折算→预付21.76；与原预付差+0.00。</x:v>
      </x:c>
      <x:c r="Q263" s="26" t="str">
        <x:v>运输费28.98
−折扣11.30
＋燃油4.51
＝承运净额22.19
账单实收24.409（按既有收费规则）</x:v>
      </x:c>
    </x:row>
    <x:row r="264" ht="120" customHeight="1">
      <x:c r="A264" s="26" t="n">
        <x:v>263</x:v>
      </x:c>
      <x:c r="B264" s="26" t="str">
        <x:v>874715484054</x:v>
      </x:c>
      <x:c r="C264" s="26" t="str">
        <x:v>EL100V2</x:v>
      </x:c>
      <x:c r="D264" s="31" t="n">
        <x:v>21.72</x:v>
      </x:c>
      <x:c r="E264" s="31" t="n">
        <x:v>21.71</x:v>
      </x:c>
      <x:c r="F264" s="31" t="n">
        <x:f>E264-D264</x:f>
        <x:v>-0.00999999999999801</x:v>
      </x:c>
      <x:c r="G264" s="26" t="str">
        <x:v>仅接近（不超过0.15美元）</x:v>
      </x:c>
      <x:c r="H264" s="31" t="n">
        <x:v>24.354</x:v>
      </x:c>
      <x:c r="I264" s="31" t="n">
        <x:v>22.14</x:v>
      </x:c>
      <x:c r="J264" s="31" t="n">
        <x:v>22.14</x:v>
      </x:c>
      <x:c r="K264" s="26" t="str">
        <x:v>分项加总一致</x:v>
      </x:c>
      <x:c r="L264" s="31" t="n">
        <x:v>24.354</x:v>
      </x:c>
      <x:c r="M264" s="31" t="n">
        <x:f>L264-H264</x:f>
        <x:v>0</x:v>
      </x:c>
      <x:c r="N264" s="26" t="str">
        <x:v>一致（按此前统一收费口径）</x:v>
      </x:c>
      <x:c r="O264" s="26" t="n">
        <x:v>538</x:v>
      </x:c>
      <x:c r="P26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Q264" s="26" t="str">
        <x:v>运输费28.98
−折扣11.30
＋燃油4.46
＝承运净额22.14
账单实收24.354（按既有收费规则）</x:v>
      </x:c>
    </x:row>
    <x:row r="265" ht="120" customHeight="1">
      <x:c r="A265" s="26" t="n">
        <x:v>264</x:v>
      </x:c>
      <x:c r="B265" s="26" t="str">
        <x:v>874591397757</x:v>
      </x:c>
      <x:c r="C265" s="26"/>
      <x:c r="D265" s="31" t="n">
        <x:v>21.72</x:v>
      </x:c>
      <x:c r="E265" s="31" t="n">
        <x:v>21.71</x:v>
      </x:c>
      <x:c r="F265" s="31" t="n">
        <x:f>E265-D265</x:f>
        <x:v>-0.00999999999999801</x:v>
      </x:c>
      <x:c r="G265" s="26" t="str">
        <x:v>仅接近（不超过0.15美元）</x:v>
      </x:c>
      <x:c r="H265" s="31" t="n">
        <x:v>24.354</x:v>
      </x:c>
      <x:c r="I265" s="31" t="n">
        <x:v>22.14</x:v>
      </x:c>
      <x:c r="J265" s="31" t="n">
        <x:v>22.14</x:v>
      </x:c>
      <x:c r="K265" s="26" t="str">
        <x:v>分项加总一致</x:v>
      </x:c>
      <x:c r="L265" s="31" t="n">
        <x:v>24.354</x:v>
      </x:c>
      <x:c r="M265" s="31" t="n">
        <x:f>L265-H265</x:f>
        <x:v>0</x:v>
      </x:c>
      <x:c r="N265" s="26" t="str">
        <x:v>一致（按此前统一收费口径）</x:v>
      </x:c>
      <x:c r="O265" s="26" t="n">
        <x:v>524</x:v>
      </x:c>
      <x:c r="P265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Q265" s="26" t="str">
        <x:v>运输费28.98
−折扣11.30
＋燃油4.46
＝承运净额22.14
账单实收24.354（按既有收费规则）</x:v>
      </x:c>
    </x:row>
    <x:row r="266" ht="120" customHeight="1">
      <x:c r="A266" s="26" t="n">
        <x:v>265</x:v>
      </x:c>
      <x:c r="B266" s="26" t="str">
        <x:v>873123390590</x:v>
      </x:c>
      <x:c r="C266" s="26" t="str">
        <x:v>AC180</x:v>
      </x:c>
      <x:c r="D266" s="31" t="n">
        <x:v>36.73</x:v>
      </x:c>
      <x:c r="E266" s="31" t="n">
        <x:v>36.73</x:v>
      </x:c>
      <x:c r="F266" s="31" t="n">
        <x:f>E266-D266</x:f>
        <x:v>0</x:v>
      </x:c>
      <x:c r="G266" s="26" t="str">
        <x:v>一致（精确到美分）</x:v>
      </x:c>
      <x:c r="H266" s="31" t="n">
        <x:v>39.347</x:v>
      </x:c>
      <x:c r="I266" s="31" t="n">
        <x:v>35.77</x:v>
      </x:c>
      <x:c r="J266" s="31" t="n">
        <x:v>35.77</x:v>
      </x:c>
      <x:c r="K266" s="26" t="str">
        <x:v>分项加总一致</x:v>
      </x:c>
      <x:c r="L266" s="31" t="n">
        <x:v>39.347</x:v>
      </x:c>
      <x:c r="M266" s="31" t="n">
        <x:f>L266-H266</x:f>
        <x:v>0</x:v>
      </x:c>
      <x:c r="N266" s="26" t="str">
        <x:v>一致（按此前统一收费口径）</x:v>
      </x:c>
      <x:c r="O266" s="26" t="n">
        <x:v>59</x:v>
      </x:c>
      <x:c r="P266" s="26" t="str">
        <x:v>反推假设：38lb、Zone5（账单Zone5）。
标准运费43.44×61%≈26.50
＋假设折后附加费0.00
＋燃油(26.50＋0.00)×26.00%≈6.89
＝预估承运成本33.39
按既有收费规则折算→预付36.73；与原预付差+0.00。</x:v>
      </x:c>
      <x:c r="Q266" s="26" t="str">
        <x:v>运输费46.54
−折扣18.15
＋燃油7.38
＝承运净额35.77
账单实收39.347（按既有收费规则）</x:v>
      </x:c>
    </x:row>
    <x:row r="267" ht="120" customHeight="1">
      <x:c r="A267" s="26" t="n">
        <x:v>266</x:v>
      </x:c>
      <x:c r="B267" s="26" t="str">
        <x:v>874145467698</x:v>
      </x:c>
      <x:c r="C267" s="26" t="str">
        <x:v>AC180</x:v>
      </x:c>
      <x:c r="D267" s="31" t="n">
        <x:v>36.44</x:v>
      </x:c>
      <x:c r="E267" s="31" t="n">
        <x:v>36.44</x:v>
      </x:c>
      <x:c r="F267" s="31" t="n">
        <x:f>E267-D267</x:f>
        <x:v>0</x:v>
      </x:c>
      <x:c r="G267" s="26" t="str">
        <x:v>一致（精确到美分）</x:v>
      </x:c>
      <x:c r="H267" s="31" t="n">
        <x:v>39.039</x:v>
      </x:c>
      <x:c r="I267" s="31" t="n">
        <x:v>35.49</x:v>
      </x:c>
      <x:c r="J267" s="31" t="n">
        <x:v>35.49</x:v>
      </x:c>
      <x:c r="K267" s="26" t="str">
        <x:v>分项加总一致</x:v>
      </x:c>
      <x:c r="L267" s="31" t="n">
        <x:v>39.039</x:v>
      </x:c>
      <x:c r="M267" s="31" t="n">
        <x:f>L267-H267</x:f>
        <x:v>0</x:v>
      </x:c>
      <x:c r="N267" s="26" t="str">
        <x:v>一致（按此前统一收费口径）</x:v>
      </x:c>
      <x:c r="O267" s="26" t="n">
        <x:v>360</x:v>
      </x:c>
      <x:c r="P267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Q267" s="26" t="str">
        <x:v>运输费46.54
−折扣18.15
＋燃油7.10
＝承运净额35.49
账单实收39.039（按既有收费规则）</x:v>
      </x:c>
    </x:row>
    <x:row r="268" ht="120" customHeight="1">
      <x:c r="A268" s="26" t="n">
        <x:v>267</x:v>
      </x:c>
      <x:c r="B268" s="26" t="str">
        <x:v>873964041286</x:v>
      </x:c>
      <x:c r="C268" s="26" t="str">
        <x:v>AC180</x:v>
      </x:c>
      <x:c r="D268" s="31" t="n">
        <x:v>36.44</x:v>
      </x:c>
      <x:c r="E268" s="31" t="n">
        <x:v>36.44</x:v>
      </x:c>
      <x:c r="F268" s="31" t="n">
        <x:f>E268-D268</x:f>
        <x:v>0</x:v>
      </x:c>
      <x:c r="G268" s="26" t="str">
        <x:v>一致（精确到美分）</x:v>
      </x:c>
      <x:c r="H268" s="31" t="n">
        <x:v>39.039</x:v>
      </x:c>
      <x:c r="I268" s="31" t="n">
        <x:v>35.49</x:v>
      </x:c>
      <x:c r="J268" s="31" t="n">
        <x:v>35.49</x:v>
      </x:c>
      <x:c r="K268" s="26" t="str">
        <x:v>分项加总一致</x:v>
      </x:c>
      <x:c r="L268" s="31" t="n">
        <x:v>39.039</x:v>
      </x:c>
      <x:c r="M268" s="31" t="n">
        <x:f>L268-H268</x:f>
        <x:v>0</x:v>
      </x:c>
      <x:c r="N268" s="26" t="str">
        <x:v>一致（按此前统一收费口径）</x:v>
      </x:c>
      <x:c r="O268" s="26" t="n">
        <x:v>272</x:v>
      </x:c>
      <x:c r="P268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Q268" s="26" t="str">
        <x:v>运输费46.54
−折扣18.15
＋燃油7.10
＝承运净额35.49
账单实收39.039（按既有收费规则）</x:v>
      </x:c>
    </x:row>
    <x:row r="269" ht="120" customHeight="1">
      <x:c r="A269" s="26" t="n">
        <x:v>268</x:v>
      </x:c>
      <x:c r="B269" s="26" t="str">
        <x:v>873913263995</x:v>
      </x:c>
      <x:c r="C269" s="26" t="str">
        <x:v>EL100V2</x:v>
      </x:c>
      <x:c r="D269" s="31" t="n">
        <x:v>21.72</x:v>
      </x:c>
      <x:c r="E269" s="31" t="n">
        <x:v>21.67</x:v>
      </x:c>
      <x:c r="F269" s="31" t="n">
        <x:f>E269-D269</x:f>
        <x:v>-0.04999999999999716</x:v>
      </x:c>
      <x:c r="G269" s="26" t="str">
        <x:v>仅接近（不超过0.15美元）</x:v>
      </x:c>
      <x:c r="H269" s="31" t="n">
        <x:v>24.31</x:v>
      </x:c>
      <x:c r="I269" s="31" t="n">
        <x:v>22.1</x:v>
      </x:c>
      <x:c r="J269" s="31" t="n">
        <x:v>22.1</x:v>
      </x:c>
      <x:c r="K269" s="26" t="str">
        <x:v>分项加总一致</x:v>
      </x:c>
      <x:c r="L269" s="31" t="n">
        <x:v>24.31</x:v>
      </x:c>
      <x:c r="M269" s="31" t="n">
        <x:f>L269-H269</x:f>
        <x:v>0</x:v>
      </x:c>
      <x:c r="N269" s="26" t="str">
        <x:v>一致（按此前统一收费口径）</x:v>
      </x:c>
      <x:c r="O269" s="26" t="n">
        <x:v>398</x:v>
      </x:c>
      <x:c r="P269" s="26" t="str">
        <x:v>反推假设：25lb、Zone4（账单Zone4）。
标准运费25.83×61%≈15.76
＋假设折后附加费0.00
＋燃油(15.76＋0.00)×25.00%≈3.94
＝预估承运成本19.70
按既有收费规则折算→预付21.67；与原预付差-0.05。</x:v>
      </x:c>
      <x:c r="Q269" s="26" t="str">
        <x:v>运输费28.98
−折扣11.30
＋燃油4.42
＝承运净额22.10
账单实收24.310（按既有收费规则）</x:v>
      </x:c>
    </x:row>
    <x:row r="270" ht="120" customHeight="1">
      <x:c r="A270" s="26" t="n">
        <x:v>269</x:v>
      </x:c>
      <x:c r="B270" s="26" t="str">
        <x:v>873246589963</x:v>
      </x:c>
      <x:c r="C270" s="26" t="str">
        <x:v>RV5</x:v>
      </x:c>
      <x:c r="D270" s="31" t="n">
        <x:v>29.14</x:v>
      </x:c>
      <x:c r="E270" s="31" t="n">
        <x:v>29.14</x:v>
      </x:c>
      <x:c r="F270" s="31" t="n">
        <x:f>E270-D270</x:f>
        <x:v>0</x:v>
      </x:c>
      <x:c r="G270" s="26" t="str">
        <x:v>一致（精确到美分）</x:v>
      </x:c>
      <x:c r="H270" s="31" t="n">
        <x:v>31.68</x:v>
      </x:c>
      <x:c r="I270" s="31" t="n">
        <x:v>28.8</x:v>
      </x:c>
      <x:c r="J270" s="31" t="n">
        <x:v>28.8</x:v>
      </x:c>
      <x:c r="K270" s="26" t="str">
        <x:v>分项加总一致</x:v>
      </x:c>
      <x:c r="L270" s="31" t="n">
        <x:v>31.68</x:v>
      </x:c>
      <x:c r="M270" s="31" t="n">
        <x:f>L270-H270</x:f>
        <x:v>0</x:v>
      </x:c>
      <x:c r="N270" s="26" t="str">
        <x:v>一致（按此前统一收费口径）</x:v>
      </x:c>
      <x:c r="O270" s="26" t="n">
        <x:v>87</x:v>
      </x:c>
      <x:c r="P270" s="26" t="str">
        <x:v>反推假设：36lb、Zone4（账单Zone4）。
标准运费34.46×61%≈21.02
＋假设折后附加费0.00
＋燃油(21.02＋0.00)×26.00%≈5.47
＝预估承运成本26.49
按既有收费规则折算→预付29.14；与原预付差+0.00。</x:v>
      </x:c>
      <x:c r="Q270" s="26" t="str">
        <x:v>运输费37.47
−折扣14.61
＋燃油5.94
＝承运净额28.80
账单实收31.680（按既有收费规则）</x:v>
      </x:c>
    </x:row>
    <x:row r="271" ht="120" customHeight="1">
      <x:c r="A271" s="26" t="n">
        <x:v>270</x:v>
      </x:c>
      <x:c r="B271" s="26" t="str">
        <x:v>873543235287</x:v>
      </x:c>
      <x:c r="C271" s="26" t="str">
        <x:v>AC180</x:v>
      </x:c>
      <x:c r="D271" s="31" t="n">
        <x:v>29.02</x:v>
      </x:c>
      <x:c r="E271" s="31" t="n">
        <x:v>29.02</x:v>
      </x:c>
      <x:c r="F271" s="31" t="n">
        <x:f>E271-D271</x:f>
        <x:v>0</x:v>
      </x:c>
      <x:c r="G271" s="26" t="str">
        <x:v>一致（精确到美分）</x:v>
      </x:c>
      <x:c r="H271" s="31" t="n">
        <x:v>31.559</x:v>
      </x:c>
      <x:c r="I271" s="31" t="n">
        <x:v>28.69</x:v>
      </x:c>
      <x:c r="J271" s="31" t="n">
        <x:v>28.69</x:v>
      </x:c>
      <x:c r="K271" s="26" t="str">
        <x:v>分项加总一致</x:v>
      </x:c>
      <x:c r="L271" s="31" t="n">
        <x:v>31.559</x:v>
      </x:c>
      <x:c r="M271" s="31" t="n">
        <x:f>L271-H271</x:f>
        <x:v>0</x:v>
      </x:c>
      <x:c r="N271" s="26" t="str">
        <x:v>一致（按此前统一收费口径）</x:v>
      </x:c>
      <x:c r="O271" s="26" t="n">
        <x:v>161</x:v>
      </x:c>
      <x:c r="P271" s="26" t="str">
        <x:v>反推假设：36lb、Zone4（账单Zone4）。
标准运费34.46×61%≈21.02
＋假设折后附加费0.00
＋燃油(21.02＋0.00)×25.50%≈5.36
＝预估承运成本26.38
按既有收费规则折算→预付29.02；与原预付差+0.00。</x:v>
      </x:c>
      <x:c r="Q271" s="26" t="str">
        <x:v>运输费37.48
−折扣14.62
＋燃油5.83
＝承运净额28.69
账单实收31.559（按既有收费规则）</x:v>
      </x:c>
    </x:row>
    <x:row r="272" ht="120" customHeight="1">
      <x:c r="A272" s="26" t="n">
        <x:v>271</x:v>
      </x:c>
      <x:c r="B272" s="26" t="str">
        <x:v>873417139073</x:v>
      </x:c>
      <x:c r="C272" s="26" t="str">
        <x:v>AC180</x:v>
      </x:c>
      <x:c r="D272" s="31" t="n">
        <x:v>29.02</x:v>
      </x:c>
      <x:c r="E272" s="31" t="n">
        <x:v>29.02</x:v>
      </x:c>
      <x:c r="F272" s="31" t="n">
        <x:f>E272-D272</x:f>
        <x:v>0</x:v>
      </x:c>
      <x:c r="G272" s="26" t="str">
        <x:v>一致（精确到美分）</x:v>
      </x:c>
      <x:c r="H272" s="31" t="n">
        <x:v>31.559</x:v>
      </x:c>
      <x:c r="I272" s="31" t="n">
        <x:v>28.69</x:v>
      </x:c>
      <x:c r="J272" s="31" t="n">
        <x:v>28.69</x:v>
      </x:c>
      <x:c r="K272" s="26" t="str">
        <x:v>分项加总一致</x:v>
      </x:c>
      <x:c r="L272" s="31" t="n">
        <x:v>31.559</x:v>
      </x:c>
      <x:c r="M272" s="31" t="n">
        <x:f>L272-H272</x:f>
        <x:v>0</x:v>
      </x:c>
      <x:c r="N272" s="26" t="str">
        <x:v>一致（按此前统一收费口径）</x:v>
      </x:c>
      <x:c r="O272" s="26" t="n">
        <x:v>149</x:v>
      </x:c>
      <x:c r="P272" s="26" t="str">
        <x:v>反推假设：36lb、Zone4（账单Zone4）。
标准运费34.46×61%≈21.02
＋假设折后附加费0.00
＋燃油(21.02＋0.00)×25.50%≈5.36
＝预估承运成本26.38
按既有收费规则折算→预付29.02；与原预付差+0.00。</x:v>
      </x:c>
      <x:c r="Q272" s="26" t="str">
        <x:v>运输费37.47
−折扣14.61
＋燃油5.83
＝承运净额28.69
账单实收31.559（按既有收费规则）</x:v>
      </x:c>
    </x:row>
    <x:row r="273" ht="120" customHeight="1">
      <x:c r="A273" s="26" t="n">
        <x:v>272</x:v>
      </x:c>
      <x:c r="B273" s="26" t="str">
        <x:v>873551801515</x:v>
      </x:c>
      <x:c r="C273" s="26" t="str">
        <x:v>AC70</x:v>
      </x:c>
      <x:c r="D273" s="31" t="n">
        <x:v>16.62</x:v>
      </x:c>
      <x:c r="E273" s="31" t="n">
        <x:v>16.78</x:v>
      </x:c>
      <x:c r="F273" s="31" t="n">
        <x:f>E273-D273</x:f>
        <x:v>0.16000000000000014</x:v>
      </x:c>
      <x:c r="G273" s="26" t="str">
        <x:v>未对上</x:v>
      </x:c>
      <x:c r="H273" s="31" t="n">
        <x:v>19.151</x:v>
      </x:c>
      <x:c r="I273" s="31" t="n">
        <x:v>17.41</x:v>
      </x:c>
      <x:c r="J273" s="31" t="n">
        <x:v>17.41</x:v>
      </x:c>
      <x:c r="K273" s="26" t="str">
        <x:v>分项加总一致</x:v>
      </x:c>
      <x:c r="L273" s="31" t="n">
        <x:v>19.151</x:v>
      </x:c>
      <x:c r="M273" s="31" t="n">
        <x:f>L273-H273</x:f>
        <x:v>0</x:v>
      </x:c>
      <x:c r="N273" s="26" t="str">
        <x:v>一致（按此前统一收费口径）</x:v>
      </x:c>
      <x:c r="O273" s="26" t="n">
        <x:v>164</x:v>
      </x:c>
      <x:c r="P273" s="26" t="str">
        <x:v>反推假设：16lb、Zone3（账单Zone2）。
标准运费19.91×61%≈12.15
＋假设折后附加费0.00
＋燃油(12.15＋0.00)×25.50%≈3.10
＝预估承运成本15.25
按既有收费规则折算→预付16.78；与原预付差+0.16。</x:v>
      </x:c>
      <x:c r="Q273" s="26" t="str">
        <x:v>运输费22.74
−折扣8.87
＋燃油3.54
＝承运净额17.41
账单实收19.151（按既有收费规则）</x:v>
      </x:c>
    </x:row>
    <x:row r="274" ht="120" customHeight="1">
      <x:c r="A274" s="26" t="n">
        <x:v>273</x:v>
      </x:c>
      <x:c r="B274" s="26" t="str">
        <x:v>873866458032</x:v>
      </x:c>
      <x:c r="C274" s="26" t="str">
        <x:v>AC180</x:v>
      </x:c>
      <x:c r="D274" s="31" t="n">
        <x:v>36.51</x:v>
      </x:c>
      <x:c r="E274" s="31" t="n">
        <x:v>36.44</x:v>
      </x:c>
      <x:c r="F274" s="31" t="n">
        <x:f>E274-D274</x:f>
        <x:v>-0.07000000000000028</x:v>
      </x:c>
      <x:c r="G274" s="26" t="str">
        <x:v>仅接近（不超过0.15美元）</x:v>
      </x:c>
      <x:c r="H274" s="31" t="n">
        <x:v>39.039</x:v>
      </x:c>
      <x:c r="I274" s="31" t="n">
        <x:v>35.49</x:v>
      </x:c>
      <x:c r="J274" s="31" t="n">
        <x:v>35.49</x:v>
      </x:c>
      <x:c r="K274" s="26" t="str">
        <x:v>分项加总一致</x:v>
      </x:c>
      <x:c r="L274" s="31" t="n">
        <x:v>39.039</x:v>
      </x:c>
      <x:c r="M274" s="31" t="n">
        <x:f>L274-H274</x:f>
        <x:v>0</x:v>
      </x:c>
      <x:c r="N274" s="26" t="str">
        <x:v>一致（按此前统一收费口径）</x:v>
      </x:c>
      <x:c r="O274" s="26" t="n">
        <x:v>289</x:v>
      </x:c>
      <x:c r="P274" s="26" t="str">
        <x:v>反推假设：38lb、Zone5（账单Zone5）。
标准运费43.44×61%≈26.50
＋假设折后附加费0.00
＋燃油(26.50＋0.00)×25.00%≈6.63
＝预估承运成本33.13
按既有收费规则折算→预付36.44；与原预付差-0.07。</x:v>
      </x:c>
      <x:c r="Q274" s="26" t="str">
        <x:v>运输费46.54
−折扣18.15
＋燃油7.10
＝承运净额35.49
账单实收39.039（按既有收费规则）</x:v>
      </x:c>
    </x:row>
    <x:row r="275" ht="120" customHeight="1">
      <x:c r="A275" s="26" t="n">
        <x:v>274</x:v>
      </x:c>
      <x:c r="B275" s="26" t="str">
        <x:v>873686666786</x:v>
      </x:c>
      <x:c r="C275" s="26" t="str">
        <x:v>EL30V2</x:v>
      </x:c>
      <x:c r="D275" s="31" t="n">
        <x:v>21.27</x:v>
      </x:c>
      <x:c r="E275" s="31" t="n">
        <x:v>19.97</x:v>
      </x:c>
      <x:c r="F275" s="31" t="n">
        <x:f>E275-D275</x:f>
        <x:v>-1.3000000000000007</x:v>
      </x:c>
      <x:c r="G275" s="26" t="str">
        <x:v>未对上</x:v>
      </x:c>
      <x:c r="H275" s="31" t="n">
        <x:v>23.771</x:v>
      </x:c>
      <x:c r="I275" s="31" t="n">
        <x:v>21.61</x:v>
      </x:c>
      <x:c r="J275" s="31" t="n">
        <x:v>21.61</x:v>
      </x:c>
      <x:c r="K275" s="26" t="str">
        <x:v>分项加总一致</x:v>
      </x:c>
      <x:c r="L275" s="31" t="n">
        <x:v>23.771</x:v>
      </x:c>
      <x:c r="M275" s="31" t="n">
        <x:f>L275-H275</x:f>
        <x:v>0</x:v>
      </x:c>
      <x:c r="N275" s="26" t="str">
        <x:v>一致（按此前统一收费口径）</x:v>
      </x:c>
      <x:c r="O275" s="26" t="n">
        <x:v>479</x:v>
      </x:c>
      <x:c r="P275" s="26" t="str">
        <x:v>反推假设：13lb、Zone6（账单Zone6）。
标准运费23.76×61%≈14.49
＋假设折后附加费0.00
＋燃油(14.49＋0.00)×25.25%≈3.66
＝预估承运成本18.15
按既有收费规则折算→预付19.97；与原预付差-1.30。</x:v>
      </x:c>
      <x:c r="Q275" s="26" t="str">
        <x:v>运输费26.54
−折扣9.29
＋燃油4.36
＝承运净额21.61
账单实收23.771（按既有收费规则）</x:v>
      </x:c>
    </x:row>
    <x:row r="276" ht="120" customHeight="1">
      <x:c r="A276" s="26" t="n">
        <x:v>275</x:v>
      </x:c>
      <x:c r="B276" s="26" t="str">
        <x:v>873225513272</x:v>
      </x:c>
      <x:c r="C276" s="26" t="str">
        <x:v>AC180</x:v>
      </x:c>
      <x:c r="D276" s="31" t="n">
        <x:v>35.08</x:v>
      </x:c>
      <x:c r="E276" s="31" t="n">
        <x:v>33.98</x:v>
      </x:c>
      <x:c r="F276" s="31" t="n">
        <x:f>E276-D276</x:f>
        <x:v>-1.1000000000000014</x:v>
      </x:c>
      <x:c r="G276" s="26" t="str">
        <x:v>未对上</x:v>
      </x:c>
      <x:c r="H276" s="31" t="n">
        <x:v>37.565</x:v>
      </x:c>
      <x:c r="I276" s="31" t="n">
        <x:v>34.15</x:v>
      </x:c>
      <x:c r="J276" s="31" t="n">
        <x:v>34.15</x:v>
      </x:c>
      <x:c r="K276" s="26" t="str">
        <x:v>分项加总一致</x:v>
      </x:c>
      <x:c r="L276" s="31" t="n">
        <x:v>37.565</x:v>
      </x:c>
      <x:c r="M276" s="31" t="n">
        <x:f>L276-H276</x:f>
        <x:v>0</x:v>
      </x:c>
      <x:c r="N276" s="26" t="str">
        <x:v>一致（按此前统一收费口径）</x:v>
      </x:c>
      <x:c r="O276" s="26" t="n">
        <x:v>312</x:v>
      </x:c>
      <x:c r="P276" s="26" t="str">
        <x:v>反推假设：35lb、Zone5（账单Zone5）。
标准运费40.50×61%≈24.71
＋假设折后附加费0.00
＋燃油(24.71＋0.00)×25.00%≈6.18
＝预估承运成本30.89
按既有收费规则折算→预付33.98；与原预付差-1.10。</x:v>
      </x:c>
      <x:c r="Q276" s="26" t="str">
        <x:v>运输费44.78
−折扣17.46
＋燃油6.83
＝承运净额34.15
账单实收37.565（按既有收费规则）</x:v>
      </x:c>
    </x:row>
    <x:row r="277" ht="120" customHeight="1">
      <x:c r="A277" s="26" t="n">
        <x:v>276</x:v>
      </x:c>
      <x:c r="B277" s="26" t="str">
        <x:v>874595862247</x:v>
      </x:c>
      <x:c r="C277" s="26" t="str">
        <x:v>AC180</x:v>
      </x:c>
      <x:c r="D277" s="31" t="n">
        <x:v>36.51</x:v>
      </x:c>
      <x:c r="E277" s="31" t="n">
        <x:v>36.51</x:v>
      </x:c>
      <x:c r="F277" s="31" t="n">
        <x:f>E277-D277</x:f>
        <x:v>0</x:v>
      </x:c>
      <x:c r="G277" s="26" t="str">
        <x:v>一致（精确到美分）</x:v>
      </x:c>
      <x:c r="H277" s="31" t="n">
        <x:v>38.995</x:v>
      </x:c>
      <x:c r="I277" s="31" t="n">
        <x:v>35.45</x:v>
      </x:c>
      <x:c r="J277" s="31" t="n">
        <x:v>35.45</x:v>
      </x:c>
      <x:c r="K277" s="26" t="str">
        <x:v>分项加总一致</x:v>
      </x:c>
      <x:c r="L277" s="31" t="n">
        <x:v>38.995</x:v>
      </x:c>
      <x:c r="M277" s="31" t="n">
        <x:f>L277-H277</x:f>
        <x:v>0</x:v>
      </x:c>
      <x:c r="N277" s="26" t="str">
        <x:v>一致（按此前统一收费口径）</x:v>
      </x:c>
      <x:c r="O277" s="26" t="n">
        <x:v>553</x:v>
      </x:c>
      <x:c r="P277" s="26" t="str">
        <x:v>反推假设：38lb、Zone5（账单Zone5）。
标准运费43.44×61%≈26.50
＋假设折后附加费0.00
＋燃油(26.50＋0.00)×25.25%≈6.69
＝预估承运成本33.19
按既有收费规则折算→预付36.51；与原预付差+0.00。</x:v>
      </x:c>
      <x:c r="Q277" s="26" t="str">
        <x:v>运输费46.39
−折扣18.09
＋燃油7.15
＝承运净额35.45
账单实收38.995（按既有收费规则）</x:v>
      </x:c>
    </x:row>
    <x:row r="278" ht="120" customHeight="1">
      <x:c r="A278" s="26" t="n">
        <x:v>277</x:v>
      </x:c>
      <x:c r="B278" s="26" t="str">
        <x:v>874094969130</x:v>
      </x:c>
      <x:c r="C278" s="26" t="str">
        <x:v>AC180P</x:v>
      </x:c>
      <x:c r="D278" s="31" t="n">
        <x:v>36.44</x:v>
      </x:c>
      <x:c r="E278" s="31" t="n">
        <x:v>36.44</x:v>
      </x:c>
      <x:c r="F278" s="31" t="n">
        <x:f>E278-D278</x:f>
        <x:v>0</x:v>
      </x:c>
      <x:c r="G278" s="26" t="str">
        <x:v>一致（精确到美分）</x:v>
      </x:c>
      <x:c r="H278" s="31" t="n">
        <x:v>38.918</x:v>
      </x:c>
      <x:c r="I278" s="31" t="n">
        <x:v>35.38</x:v>
      </x:c>
      <x:c r="J278" s="31" t="n">
        <x:v>35.38</x:v>
      </x:c>
      <x:c r="K278" s="26" t="str">
        <x:v>分项加总一致</x:v>
      </x:c>
      <x:c r="L278" s="31" t="n">
        <x:v>38.918</x:v>
      </x:c>
      <x:c r="M278" s="31" t="n">
        <x:f>L278-H278</x:f>
        <x:v>0</x:v>
      </x:c>
      <x:c r="N278" s="26" t="str">
        <x:v>一致（按此前统一收费口径）</x:v>
      </x:c>
      <x:c r="O278" s="26" t="n">
        <x:v>354</x:v>
      </x:c>
      <x:c r="P278" s="26" t="str">
        <x:v>反推假设：38lb、Zone5（账单Zone5）。
标准运费43.44×61%≈26.50
＋假设折后附加费0.00
＋燃油(26.50＋0.00)×25.00%≈6.63
＝预估承运成本33.13
按既有收费规则折算→预付36.44；与原预付差+0.00。</x:v>
      </x:c>
      <x:c r="Q278" s="26" t="str">
        <x:v>运输费46.39
−折扣18.09
＋燃油7.08
＝承运净额35.38
账单实收38.918（按既有收费规则）</x:v>
      </x:c>
    </x:row>
    <x:row r="279" ht="120" customHeight="1">
      <x:c r="A279" s="26" t="n">
        <x:v>278</x:v>
      </x:c>
      <x:c r="B279" s="26" t="str">
        <x:v>874140339270</x:v>
      </x:c>
      <x:c r="C279" s="26" t="str">
        <x:v>EL100V2</x:v>
      </x:c>
      <x:c r="D279" s="31" t="n">
        <x:v>20.9</x:v>
      </x:c>
      <x:c r="E279" s="31" t="n">
        <x:v>20.9</x:v>
      </x:c>
      <x:c r="F279" s="31" t="n">
        <x:f>E279-D279</x:f>
        <x:v>0</x:v>
      </x:c>
      <x:c r="G279" s="26" t="str">
        <x:v>一致（精确到美分）</x:v>
      </x:c>
      <x:c r="H279" s="31" t="n">
        <x:v>23.364</x:v>
      </x:c>
      <x:c r="I279" s="31" t="n">
        <x:v>21.24</x:v>
      </x:c>
      <x:c r="J279" s="31" t="n">
        <x:v>21.24</x:v>
      </x:c>
      <x:c r="K279" s="26" t="str">
        <x:v>分项加总一致</x:v>
      </x:c>
      <x:c r="L279" s="31" t="n">
        <x:v>23.364</x:v>
      </x:c>
      <x:c r="M279" s="31" t="n">
        <x:f>L279-H279</x:f>
        <x:v>0</x:v>
      </x:c>
      <x:c r="N279" s="26" t="str">
        <x:v>一致（按此前统一收费口径）</x:v>
      </x:c>
      <x:c r="O279" s="26" t="n">
        <x:v>359</x:v>
      </x:c>
      <x:c r="P279" s="26" t="str">
        <x:v>反推假设：26lb、Zone3（账单Zone3）。
标准运费24.91×61%≈15.20
＋假设折后附加费0.00
＋燃油(15.20＋0.00)×25.00%≈3.80
＝预估承运成本19.00
按既有收费规则折算→预付20.90；与原预付差+0.00。</x:v>
      </x:c>
      <x:c r="Q279" s="26" t="str">
        <x:v>运输费27.86
−折扣10.87
＋燃油4.25
＝承运净额21.24
账单实收23.364（按既有收费规则）</x:v>
      </x:c>
    </x:row>
    <x:row r="280" ht="120" customHeight="1">
      <x:c r="A280" s="26" t="n">
        <x:v>279</x:v>
      </x:c>
      <x:c r="B280" s="26" t="str">
        <x:v>873861801661</x:v>
      </x:c>
      <x:c r="C280" s="26" t="str">
        <x:v>AC2A</x:v>
      </x:c>
      <x:c r="D280" s="31" t="n">
        <x:v>21.11</x:v>
      </x:c>
      <x:c r="E280" s="31" t="n">
        <x:v>19.75</x:v>
      </x:c>
      <x:c r="F280" s="31" t="n">
        <x:f>E280-D280</x:f>
        <x:v>-1.3599999999999994</x:v>
      </x:c>
      <x:c r="G280" s="26" t="str">
        <x:v>未对上</x:v>
      </x:c>
      <x:c r="H280" s="31" t="n">
        <x:v>23.562</x:v>
      </x:c>
      <x:c r="I280" s="31" t="n">
        <x:v>21.42</x:v>
      </x:c>
      <x:c r="J280" s="31" t="n">
        <x:v>21.42</x:v>
      </x:c>
      <x:c r="K280" s="26" t="str">
        <x:v>分项加总一致</x:v>
      </x:c>
      <x:c r="L280" s="31" t="n">
        <x:v>23.562</x:v>
      </x:c>
      <x:c r="M280" s="31" t="n">
        <x:f>L280-H280</x:f>
        <x:v>0</x:v>
      </x:c>
      <x:c r="N280" s="26" t="str">
        <x:v>一致（按此前统一收费口径）</x:v>
      </x:c>
      <x:c r="O280" s="26" t="n">
        <x:v>480</x:v>
      </x:c>
      <x:c r="P280" s="26" t="str">
        <x:v>反推假设：8lb、Zone8（账单Zone7）。
标准运费23.50×61%≈14.33
＋假设折后附加费0.00
＋燃油(14.33＋0.00)×25.25%≈3.62
＝预估承运成本17.95
按既有收费规则折算→预付19.75；与原预付差-1.36。</x:v>
      </x:c>
      <x:c r="Q280" s="26" t="str">
        <x:v>运输费26.31
−折扣9.21
＋燃油4.32
＝承运净额21.42
账单实收23.562（按既有收费规则）</x:v>
      </x:c>
    </x:row>
    <x:row r="281" ht="120" customHeight="1">
      <x:c r="A281" s="26" t="n">
        <x:v>280</x:v>
      </x:c>
      <x:c r="B281" s="26" t="str">
        <x:v>874515937995</x:v>
      </x:c>
      <x:c r="C281" s="26"/>
      <x:c r="D281" s="31" t="n">
        <x:v>71.67</x:v>
      </x:c>
      <x:c r="E281" s="31" t="n">
        <x:v>71.84</x:v>
      </x:c>
      <x:c r="F281" s="31" t="n">
        <x:f>E281-D281</x:f>
        <x:v>0.1700000000000017</x:v>
      </x:c>
      <x:c r="G281" s="26" t="str">
        <x:v>未对上</x:v>
      </x:c>
      <x:c r="H281" s="31" t="n">
        <x:v>74.096</x:v>
      </x:c>
      <x:c r="I281" s="31" t="n">
        <x:v>67.36</x:v>
      </x:c>
      <x:c r="J281" s="31" t="n">
        <x:v>67.36</x:v>
      </x:c>
      <x:c r="K281" s="26" t="str">
        <x:v>分项加总一致</x:v>
      </x:c>
      <x:c r="L281" s="31" t="n">
        <x:v>74.096</x:v>
      </x:c>
      <x:c r="M281" s="31" t="n">
        <x:f>L281-H281</x:f>
        <x:v>0</x:v>
      </x:c>
      <x:c r="N281" s="26" t="str">
        <x:v>一致（按此前统一收费口径）</x:v>
      </x:c>
      <x:c r="O281" s="26" t="n">
        <x:v>471</x:v>
      </x:c>
      <x:c r="P281" s="26" t="str">
        <x:v>反推假设：58lb、Zone4（账单Zone4）。
标准运费44.28×61%≈27.01
＋假设折后附加费25.13
＋燃油(27.01＋25.13)×25.25%≈13.17
＝预估承运成本65.31
按既有收费规则折算→预付71.84；与原预付差+0.17。</x:v>
      </x:c>
      <x:c r="Q281" s="26" t="str">
        <x:v>运输费46.98
−折扣18.32
＋Add'l Handling-Weight 25.12
＋燃油13.58
＝承运净额67.36
账单实收74.096（按既有收费规则）</x:v>
      </x:c>
    </x:row>
    <x:row r="282" ht="120" customHeight="1">
      <x:c r="A282" s="26" t="n">
        <x:v>281</x:v>
      </x:c>
      <x:c r="B282" s="26" t="str">
        <x:v>875025085242</x:v>
      </x:c>
      <x:c r="C282" s="26" t="str">
        <x:v>EL100V2</x:v>
      </x:c>
      <x:c r="D282" s="31" t="n">
        <x:v>21.81</x:v>
      </x:c>
      <x:c r="E282" s="31"/>
      <x:c r="F282" s="31"/>
      <x:c r="G282" s="26" t="str">
        <x:v>缺明细，无法试算</x:v>
      </x:c>
      <x:c r="H282" s="31" t="n">
        <x:v>24.233</x:v>
      </x:c>
      <x:c r="I282" s="31"/>
      <x:c r="J282" s="31"/>
      <x:c r="K282" s="26" t="str">
        <x:v>缺核对明细</x:v>
      </x:c>
      <x:c r="L282" s="31"/>
      <x:c r="M282" s="31"/>
      <x:c r="N282" s="26" t="str">
        <x:v>缺核对明细，无法核算</x:v>
      </x:c>
      <x:c r="O282" s="26"/>
      <x:c r="P282" s="26" t="str">
        <x:v>缺核对明细，无法重建预付；原预付仅按基础表保留。</x:v>
      </x:c>
      <x:c r="Q282" s="26" t="str">
        <x:v>缺原始核对明细，无法拆分。</x:v>
      </x:c>
    </x:row>
    <x:row r="283" ht="120" customHeight="1">
      <x:c r="A283" s="26" t="n">
        <x:v>282</x:v>
      </x:c>
      <x:c r="B283" s="26" t="str">
        <x:v>873963408616</x:v>
      </x:c>
      <x:c r="C283" s="26" t="str">
        <x:v>EL100V2</x:v>
      </x:c>
      <x:c r="D283" s="31" t="n">
        <x:v>21.67</x:v>
      </x:c>
      <x:c r="E283" s="31" t="n">
        <x:v>21.67</x:v>
      </x:c>
      <x:c r="F283" s="31" t="n">
        <x:f>E283-D283</x:f>
        <x:v>0</x:v>
      </x:c>
      <x:c r="G283" s="26" t="str">
        <x:v>一致（精确到美分）</x:v>
      </x:c>
      <x:c r="H283" s="31" t="n">
        <x:v>24.09</x:v>
      </x:c>
      <x:c r="I283" s="31" t="n">
        <x:v>21.9</x:v>
      </x:c>
      <x:c r="J283" s="31" t="n">
        <x:v>21.9</x:v>
      </x:c>
      <x:c r="K283" s="26" t="str">
        <x:v>分项加总一致</x:v>
      </x:c>
      <x:c r="L283" s="31" t="n">
        <x:v>24.09</x:v>
      </x:c>
      <x:c r="M283" s="31" t="n">
        <x:f>L283-H283</x:f>
        <x:v>0</x:v>
      </x:c>
      <x:c r="N283" s="26" t="str">
        <x:v>一致（按此前统一收费口径）</x:v>
      </x:c>
      <x:c r="O283" s="26" t="n">
        <x:v>271</x:v>
      </x:c>
      <x:c r="P283" s="26" t="str">
        <x:v>反推假设：25lb、Zone4（账单Zone4）。
标准运费25.83×61%≈15.76
＋假设折后附加费0.00
＋燃油(15.76＋0.00)×25.00%≈3.94
＝预估承运成本19.70
按既有收费规则折算→预付21.67；与原预付差+0.00。</x:v>
      </x:c>
      <x:c r="Q283" s="26" t="str">
        <x:v>运输费28.72
−折扣11.20
＋燃油4.38
＝承运净额21.90
账单实收24.090（按既有收费规则）</x:v>
      </x:c>
    </x:row>
    <x:row r="284" ht="120" customHeight="1">
      <x:c r="A284" s="26" t="n">
        <x:v>283</x:v>
      </x:c>
      <x:c r="B284" s="26" t="str">
        <x:v>874713748029</x:v>
      </x:c>
      <x:c r="C284" s="26"/>
      <x:c r="D284" s="31" t="n">
        <x:v>21.72</x:v>
      </x:c>
      <x:c r="E284" s="31" t="n">
        <x:v>21.71</x:v>
      </x:c>
      <x:c r="F284" s="31" t="n">
        <x:f>E284-D284</x:f>
        <x:v>-0.00999999999999801</x:v>
      </x:c>
      <x:c r="G284" s="26" t="str">
        <x:v>仅接近（不超过0.15美元）</x:v>
      </x:c>
      <x:c r="H284" s="31" t="n">
        <x:v>24.134</x:v>
      </x:c>
      <x:c r="I284" s="31" t="n">
        <x:v>21.94</x:v>
      </x:c>
      <x:c r="J284" s="31" t="n">
        <x:v>21.94</x:v>
      </x:c>
      <x:c r="K284" s="26" t="str">
        <x:v>分项加总一致</x:v>
      </x:c>
      <x:c r="L284" s="31" t="n">
        <x:v>24.134</x:v>
      </x:c>
      <x:c r="M284" s="31" t="n">
        <x:f>L284-H284</x:f>
        <x:v>0</x:v>
      </x:c>
      <x:c r="N284" s="26" t="str">
        <x:v>一致（按此前统一收费口径）</x:v>
      </x:c>
      <x:c r="O284" s="26" t="n">
        <x:v>537</x:v>
      </x:c>
      <x:c r="P284" s="26" t="str">
        <x:v>反推假设：25lb、Zone4（账单Zone4）。
标准运费25.83×61%≈15.76
＋假设折后附加费0.00
＋燃油(15.76＋0.00)×25.25%≈3.98
＝预估承运成本19.74
按既有收费规则折算→预付21.71；与原预付差-0.01。</x:v>
      </x:c>
      <x:c r="Q284" s="26" t="str">
        <x:v>运输费28.72
−折扣11.20
＋燃油4.42
＝承运净额21.94
账单实收24.134（按既有收费规则）</x:v>
      </x:c>
    </x:row>
    <x:row r="285" ht="120" customHeight="1">
      <x:c r="A285" s="26" t="n">
        <x:v>284</x:v>
      </x:c>
      <x:c r="B285" s="26" t="str">
        <x:v>874514671390</x:v>
      </x:c>
      <x:c r="C285" s="26" t="str">
        <x:v>EL100V2</x:v>
      </x:c>
      <x:c r="D285" s="31" t="n">
        <x:v>16.94</x:v>
      </x:c>
      <x:c r="E285" s="31" t="n">
        <x:v>16.97</x:v>
      </x:c>
      <x:c r="F285" s="31" t="n">
        <x:f>E285-D285</x:f>
        <x:v>0.029999999999997584</x:v>
      </x:c>
      <x:c r="G285" s="26" t="str">
        <x:v>仅接近（不超过0.15美元）</x:v>
      </x:c>
      <x:c r="H285" s="31" t="n">
        <x:v>19.349</x:v>
      </x:c>
      <x:c r="I285" s="31" t="n">
        <x:v>17.59</x:v>
      </x:c>
      <x:c r="J285" s="31" t="n">
        <x:v>17.59</x:v>
      </x:c>
      <x:c r="K285" s="26" t="str">
        <x:v>分项加总一致</x:v>
      </x:c>
      <x:c r="L285" s="31" t="n">
        <x:v>19.349</x:v>
      </x:c>
      <x:c r="M285" s="31" t="n">
        <x:f>L285-H285</x:f>
        <x:v>0</x:v>
      </x:c>
      <x:c r="N285" s="26" t="str">
        <x:v>一致（按此前统一收费口径）</x:v>
      </x:c>
      <x:c r="O285" s="26" t="n">
        <x:v>494</x:v>
      </x:c>
      <x:c r="P285" s="26" t="str">
        <x:v>反推假设：23lb、Zone2（账单Zone2）。
标准运费20.20×61%≈12.32
＋假设折后附加费0.00
＋燃油(12.32＋0.00)×25.25%≈3.11
＝预估承运成本15.43
按既有收费规则折算→预付16.97；与原预付差+0.03。</x:v>
      </x:c>
      <x:c r="Q285" s="26" t="str">
        <x:v>运输费23.02
−折扣8.98
＋燃油3.55
＝承运净额17.59
账单实收19.349（按既有收费规则）</x:v>
      </x:c>
    </x:row>
    <x:row r="286" ht="120" customHeight="1">
      <x:c r="A286" s="26" t="n">
        <x:v>285</x:v>
      </x:c>
      <x:c r="B286" s="26" t="str">
        <x:v>874350305338</x:v>
      </x:c>
      <x:c r="C286" s="26" t="str">
        <x:v>EL100V2</x:v>
      </x:c>
      <x:c r="D286" s="31" t="n">
        <x:v>16.94</x:v>
      </x:c>
      <x:c r="E286" s="31" t="n">
        <x:v>16.97</x:v>
      </x:c>
      <x:c r="F286" s="31" t="n">
        <x:f>E286-D286</x:f>
        <x:v>0.029999999999997584</x:v>
      </x:c>
      <x:c r="G286" s="26" t="str">
        <x:v>仅接近（不超过0.15美元）</x:v>
      </x:c>
      <x:c r="H286" s="31" t="n">
        <x:v>19.349</x:v>
      </x:c>
      <x:c r="I286" s="31" t="n">
        <x:v>17.59</x:v>
      </x:c>
      <x:c r="J286" s="31" t="n">
        <x:v>17.59</x:v>
      </x:c>
      <x:c r="K286" s="26" t="str">
        <x:v>分项加总一致</x:v>
      </x:c>
      <x:c r="L286" s="31" t="n">
        <x:v>19.349</x:v>
      </x:c>
      <x:c r="M286" s="31" t="n">
        <x:f>L286-H286</x:f>
        <x:v>0</x:v>
      </x:c>
      <x:c r="N286" s="26" t="str">
        <x:v>一致（按此前统一收费口径）</x:v>
      </x:c>
      <x:c r="O286" s="26" t="n">
        <x:v>456</x:v>
      </x:c>
      <x:c r="P286" s="26" t="str">
        <x:v>反推假设：23lb、Zone2（账单Zone2）。
标准运费20.20×61%≈12.32
＋假设折后附加费0.00
＋燃油(12.32＋0.00)×25.25%≈3.11
＝预估承运成本15.43
按既有收费规则折算→预付16.97；与原预付差+0.03。</x:v>
      </x:c>
      <x:c r="Q286" s="26" t="str">
        <x:v>运输费23.02
−折扣8.98
＋燃油3.55
＝承运净额17.59
账单实收19.349（按既有收费规则）</x:v>
      </x:c>
    </x:row>
    <x:row r="287" ht="120" customHeight="1">
      <x:c r="A287" s="26" t="n">
        <x:v>286</x:v>
      </x:c>
      <x:c r="B287" s="26" t="str">
        <x:v>875025544912</x:v>
      </x:c>
      <x:c r="C287" s="26" t="str">
        <x:v>AP300</x:v>
      </x:c>
      <x:c r="D287" s="31" t="n">
        <x:v>110.17</x:v>
      </x:c>
      <x:c r="E287" s="31"/>
      <x:c r="F287" s="31"/>
      <x:c r="G287" s="26" t="str">
        <x:v>缺明细，无法试算</x:v>
      </x:c>
      <x:c r="H287" s="31" t="n">
        <x:v>112.574</x:v>
      </x:c>
      <x:c r="I287" s="31"/>
      <x:c r="J287" s="31"/>
      <x:c r="K287" s="26" t="str">
        <x:v>缺核对明细</x:v>
      </x:c>
      <x:c r="L287" s="31"/>
      <x:c r="M287" s="31"/>
      <x:c r="N287" s="26" t="str">
        <x:v>缺核对明细，无法核算</x:v>
      </x:c>
      <x:c r="O287" s="26"/>
      <x:c r="P287" s="26" t="str">
        <x:v>缺核对明细，无法重建预付；原预付仅按基础表保留。</x:v>
      </x:c>
      <x:c r="Q287" s="26" t="str">
        <x:v>缺原始核对明细，无法拆分。</x:v>
      </x:c>
    </x:row>
    <x:row r="288" ht="120" customHeight="1">
      <x:c r="A288" s="26" t="n">
        <x:v>287</x:v>
      </x:c>
      <x:c r="B288" s="26" t="str">
        <x:v>873426897860</x:v>
      </x:c>
      <x:c r="C288" s="26" t="str">
        <x:v>EL100V2</x:v>
      </x:c>
      <x:c r="D288" s="31" t="n">
        <x:v>17</x:v>
      </x:c>
      <x:c r="E288" s="31" t="n">
        <x:v>17.01</x:v>
      </x:c>
      <x:c r="F288" s="31" t="n">
        <x:f>E288-D288</x:f>
        <x:v>0.010000000000001563</x:v>
      </x:c>
      <x:c r="G288" s="26" t="str">
        <x:v>仅接近（不超过0.15美元）</x:v>
      </x:c>
      <x:c r="H288" s="31" t="n">
        <x:v>19.382</x:v>
      </x:c>
      <x:c r="I288" s="31" t="n">
        <x:v>17.62</x:v>
      </x:c>
      <x:c r="J288" s="31" t="n">
        <x:v>17.62</x:v>
      </x:c>
      <x:c r="K288" s="26" t="str">
        <x:v>分项加总一致</x:v>
      </x:c>
      <x:c r="L288" s="31" t="n">
        <x:v>19.382</x:v>
      </x:c>
      <x:c r="M288" s="31" t="n">
        <x:f>L288-H288</x:f>
        <x:v>0</x:v>
      </x:c>
      <x:c r="N288" s="26" t="str">
        <x:v>一致（按此前统一收费口径）</x:v>
      </x:c>
      <x:c r="O288" s="26" t="n">
        <x:v>131</x:v>
      </x:c>
      <x:c r="P288" s="26" t="str">
        <x:v>反推假设：23lb、Zone2（账单Zone2）。
标准运费20.20×61%≈12.32
＋假设折后附加费0.00
＋燃油(12.32＋0.00)×25.50%≈3.14
＝预估承运成本15.46
按既有收费规则折算→预付17.01；与原预付差+0.01。</x:v>
      </x:c>
      <x:c r="Q288" s="26" t="str">
        <x:v>运输费23.02
−折扣8.98
＋燃油3.58
＝承运净额17.62
账单实收19.382（按既有收费规则）</x:v>
      </x:c>
    </x:row>
    <x:row r="289" ht="120" customHeight="1">
      <x:c r="A289" s="26" t="n">
        <x:v>288</x:v>
      </x:c>
      <x:c r="B289" s="26" t="str">
        <x:v>873177517802</x:v>
      </x:c>
      <x:c r="C289" s="26" t="str">
        <x:v>AC180</x:v>
      </x:c>
      <x:c r="D289" s="31" t="n">
        <x:v>26.5</x:v>
      </x:c>
      <x:c r="E289" s="31" t="n">
        <x:v>26.5</x:v>
      </x:c>
      <x:c r="F289" s="31" t="n">
        <x:f>E289-D289</x:f>
        <x:v>0</x:v>
      </x:c>
      <x:c r="G289" s="26" t="str">
        <x:v>一致（精确到美分）</x:v>
      </x:c>
      <x:c r="H289" s="31" t="n">
        <x:v>28.831</x:v>
      </x:c>
      <x:c r="I289" s="31" t="n">
        <x:v>26.21</x:v>
      </x:c>
      <x:c r="J289" s="31" t="n">
        <x:v>26.21</x:v>
      </x:c>
      <x:c r="K289" s="26" t="str">
        <x:v>分项加总一致</x:v>
      </x:c>
      <x:c r="L289" s="31" t="n">
        <x:v>28.831</x:v>
      </x:c>
      <x:c r="M289" s="31" t="n">
        <x:f>L289-H289</x:f>
        <x:v>0</x:v>
      </x:c>
      <x:c r="N289" s="26" t="str">
        <x:v>一致（按此前统一收费口径）</x:v>
      </x:c>
      <x:c r="O289" s="26" t="n">
        <x:v>97</x:v>
      </x:c>
      <x:c r="P289" s="26" t="str">
        <x:v>反推假设：38lb、Zone3（账单Zone3）。
标准运费31.34×61%≈19.12
＋假设折后附加费0.00
＋燃油(19.12＋0.00)×26.00%≈4.97
＝预估承运成本24.09
按既有收费规则折算→预付26.50；与原预付差+0.00。</x:v>
      </x:c>
      <x:c r="Q289" s="26" t="str">
        <x:v>运输费34.10
−折扣13.30
＋燃油5.41
＝承运净额26.21
账单实收28.831（按既有收费规则）</x:v>
      </x:c>
    </x:row>
    <x:row r="290" ht="120" customHeight="1">
      <x:c r="A290" s="26" t="n">
        <x:v>289</x:v>
      </x:c>
      <x:c r="B290" s="26" t="str">
        <x:v>874984443910</x:v>
      </x:c>
      <x:c r="C290" s="26" t="str">
        <x:v>AC200L</x:v>
      </x:c>
      <x:c r="D290" s="31" t="n">
        <x:v>69.59</x:v>
      </x:c>
      <x:c r="E290" s="31"/>
      <x:c r="F290" s="31"/>
      <x:c r="G290" s="26" t="str">
        <x:v>缺明细，无法试算</x:v>
      </x:c>
      <x:c r="H290" s="31" t="n">
        <x:v>71.918</x:v>
      </x:c>
      <x:c r="I290" s="31"/>
      <x:c r="J290" s="31"/>
      <x:c r="K290" s="26" t="str">
        <x:v>缺核对明细</x:v>
      </x:c>
      <x:c r="L290" s="31"/>
      <x:c r="M290" s="31"/>
      <x:c r="N290" s="26" t="str">
        <x:v>缺核对明细，无法核算</x:v>
      </x:c>
      <x:c r="O290" s="26"/>
      <x:c r="P290" s="26" t="str">
        <x:v>缺核对明细，无法重建预付；原预付仅按基础表保留。</x:v>
      </x:c>
      <x:c r="Q290" s="26" t="str">
        <x:v>缺原始核对明细，无法拆分。</x:v>
      </x:c>
    </x:row>
    <x:row r="291" ht="120" customHeight="1">
      <x:c r="A291" s="26" t="n">
        <x:v>290</x:v>
      </x:c>
      <x:c r="B291" s="26" t="str">
        <x:v>874409571020</x:v>
      </x:c>
      <x:c r="C291" s="26" t="str">
        <x:v>EL300</x:v>
      </x:c>
      <x:c r="D291" s="31" t="n">
        <x:v>97.2</x:v>
      </x:c>
      <x:c r="E291" s="31" t="n">
        <x:v>97.22</x:v>
      </x:c>
      <x:c r="F291" s="31" t="n">
        <x:f>E291-D291</x:f>
        <x:v>0.01999999999999602</x:v>
      </x:c>
      <x:c r="G291" s="26" t="str">
        <x:v>仅接近（不超过0.15美元）</x:v>
      </x:c>
      <x:c r="H291" s="31" t="n">
        <x:v>99.528</x:v>
      </x:c>
      <x:c r="I291" s="31" t="n">
        <x:v>90.48</x:v>
      </x:c>
      <x:c r="J291" s="31" t="n">
        <x:v>90.48</x:v>
      </x:c>
      <x:c r="K291" s="26" t="str">
        <x:v>分项加总一致</x:v>
      </x:c>
      <x:c r="L291" s="31" t="n">
        <x:v>99.528</x:v>
      </x:c>
      <x:c r="M291" s="31" t="n">
        <x:f>L291-H291</x:f>
        <x:v>0</x:v>
      </x:c>
      <x:c r="N291" s="26" t="str">
        <x:v>一致（按此前统一收费口径）</x:v>
      </x:c>
      <x:c r="O291" s="26" t="n">
        <x:v>449</x:v>
      </x:c>
      <x:c r="P291" s="26" t="str">
        <x:v>反推假设：60lb、Zone6（账单Zone6）。
标准运费69.79×61%≈42.57
＋假设折后附加费28.13
＋燃油(42.57＋28.13)×25.00%≈17.68
＝预估承运成本88.38
按既有收费规则折算→预付97.22；与原预付差+0.02。</x:v>
      </x:c>
      <x:c r="Q291" s="26" t="str">
        <x:v>运输费72.55
−折扣28.29
＋Add'l Handling-Weight 28.12
＋燃油18.10
＝承运净额90.48
账单实收99.528（按既有收费规则）</x:v>
      </x:c>
    </x:row>
    <x:row r="292" ht="120" customHeight="1">
      <x:c r="A292" s="26" t="n">
        <x:v>291</x:v>
      </x:c>
      <x:c r="B292" s="26" t="str">
        <x:v>873744716460</x:v>
      </x:c>
      <x:c r="C292" s="26" t="str">
        <x:v>EL300</x:v>
      </x:c>
      <x:c r="D292" s="31" t="n">
        <x:v>97.4</x:v>
      </x:c>
      <x:c r="E292" s="31" t="n">
        <x:v>97.41</x:v>
      </x:c>
      <x:c r="F292" s="31" t="n">
        <x:f>E292-D292</x:f>
        <x:v>0.009999999999990905</x:v>
      </x:c>
      <x:c r="G292" s="26" t="str">
        <x:v>仅接近（不超过0.15美元）</x:v>
      </x:c>
      <x:c r="H292" s="31" t="n">
        <x:v>99.726</x:v>
      </x:c>
      <x:c r="I292" s="31" t="n">
        <x:v>90.66</x:v>
      </x:c>
      <x:c r="J292" s="31" t="n">
        <x:v>90.66</x:v>
      </x:c>
      <x:c r="K292" s="26" t="str">
        <x:v>分项加总一致</x:v>
      </x:c>
      <x:c r="L292" s="31" t="n">
        <x:v>99.726</x:v>
      </x:c>
      <x:c r="M292" s="31" t="n">
        <x:f>L292-H292</x:f>
        <x:v>0</x:v>
      </x:c>
      <x:c r="N292" s="26" t="str">
        <x:v>一致（按此前统一收费口径）</x:v>
      </x:c>
      <x:c r="O292" s="26" t="n">
        <x:v>227</x:v>
      </x:c>
      <x:c r="P292" s="26" t="str">
        <x:v>反推假设：60lb、Zone6（账单Zone6）。
标准运费69.79×61%≈42.57
＋假设折后附加费28.13
＋燃油(42.57＋28.13)×25.25%≈17.85
＝预估承运成本88.55
按既有收费规则折算→预付97.41；与原预付差+0.01。</x:v>
      </x:c>
      <x:c r="Q292" s="26" t="str">
        <x:v>运输费72.55
−折扣28.29
＋Add'l Handling-Weight 28.12
＋燃油18.28
＝承运净额90.66
账单实收99.726（按既有收费规则）</x:v>
      </x:c>
    </x:row>
    <x:row r="293" ht="120" customHeight="1">
      <x:c r="A293" s="26" t="n">
        <x:v>292</x:v>
      </x:c>
      <x:c r="B293" s="26" t="str">
        <x:v>874356934394</x:v>
      </x:c>
      <x:c r="C293" s="26" t="str">
        <x:v>EL100V2</x:v>
      </x:c>
      <x:c r="D293" s="31" t="n">
        <x:v>20.7</x:v>
      </x:c>
      <x:c r="E293" s="31" t="n">
        <x:v>20.69</x:v>
      </x:c>
      <x:c r="F293" s="31" t="n">
        <x:f>E293-D293</x:f>
        <x:v>-0.00999999999999801</x:v>
      </x:c>
      <x:c r="G293" s="26" t="str">
        <x:v>仅接近（不超过0.15美元）</x:v>
      </x:c>
      <x:c r="H293" s="31" t="n">
        <x:v>23.023</x:v>
      </x:c>
      <x:c r="I293" s="31" t="n">
        <x:v>20.93</x:v>
      </x:c>
      <x:c r="J293" s="31" t="n">
        <x:v>20.93</x:v>
      </x:c>
      <x:c r="K293" s="26" t="str">
        <x:v>分项加总一致</x:v>
      </x:c>
      <x:c r="L293" s="31" t="n">
        <x:v>23.023</x:v>
      </x:c>
      <x:c r="M293" s="31" t="n">
        <x:f>L293-H293</x:f>
        <x:v>0</x:v>
      </x:c>
      <x:c r="N293" s="26" t="str">
        <x:v>一致（按此前统一收费口径）</x:v>
      </x:c>
      <x:c r="O293" s="26" t="n">
        <x:v>420</x:v>
      </x:c>
      <x:c r="P293" s="26" t="str">
        <x:v>反推假设：23lb、Zone4（账单Zone4）。
标准运费24.68×61%≈15.05
＋假设折后附加费0.00
＋燃油(15.05＋0.00)×25.00%≈3.76
＝预估承运成本18.81
按既有收费规则折算→预付20.69；与原预付差-0.01。</x:v>
      </x:c>
      <x:c r="Q293" s="26" t="str">
        <x:v>运输费27.45
−折扣10.71
＋燃油4.19
＝承运净额20.93
账单实收23.023（按既有收费规则）</x:v>
      </x:c>
    </x:row>
    <x:row r="294" ht="120" customHeight="1">
      <x:c r="A294" s="26" t="n">
        <x:v>293</x:v>
      </x:c>
      <x:c r="B294" s="26" t="str">
        <x:v>873591534306</x:v>
      </x:c>
      <x:c r="C294" s="26" t="str">
        <x:v>AC70</x:v>
      </x:c>
      <x:c r="D294" s="31" t="n">
        <x:v>29.99</x:v>
      </x:c>
      <x:c r="E294" s="31" t="n">
        <x:v>29.94</x:v>
      </x:c>
      <x:c r="F294" s="31" t="n">
        <x:f>E294-D294</x:f>
        <x:v>-0.04999999999999716</x:v>
      </x:c>
      <x:c r="G294" s="26" t="str">
        <x:v>仅接近（不超过0.15美元）</x:v>
      </x:c>
      <x:c r="H294" s="31" t="n">
        <x:v>32.285</x:v>
      </x:c>
      <x:c r="I294" s="31" t="n">
        <x:v>29.35</x:v>
      </x:c>
      <x:c r="J294" s="31" t="n">
        <x:v>29.35</x:v>
      </x:c>
      <x:c r="K294" s="26" t="str">
        <x:v>分项加总一致</x:v>
      </x:c>
      <x:c r="L294" s="31" t="n">
        <x:v>32.285</x:v>
      </x:c>
      <x:c r="M294" s="31" t="n">
        <x:f>L294-H294</x:f>
        <x:v>0</x:v>
      </x:c>
      <x:c r="N294" s="26" t="str">
        <x:v>一致（按此前统一收费口径）</x:v>
      </x:c>
      <x:c r="O294" s="26" t="n">
        <x:v>220</x:v>
      </x:c>
      <x:c r="P294" s="26" t="str">
        <x:v>反推假设：23lb、Zone6（账单Zone6）。
标准运费35.63×61%≈21.73
＋假设折后附加费0.00
＋燃油(21.73＋0.00)×25.25%≈5.49
＝预估承运成本27.22
按既有收费规则折算→预付29.94；与原预付差-0.05。</x:v>
      </x:c>
      <x:c r="Q294" s="26" t="str">
        <x:v>运输费38.41
−折扣14.98
＋燃油5.92
＝承运净额29.35
账单实收32.285（按既有收费规则）</x:v>
      </x:c>
    </x:row>
    <x:row r="295" ht="120" customHeight="1">
      <x:c r="A295" s="26" t="n">
        <x:v>294</x:v>
      </x:c>
      <x:c r="B295" s="26" t="str">
        <x:v>873809596522</x:v>
      </x:c>
      <x:c r="C295" s="26" t="str">
        <x:v>EL200V2</x:v>
      </x:c>
      <x:c r="D295" s="31" t="n">
        <x:v>56.37</x:v>
      </x:c>
      <x:c r="E295" s="31" t="n">
        <x:v>56.38</x:v>
      </x:c>
      <x:c r="F295" s="31" t="n">
        <x:f>E295-D295</x:f>
        <x:v>0.010000000000005116</x:v>
      </x:c>
      <x:c r="G295" s="26" t="str">
        <x:v>仅接近（不超过0.15美元）</x:v>
      </x:c>
      <x:c r="H295" s="31" t="n">
        <x:v>58.652</x:v>
      </x:c>
      <x:c r="I295" s="31" t="n">
        <x:v>53.32</x:v>
      </x:c>
      <x:c r="J295" s="31" t="n">
        <x:v>53.32</x:v>
      </x:c>
      <x:c r="K295" s="26" t="str">
        <x:v>分项加总一致</x:v>
      </x:c>
      <x:c r="L295" s="31" t="n">
        <x:v>58.652</x:v>
      </x:c>
      <x:c r="M295" s="31" t="n">
        <x:f>L295-H295</x:f>
        <x:v>0</x:v>
      </x:c>
      <x:c r="N295" s="26" t="str">
        <x:v>一致（按此前统一收费口径）</x:v>
      </x:c>
      <x:c r="O295" s="26" t="n">
        <x:v>239</x:v>
      </x:c>
      <x:c r="P295" s="26" t="str">
        <x:v>反推假设：54lb、Zone2（账单Zone2）。
标准运费29.37×61%≈17.92
＋假设折后附加费23.00
＋燃油(17.92＋23.00)×25.25%≈10.33
＝预估承运成本51.25
按既有收费规则折算→预付56.38；与原预付差+0.01。</x:v>
      </x:c>
      <x:c r="Q295" s="26" t="str">
        <x:v>运输费32.08
−折扣12.51
＋Add'l Handling-Weight 23.00
＋燃油10.75
＝承运净额53.32
账单实收58.652（按既有收费规则）</x:v>
      </x:c>
    </x:row>
    <x:row r="296" ht="120" customHeight="1">
      <x:c r="A296" s="26" t="n">
        <x:v>295</x:v>
      </x:c>
      <x:c r="B296" s="26" t="str">
        <x:v>873236800602</x:v>
      </x:c>
      <x:c r="C296" s="26" t="str">
        <x:v>AC180</x:v>
      </x:c>
      <x:c r="D296" s="31" t="n">
        <x:v>36.73</x:v>
      </x:c>
      <x:c r="E296" s="31" t="n">
        <x:v>36.51</x:v>
      </x:c>
      <x:c r="F296" s="31" t="n">
        <x:f>E296-D296</x:f>
        <x:v>-0.21999999999999886</x:v>
      </x:c>
      <x:c r="G296" s="26" t="str">
        <x:v>未对上</x:v>
      </x:c>
      <x:c r="H296" s="31" t="n">
        <x:v>38.995</x:v>
      </x:c>
      <x:c r="I296" s="31" t="n">
        <x:v>35.45</x:v>
      </x:c>
      <x:c r="J296" s="31" t="n">
        <x:v>35.45</x:v>
      </x:c>
      <x:c r="K296" s="26" t="str">
        <x:v>分项加总一致</x:v>
      </x:c>
      <x:c r="L296" s="31" t="n">
        <x:v>38.995</x:v>
      </x:c>
      <x:c r="M296" s="31" t="n">
        <x:f>L296-H296</x:f>
        <x:v>0</x:v>
      </x:c>
      <x:c r="N296" s="26" t="str">
        <x:v>一致（按此前统一收费口径）</x:v>
      </x:c>
      <x:c r="O296" s="26" t="n">
        <x:v>212</x:v>
      </x:c>
      <x:c r="P296" s="26" t="str">
        <x:v>反推假设：38lb、Zone5（账单Zone5）。
标准运费43.44×61%≈26.50
＋假设折后附加费0.00
＋燃油(26.50＋0.00)×25.25%≈6.69
＝预估承运成本33.19
按既有收费规则折算→预付36.51；与原预付差-0.22。</x:v>
      </x:c>
      <x:c r="Q296" s="26" t="str">
        <x:v>运输费46.39
−折扣18.09
＋燃油7.15
＝承运净额35.45
账单实收38.995（按既有收费规则）</x:v>
      </x:c>
    </x:row>
    <x:row r="297" ht="120" customHeight="1">
      <x:c r="A297" s="26" t="n">
        <x:v>296</x:v>
      </x:c>
      <x:c r="B297" s="26" t="str">
        <x:v>874657686413</x:v>
      </x:c>
      <x:c r="C297" s="26" t="str">
        <x:v>AC180</x:v>
      </x:c>
      <x:c r="D297" s="31" t="n">
        <x:v>45.03</x:v>
      </x:c>
      <x:c r="E297" s="31"/>
      <x:c r="F297" s="31"/>
      <x:c r="G297" s="26" t="str">
        <x:v>缺明细，无法试算</x:v>
      </x:c>
      <x:c r="H297" s="31" t="n">
        <x:v>47.267</x:v>
      </x:c>
      <x:c r="I297" s="31"/>
      <x:c r="J297" s="31"/>
      <x:c r="K297" s="26" t="str">
        <x:v>缺核对明细</x:v>
      </x:c>
      <x:c r="L297" s="31"/>
      <x:c r="M297" s="31"/>
      <x:c r="N297" s="26" t="str">
        <x:v>缺核对明细，无法核算</x:v>
      </x:c>
      <x:c r="O297" s="26"/>
      <x:c r="P297" s="26" t="str">
        <x:v>缺核对明细，无法重建预付；原预付仅按基础表保留。</x:v>
      </x:c>
      <x:c r="Q297" s="26" t="str">
        <x:v>缺原始核对明细，无法拆分。</x:v>
      </x:c>
    </x:row>
    <x:row r="298" ht="120" customHeight="1">
      <x:c r="A298" s="26" t="n">
        <x:v>297</x:v>
      </x:c>
      <x:c r="B298" s="26" t="str">
        <x:v>873601492219</x:v>
      </x:c>
      <x:c r="C298" s="26" t="str">
        <x:v>EL100V2</x:v>
      </x:c>
      <x:c r="D298" s="31" t="n">
        <x:v>46.88</x:v>
      </x:c>
      <x:c r="E298" s="31" t="n">
        <x:v>46.87</x:v>
      </x:c>
      <x:c r="F298" s="31" t="n">
        <x:f>E298-D298</x:f>
        <x:v>-0.010000000000005116</x:v>
      </x:c>
      <x:c r="G298" s="26" t="str">
        <x:v>仅接近（不超过0.15美元）</x:v>
      </x:c>
      <x:c r="H298" s="31" t="n">
        <x:v>49.115</x:v>
      </x:c>
      <x:c r="I298" s="31" t="n">
        <x:v>44.65</x:v>
      </x:c>
      <x:c r="J298" s="31" t="n">
        <x:v>44.65</x:v>
      </x:c>
      <x:c r="K298" s="26" t="str">
        <x:v>分项加总一致</x:v>
      </x:c>
      <x:c r="L298" s="31" t="n">
        <x:v>49.115</x:v>
      </x:c>
      <x:c r="M298" s="31" t="n">
        <x:f>L298-H298</x:f>
        <x:v>0</x:v>
      </x:c>
      <x:c r="N298" s="26" t="str">
        <x:v>一致（按此前统一收费口径）</x:v>
      </x:c>
      <x:c r="O298" s="26" t="n">
        <x:v>222</x:v>
      </x:c>
      <x:c r="P298" s="26" t="str">
        <x:v>反推假设：27lb、Zone8（账单Zone8）。
标准运费55.65×61%≈33.95
＋假设折后附加费0.00
＋燃油(33.95＋0.00)×25.50%≈8.66
＝预估承运成本42.61
按既有收费规则折算→预付46.87；与原预付差-0.01。</x:v>
      </x:c>
      <x:c r="Q298" s="26" t="str">
        <x:v>运输费58.32
−折扣22.74
＋燃油9.07
＝承运净额44.65
账单实收49.115（按既有收费规则）</x:v>
      </x:c>
    </x:row>
    <x:row r="299" ht="120" customHeight="1">
      <x:c r="A299" s="26" t="n">
        <x:v>298</x:v>
      </x:c>
      <x:c r="B299" s="26" t="str">
        <x:v>874897403844</x:v>
      </x:c>
      <x:c r="C299" s="26" t="str">
        <x:v>EL100V2</x:v>
      </x:c>
      <x:c r="D299" s="31" t="n">
        <x:v>20.32</x:v>
      </x:c>
      <x:c r="E299" s="31"/>
      <x:c r="F299" s="31"/>
      <x:c r="G299" s="26" t="str">
        <x:v>缺明细，无法试算</x:v>
      </x:c>
      <x:c r="H299" s="31" t="n">
        <x:v>22.55</x:v>
      </x:c>
      <x:c r="I299" s="31"/>
      <x:c r="J299" s="31"/>
      <x:c r="K299" s="26" t="str">
        <x:v>缺核对明细</x:v>
      </x:c>
      <x:c r="L299" s="31"/>
      <x:c r="M299" s="31"/>
      <x:c r="N299" s="26" t="str">
        <x:v>缺核对明细，无法核算</x:v>
      </x:c>
      <x:c r="O299" s="26"/>
      <x:c r="P299" s="26" t="str">
        <x:v>缺核对明细，无法重建预付；原预付仅按基础表保留。</x:v>
      </x:c>
      <x:c r="Q299" s="26" t="str">
        <x:v>缺原始核对明细，无法拆分。</x:v>
      </x:c>
    </x:row>
    <x:row r="300" ht="120" customHeight="1">
      <x:c r="A300" s="26" t="n">
        <x:v>299</x:v>
      </x:c>
      <x:c r="B300" s="26" t="str">
        <x:v>874660302430</x:v>
      </x:c>
      <x:c r="C300" s="26"/>
      <x:c r="D300" s="31" t="n">
        <x:v>23.06</x:v>
      </x:c>
      <x:c r="E300" s="31" t="n">
        <x:v>23.07</x:v>
      </x:c>
      <x:c r="F300" s="31" t="n">
        <x:f>E300-D300</x:f>
        <x:v>0.010000000000001563</x:v>
      </x:c>
      <x:c r="G300" s="26" t="str">
        <x:v>仅接近（不超过0.15美元）</x:v>
      </x:c>
      <x:c r="H300" s="31" t="n">
        <x:v>25.278</x:v>
      </x:c>
      <x:c r="I300" s="31" t="n">
        <x:v>22.98</x:v>
      </x:c>
      <x:c r="J300" s="31" t="n">
        <x:v>22.98</x:v>
      </x:c>
      <x:c r="K300" s="26" t="str">
        <x:v>分项加总一致</x:v>
      </x:c>
      <x:c r="L300" s="31" t="n">
        <x:v>25.278</x:v>
      </x:c>
      <x:c r="M300" s="31" t="n">
        <x:f>L300-H300</x:f>
        <x:v>0</x:v>
      </x:c>
      <x:c r="N300" s="26" t="str">
        <x:v>一致（按此前统一收费口径）</x:v>
      </x:c>
      <x:c r="O300" s="26" t="n">
        <x:v>530</x:v>
      </x:c>
      <x:c r="P300" s="26" t="str">
        <x:v>反推假设：27lb、Zone4（账单Zone4）。
标准运费27.45×61%≈16.74
＋假设折后附加费0.00
＋燃油(16.74＋0.00)×25.25%≈4.23
＝预估承运成本20.97
按既有收费规则折算→预付23.07；与原预付差+0.01。</x:v>
      </x:c>
      <x:c r="Q300" s="26" t="str">
        <x:v>运输费30.08
−折扣11.73
＋燃油4.63
＝承运净额22.98
账单实收25.278（按既有收费规则）</x:v>
      </x:c>
    </x:row>
    <x:row r="301" ht="120" customHeight="1">
      <x:c r="A301" s="26" t="n">
        <x:v>300</x:v>
      </x:c>
      <x:c r="B301" s="26" t="str">
        <x:v>873651184982</x:v>
      </x:c>
      <x:c r="C301" s="26" t="str">
        <x:v>AC50B</x:v>
      </x:c>
      <x:c r="D301" s="31" t="n">
        <x:v>17.75</x:v>
      </x:c>
      <x:c r="E301" s="31" t="n">
        <x:v>18.26</x:v>
      </x:c>
      <x:c r="F301" s="31" t="n">
        <x:f>E301-D301</x:f>
        <x:v>0.5100000000000016</x:v>
      </x:c>
      <x:c r="G301" s="26" t="str">
        <x:v>未对上</x:v>
      </x:c>
      <x:c r="H301" s="31" t="n">
        <x:v>19.932</x:v>
      </x:c>
      <x:c r="I301" s="31" t="n">
        <x:v>18.12</x:v>
      </x:c>
      <x:c r="J301" s="31" t="n">
        <x:v>18.12</x:v>
      </x:c>
      <x:c r="K301" s="26" t="str">
        <x:v>分项加总一致</x:v>
      </x:c>
      <x:c r="L301" s="31" t="n">
        <x:v>19.932</x:v>
      </x:c>
      <x:c r="M301" s="31" t="n">
        <x:f>L301-H301</x:f>
        <x:v>0</x:v>
      </x:c>
      <x:c r="N301" s="26" t="str">
        <x:v>一致（按此前统一收费口径）</x:v>
      </x:c>
      <x:c r="O301" s="26" t="n">
        <x:v>178</x:v>
      </x:c>
      <x:c r="P301" s="26" t="str">
        <x:v>反推假设：13lb、Zone5（账单Zone4）。
标准运费21.69×61%≈13.23
＋假设折后附加费0.00
＋燃油(13.23＋0.00)×25.50%≈3.37
＝预估承运成本16.60
按既有收费规则折算→预付18.26；与原预付差+0.51。</x:v>
      </x:c>
      <x:c r="Q301" s="26" t="str">
        <x:v>运输费22.21
−折扣7.77
＋燃油3.68
＝承运净额18.12
账单实收19.932（按既有收费规则）</x:v>
      </x:c>
    </x:row>
    <x:row r="302" ht="120" customHeight="1">
      <x:c r="A302" s="26" t="n">
        <x:v>301</x:v>
      </x:c>
      <x:c r="B302" s="26" t="str">
        <x:v>874401213522</x:v>
      </x:c>
      <x:c r="C302" s="26" t="str">
        <x:v>EL100V2</x:v>
      </x:c>
      <x:c r="D302" s="31" t="n">
        <x:v>20.7</x:v>
      </x:c>
      <x:c r="E302" s="31" t="n">
        <x:v>20.69</x:v>
      </x:c>
      <x:c r="F302" s="31" t="n">
        <x:f>E302-D302</x:f>
        <x:v>-0.00999999999999801</x:v>
      </x:c>
      <x:c r="G302" s="26" t="str">
        <x:v>仅接近（不超过0.15美元）</x:v>
      </x:c>
      <x:c r="H302" s="31" t="n">
        <x:v>22.858</x:v>
      </x:c>
      <x:c r="I302" s="31" t="n">
        <x:v>20.78</x:v>
      </x:c>
      <x:c r="J302" s="31" t="n">
        <x:v>20.78</x:v>
      </x:c>
      <x:c r="K302" s="26" t="str">
        <x:v>分项加总一致</x:v>
      </x:c>
      <x:c r="L302" s="31" t="n">
        <x:v>22.858</x:v>
      </x:c>
      <x:c r="M302" s="31" t="n">
        <x:f>L302-H302</x:f>
        <x:v>0</x:v>
      </x:c>
      <x:c r="N302" s="26" t="str">
        <x:v>一致（按此前统一收费口径）</x:v>
      </x:c>
      <x:c r="O302" s="26" t="n">
        <x:v>423</x:v>
      </x:c>
      <x:c r="P302" s="26" t="str">
        <x:v>反推假设：23lb、Zone4（账单Zone3）。
标准运费24.68×61%≈15.05
＋假设折后附加费0.00
＋燃油(15.05＋0.00)×25.00%≈3.76
＝预估承运成本18.81
按既有收费规则折算→预付20.69；与原预付差-0.01。</x:v>
      </x:c>
      <x:c r="Q302" s="26" t="str">
        <x:v>运输费27.25
−折扣10.63
＋燃油4.16
＝承运净额20.78
账单实收22.858（按既有收费规则）</x:v>
      </x:c>
    </x:row>
    <x:row r="303" ht="120" customHeight="1">
      <x:c r="A303" s="26" t="n">
        <x:v>302</x:v>
      </x:c>
      <x:c r="B303" s="26" t="str">
        <x:v>874653084452</x:v>
      </x:c>
      <x:c r="C303" s="26" t="str">
        <x:v>EL100V2</x:v>
      </x:c>
      <x:c r="D303" s="31" t="n">
        <x:v>20.24</x:v>
      </x:c>
      <x:c r="E303" s="31" t="n">
        <x:v>20.24</x:v>
      </x:c>
      <x:c r="F303" s="31" t="n">
        <x:f>E303-D303</x:f>
        <x:v>0</x:v>
      </x:c>
      <x:c r="G303" s="26" t="str">
        <x:v>一致（精确到美分）</x:v>
      </x:c>
      <x:c r="H303" s="31" t="n">
        <x:v>22.374</x:v>
      </x:c>
      <x:c r="I303" s="31" t="n">
        <x:v>20.34</x:v>
      </x:c>
      <x:c r="J303" s="31" t="n">
        <x:v>20.34</x:v>
      </x:c>
      <x:c r="K303" s="26" t="str">
        <x:v>分项加总一致</x:v>
      </x:c>
      <x:c r="L303" s="31" t="n">
        <x:v>22.374</x:v>
      </x:c>
      <x:c r="M303" s="31" t="n">
        <x:f>L303-H303</x:f>
        <x:v>0</x:v>
      </x:c>
      <x:c r="N303" s="26" t="str">
        <x:v>一致（按此前统一收费口径）</x:v>
      </x:c>
      <x:c r="O303" s="26" t="n">
        <x:v>506</x:v>
      </x:c>
      <x:c r="P303" s="26" t="str">
        <x:v>反推假设：25lb、Zone3（账单Zone3）。
标准运费24.09×61%≈14.69
＋假设折后附加费0.00
＋燃油(14.69＋0.00)×25.25%≈3.71
＝预估承运成本18.40
按既有收费规则折算→预付20.24；与原预付差+0.00。</x:v>
      </x:c>
      <x:c r="Q303" s="26" t="str">
        <x:v>运输费26.62
−折扣10.38
＋燃油4.10
＝承运净额20.34
账单实收22.374（按既有收费规则）</x:v>
      </x:c>
    </x:row>
    <x:row r="304" ht="120" customHeight="1">
      <x:c r="A304" s="26" t="n">
        <x:v>303</x:v>
      </x:c>
      <x:c r="B304" s="26" t="str">
        <x:v>874409838052</x:v>
      </x:c>
      <x:c r="C304" s="26" t="str">
        <x:v>EL100V2</x:v>
      </x:c>
      <x:c r="D304" s="31" t="n">
        <x:v>20.2</x:v>
      </x:c>
      <x:c r="E304" s="31" t="n">
        <x:v>20.2</x:v>
      </x:c>
      <x:c r="F304" s="31" t="n">
        <x:f>E304-D304</x:f>
        <x:v>0</x:v>
      </x:c>
      <x:c r="G304" s="26" t="str">
        <x:v>一致（精确到美分）</x:v>
      </x:c>
      <x:c r="H304" s="31" t="n">
        <x:v>22.33</x:v>
      </x:c>
      <x:c r="I304" s="31" t="n">
        <x:v>20.3</x:v>
      </x:c>
      <x:c r="J304" s="31" t="n">
        <x:v>20.3</x:v>
      </x:c>
      <x:c r="K304" s="26" t="str">
        <x:v>分项加总一致</x:v>
      </x:c>
      <x:c r="L304" s="31" t="n">
        <x:v>22.33</x:v>
      </x:c>
      <x:c r="M304" s="31" t="n">
        <x:f>L304-H304</x:f>
        <x:v>0</x:v>
      </x:c>
      <x:c r="N304" s="26" t="str">
        <x:v>一致（按此前统一收费口径）</x:v>
      </x:c>
      <x:c r="O304" s="26" t="n">
        <x:v>426</x:v>
      </x:c>
      <x:c r="P304" s="26" t="str">
        <x:v>反推假设：25lb、Zone3（账单Zone3）。
标准运费24.09×61%≈14.69
＋假设折后附加费0.00
＋燃油(14.69＋0.00)×25.00%≈3.67
＝预估承运成本18.36
按既有收费规则折算→预付20.20；与原预付差+0.00。</x:v>
      </x:c>
      <x:c r="Q304" s="26" t="str">
        <x:v>运输费26.62
−折扣10.38
＋燃油4.06
＝承运净额20.30
账单实收22.330（按既有收费规则）</x:v>
      </x:c>
    </x:row>
    <x:row r="305" ht="120" customHeight="1">
      <x:c r="A305" s="26" t="n">
        <x:v>304</x:v>
      </x:c>
      <x:c r="B305" s="26" t="str">
        <x:v>874586407410</x:v>
      </x:c>
      <x:c r="C305" s="26" t="str">
        <x:v>AC180</x:v>
      </x:c>
      <x:c r="D305" s="31" t="n">
        <x:v>21.77</x:v>
      </x:c>
      <x:c r="E305" s="31" t="n">
        <x:v>21.77</x:v>
      </x:c>
      <x:c r="F305" s="31" t="n">
        <x:f>E305-D305</x:f>
        <x:v>0</x:v>
      </x:c>
      <x:c r="G305" s="26" t="str">
        <x:v>一致（精确到美分）</x:v>
      </x:c>
      <x:c r="H305" s="31" t="n">
        <x:v>23.837</x:v>
      </x:c>
      <x:c r="I305" s="31" t="n">
        <x:v>21.67</x:v>
      </x:c>
      <x:c r="J305" s="31" t="n">
        <x:v>21.67</x:v>
      </x:c>
      <x:c r="K305" s="26" t="str">
        <x:v>分项加总一致</x:v>
      </x:c>
      <x:c r="L305" s="31" t="n">
        <x:v>23.837</x:v>
      </x:c>
      <x:c r="M305" s="31" t="n">
        <x:f>L305-H305</x:f>
        <x:v>0</x:v>
      </x:c>
      <x:c r="N305" s="26" t="str">
        <x:v>一致（按此前统一收费口径）</x:v>
      </x:c>
      <x:c r="O305" s="26" t="n">
        <x:v>462</x:v>
      </x:c>
      <x:c r="P305" s="26" t="str">
        <x:v>反推假设：38lb、Zone2（账单Zone2）。
标准运费25.90×61%≈15.80
＋假设折后附加费0.00
＋燃油(15.80＋0.00)×25.25%≈3.99
＝预估承运成本19.79
按既有收费规则折算→预付21.77；与原预付差+0.00。</x:v>
      </x:c>
      <x:c r="Q305" s="26" t="str">
        <x:v>运输费28.36
−折扣11.06
＋燃油4.37
＝承运净额21.67
账单实收23.837（按既有收费规则）</x:v>
      </x:c>
    </x:row>
    <x:row r="306" ht="120" customHeight="1">
      <x:c r="A306" s="26" t="n">
        <x:v>305</x:v>
      </x:c>
      <x:c r="B306" s="26" t="str">
        <x:v>873855911898</x:v>
      </x:c>
      <x:c r="C306" s="26" t="str">
        <x:v>AC180P</x:v>
      </x:c>
      <x:c r="D306" s="31" t="n">
        <x:v>21.77</x:v>
      </x:c>
      <x:c r="E306" s="31" t="n">
        <x:v>21.77</x:v>
      </x:c>
      <x:c r="F306" s="31" t="n">
        <x:f>E306-D306</x:f>
        <x:v>0</x:v>
      </x:c>
      <x:c r="G306" s="26" t="str">
        <x:v>一致（精确到美分）</x:v>
      </x:c>
      <x:c r="H306" s="31" t="n">
        <x:v>23.782</x:v>
      </x:c>
      <x:c r="I306" s="31" t="n">
        <x:v>21.62</x:v>
      </x:c>
      <x:c r="J306" s="31" t="n">
        <x:v>21.62</x:v>
      </x:c>
      <x:c r="K306" s="26" t="str">
        <x:v>分项加总一致</x:v>
      </x:c>
      <x:c r="L306" s="31" t="n">
        <x:v>23.782</x:v>
      </x:c>
      <x:c r="M306" s="31" t="n">
        <x:f>L306-H306</x:f>
        <x:v>0</x:v>
      </x:c>
      <x:c r="N306" s="26" t="str">
        <x:v>一致（按此前统一收费口径）</x:v>
      </x:c>
      <x:c r="O306" s="26" t="n">
        <x:v>242</x:v>
      </x:c>
      <x:c r="P306" s="26" t="str">
        <x:v>反推假设：38lb、Zone2（账单Zone2）。
标准运费25.90×61%≈15.80
＋假设折后附加费0.00
＋燃油(15.80＋0.00)×25.25%≈3.99
＝预估承运成本19.79
按既有收费规则折算→预付21.77；与原预付差+0.00。</x:v>
      </x:c>
      <x:c r="Q306" s="26" t="str">
        <x:v>运输费28.30
−折扣11.04
＋燃油4.36
＝承运净额21.62
账单实收23.782（按既有收费规则）</x:v>
      </x:c>
    </x:row>
    <x:row r="307" ht="120" customHeight="1">
      <x:c r="A307" s="26" t="n">
        <x:v>306</x:v>
      </x:c>
      <x:c r="B307" s="26" t="str">
        <x:v>874961321496</x:v>
      </x:c>
      <x:c r="C307" s="26" t="str">
        <x:v>AC50B</x:v>
      </x:c>
      <x:c r="D307" s="31" t="n">
        <x:v>17.4</x:v>
      </x:c>
      <x:c r="E307" s="31"/>
      <x:c r="F307" s="31"/>
      <x:c r="G307" s="26" t="str">
        <x:v>缺明细，无法试算</x:v>
      </x:c>
      <x:c r="H307" s="31" t="n">
        <x:v>19.404</x:v>
      </x:c>
      <x:c r="I307" s="31"/>
      <x:c r="J307" s="31"/>
      <x:c r="K307" s="26" t="str">
        <x:v>缺核对明细</x:v>
      </x:c>
      <x:c r="L307" s="31"/>
      <x:c r="M307" s="31"/>
      <x:c r="N307" s="26" t="str">
        <x:v>缺核对明细，无法核算</x:v>
      </x:c>
      <x:c r="O307" s="26"/>
      <x:c r="P307" s="26" t="str">
        <x:v>缺核对明细，无法重建预付；原预付仅按基础表保留。</x:v>
      </x:c>
      <x:c r="Q307" s="26" t="str">
        <x:v>缺原始核对明细，无法拆分。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110" hidden="0" customWidth="1"/>
  </x:cols>
  <x:sheetData>
    <x:row r="1" ht="15" hidden="0" customHeight="1">
      <x:c r="A1" s="52" t="str">
        <x:v>核验项目</x:v>
      </x:c>
      <x:c r="B1" s="52" t="str">
        <x:v>数量</x:v>
      </x:c>
      <x:c r="C1" s="52" t="str">
        <x:v>准确含义</x:v>
      </x:c>
    </x:row>
    <x:row r="2" ht="15" hidden="0" customHeight="1">
      <x:c r="A2" s="16" t="str">
        <x:v>全部记录</x:v>
      </x:c>
      <x:c r="B2" s="16" t="n">
        <x:v>306</x:v>
      </x:c>
      <x:c r="C2" s="16" t="str">
        <x:v>按美分一致，即四舍五入到2位小数后比较；原始金额保留3位显示。</x:v>
      </x:c>
    </x:row>
    <x:row r="3" ht="15" hidden="0" customHeight="1">
      <x:c r="A3" s="16" t="str">
        <x:v>预付：计算值与原值一致</x:v>
      </x:c>
      <x:c r="B3" s="16" t="n">
        <x:v>60</x:v>
      </x:c>
      <x:c r="C3" s="16" t="str">
        <x:v>这60票也属于试算金额吻合，仍不等于确认原报价参数。</x:v>
      </x:c>
    </x:row>
    <x:row r="4" ht="15" hidden="0" customHeight="1">
      <x:c r="A4" s="16" t="str">
        <x:v>预付：仅接近，不超过0.15美元</x:v>
      </x:c>
      <x:c r="B4" s="16" t="n">
        <x:v>117</x:v>
      </x:c>
      <x:c r="C4" s="16" t="str">
        <x:v>117票不是精确一致；与上项合计177票。</x:v>
      </x:c>
    </x:row>
    <x:row r="5" ht="15" hidden="0" customHeight="1">
      <x:c r="A5" s="16" t="str">
        <x:v>预付：有试算但未对上</x:v>
      </x:c>
      <x:c r="B5" s="16" t="n">
        <x:v>74</x:v>
      </x:c>
      <x:c r="C5" s="16" t="str">
        <x:v>已有假设不够解释原金额。</x:v>
      </x:c>
    </x:row>
    <x:row r="6" ht="15" hidden="0" customHeight="1">
      <x:c r="A6" s="16" t="str">
        <x:v>预付：缺明细无法试算</x:v>
      </x:c>
      <x:c r="B6" s="16" t="n">
        <x:v>55</x:v>
      </x:c>
      <x:c r="C6" s="16" t="str">
        <x:v>未填造计算值。</x:v>
      </x:c>
    </x:row>
    <x:row r="7" ht="15" hidden="0" customHeight="1">
      <x:c r="A7" s="16" t="str">
        <x:v>承运净额：分项加总一致</x:v>
      </x:c>
      <x:c r="B7" s="16" t="n">
        <x:v>251</x:v>
      </x:c>
      <x:c r="C7" s="16" t="str">
        <x:v>运输费+折扣（负数）+附加费+燃油，准确对上核对表净额。</x:v>
      </x:c>
    </x:row>
    <x:row r="8" ht="15" hidden="0" customHeight="1">
      <x:c r="A8" s="16" t="str">
        <x:v>实付：按此前统一口径对上</x:v>
      </x:c>
      <x:c r="B8" s="16" t="n">
        <x:v>222</x:v>
      </x:c>
      <x:c r="C8" s="16" t="str">
        <x:v>计算实付准确对上基础表实收。</x:v>
      </x:c>
    </x:row>
    <x:row r="9" ht="15" hidden="0" customHeight="1">
      <x:c r="A9" s="16" t="str">
        <x:v>实付：未对上、口径待核实</x:v>
      </x:c>
      <x:c r="B9" s="16" t="n">
        <x:v>29</x:v>
      </x:c>
      <x:c r="C9" s="16" t="str">
        <x:v>不能将这29票视为实付核验成功，需确认历史收费规则。</x:v>
      </x:c>
    </x:row>
    <x:row r="10" ht="15" hidden="0" customHeight="1">
      <x:c r="A10" s="16" t="str">
        <x:v>实付：缺明细无法计算</x:v>
      </x:c>
      <x:c r="B10" s="16" t="n">
        <x:v>55</x:v>
      </x:c>
      <x:c r="C10" s="16" t="str">
        <x:v>缺核对表费用依据。</x:v>
      </x:c>
    </x:row>
    <x:row r="11" ht="15" hidden="0" customHeight="1">
      <x:c r="A11" s="16" t="str">
        <x:v>更正此前表述</x:v>
      </x:c>
      <x:c r="B11" s="16"/>
      <x:c r="C11" s="16" t="str">
        <x:v>之前“251条费用核对成功”仅指费用分项对上承运净额，不是251条都按同一规则对上盘库实收。</x:v>
      </x:c>
    </x:row>
    <x:row r="12" ht="15" hidden="0" customHeight="1">
      <x:c r="A12" s="16" t="str">
        <x:v>内部收费</x:v>
      </x:c>
      <x:c r="B12" s="16"/>
      <x:c r="C12" s="16" t="str">
        <x:v>计算实付采用此前统一收费口径，倍率不在表中展示；未按每票实收反推倍率后强行算作一致。</x:v>
      </x:c>
    </x:row>
    <x:row r="13" ht="15" hidden="0" customHeight="1">
      <x:c r="A13" s="16" t="str">
        <x:v>原有说明</x:v>
      </x:c>
      <x:c r="B13" s="16"/>
      <x:c r="C13" s="16" t="str">
        <x:v>原有全量、前50和前10分析保留为历史分析；本页为本次分别核验预付/实付的结果。</x:v>
      </x:c>
    </x:row>
  </x:sheetData>
  <x:pageMargins left="0.7" right="0.7" top="0.75" bottom="0.75" header="0.3" footer="0.3"/>
</x:worksheet>
</file>