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c0cb7aad2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a4ce25356e42d3"/>
    <x:sheet xmlns:r="http://schemas.openxmlformats.org/officeDocument/2006/relationships" name="匹配机型汇总" sheetId="2" r:id="Rb70d984b350e4f9f"/>
  </x:sheets>
</x:workbook>
</file>

<file path=xl/sharedStrings.xml><?xml version="1.0" encoding="utf-8"?>
<x:sst xmlns:x="http://schemas.openxmlformats.org/spreadsheetml/2006/main">
  <x:si>
    <x:t xml:space="preserve">跟踪号</x:t>
  </x:si>
  <x:si>
    <x:t xml:space="preserve">预收</x:t>
  </x:si>
  <x:si>
    <x:t xml:space="preserve">实收</x:t>
  </x:si>
  <x:si>
    <x:t xml:space="preserve">差额</x:t>
  </x:si>
  <x:si>
    <x:t xml:space="preserve">873757186200</x:t>
  </x:si>
  <x:si>
    <x:t xml:space="preserve">873755731950</x:t>
  </x:si>
  <x:si>
    <x:t xml:space="preserve">873750602294</x:t>
  </x:si>
  <x:si>
    <x:t xml:space="preserve">873749424392</x:t>
  </x:si>
  <x:si>
    <x:t xml:space="preserve">873748387608</x:t>
  </x:si>
  <x:si>
    <x:t xml:space="preserve">873747943918</x:t>
  </x:si>
  <x:si>
    <x:t xml:space="preserve">873747342683</x:t>
  </x:si>
  <x:si>
    <x:t xml:space="preserve">873744716460</x:t>
  </x:si>
  <x:si>
    <x:t xml:space="preserve">873743038264</x:t>
  </x:si>
  <x:si>
    <x:t xml:space="preserve">873689062051</x:t>
  </x:si>
  <x:si>
    <x:t xml:space="preserve">873686666786</x:t>
  </x:si>
  <x:si>
    <x:t xml:space="preserve">873685329559</x:t>
  </x:si>
  <x:si>
    <x:t xml:space="preserve">873684283590</x:t>
  </x:si>
  <x:si>
    <x:t xml:space="preserve">873682371233</x:t>
  </x:si>
  <x:si>
    <x:t xml:space="preserve">873679799079</x:t>
  </x:si>
  <x:si>
    <x:t xml:space="preserve">873668650078</x:t>
  </x:si>
  <x:si>
    <x:t xml:space="preserve">873651415340</x:t>
  </x:si>
  <x:si>
    <x:t xml:space="preserve">873651295526</x:t>
  </x:si>
  <x:si>
    <x:t xml:space="preserve">873651184982</x:t>
  </x:si>
  <x:si>
    <x:t xml:space="preserve">873648195891</x:t>
  </x:si>
  <x:si>
    <x:t xml:space="preserve">873602771330</x:t>
  </x:si>
  <x:si>
    <x:t xml:space="preserve">873601492219</x:t>
  </x:si>
  <x:si>
    <x:t xml:space="preserve">873601056047</x:t>
  </x:si>
  <x:si>
    <x:t xml:space="preserve">873599566482</x:t>
  </x:si>
  <x:si>
    <x:t xml:space="preserve">873598300616</x:t>
  </x:si>
  <x:si>
    <x:t xml:space="preserve">873597902928</x:t>
  </x:si>
  <x:si>
    <x:t xml:space="preserve">873595316833</x:t>
  </x:si>
  <x:si>
    <x:t xml:space="preserve">873591534306</x:t>
  </x:si>
  <x:si>
    <x:t xml:space="preserve">873551801515</x:t>
  </x:si>
  <x:si>
    <x:t xml:space="preserve">873550710598</x:t>
  </x:si>
  <x:si>
    <x:t xml:space="preserve">873550060825</x:t>
  </x:si>
  <x:si>
    <x:t xml:space="preserve">873544383510</x:t>
  </x:si>
  <x:si>
    <x:t xml:space="preserve">873543285720</x:t>
  </x:si>
  <x:si>
    <x:t xml:space="preserve">873543235287</x:t>
  </x:si>
  <x:si>
    <x:t xml:space="preserve">873490306183</x:t>
  </x:si>
  <x:si>
    <x:t xml:space="preserve">873487241521</x:t>
  </x:si>
  <x:si>
    <x:t xml:space="preserve">873485268926</x:t>
  </x:si>
  <x:si>
    <x:t xml:space="preserve">873481838718</x:t>
  </x:si>
  <x:si>
    <x:t xml:space="preserve">873478624488</x:t>
  </x:si>
  <x:si>
    <x:t xml:space="preserve">873476103347</x:t>
  </x:si>
  <x:si>
    <x:t xml:space="preserve">873475760387</x:t>
  </x:si>
  <x:si>
    <x:t xml:space="preserve">873469399623</x:t>
  </x:si>
  <x:si>
    <x:t xml:space="preserve">873426897860</x:t>
  </x:si>
  <x:si>
    <x:t xml:space="preserve">873425107021</x:t>
  </x:si>
  <x:si>
    <x:t xml:space="preserve">873425039388</x:t>
  </x:si>
  <x:si>
    <x:t xml:space="preserve">873424752756</x:t>
  </x:si>
  <x:si>
    <x:t xml:space="preserve">873424570680</x:t>
  </x:si>
  <x:si>
    <x:t xml:space="preserve">873424093974</x:t>
  </x:si>
  <x:si>
    <x:t xml:space="preserve">873423033354</x:t>
  </x:si>
  <x:si>
    <x:t xml:space="preserve">873417139073</x:t>
  </x:si>
  <x:si>
    <x:t xml:space="preserve">873416411900</x:t>
  </x:si>
  <x:si>
    <x:t xml:space="preserve">873371346866</x:t>
  </x:si>
  <x:si>
    <x:t xml:space="preserve">873364626827</x:t>
  </x:si>
  <x:si>
    <x:t xml:space="preserve">873363411682</x:t>
  </x:si>
  <x:si>
    <x:t xml:space="preserve">873362675888</x:t>
  </x:si>
  <x:si>
    <x:t xml:space="preserve">873354707385</x:t>
  </x:si>
  <x:si>
    <x:t xml:space="preserve">873354490358</x:t>
  </x:si>
  <x:si>
    <x:t xml:space="preserve">873342102865</x:t>
  </x:si>
  <x:si>
    <x:t xml:space="preserve">873341905734</x:t>
  </x:si>
  <x:si>
    <x:t xml:space="preserve">873341808833</x:t>
  </x:si>
  <x:si>
    <x:t xml:space="preserve">873341053904</x:t>
  </x:si>
  <x:si>
    <x:t xml:space="preserve">873246589963</x:t>
  </x:si>
  <x:si>
    <x:t xml:space="preserve">873244180333</x:t>
  </x:si>
  <x:si>
    <x:t xml:space="preserve">873243819966</x:t>
  </x:si>
  <x:si>
    <x:t xml:space="preserve">873243276841</x:t>
  </x:si>
  <x:si>
    <x:t xml:space="preserve">873236800602</x:t>
  </x:si>
  <x:si>
    <x:t xml:space="preserve">873236734387</x:t>
  </x:si>
  <x:si>
    <x:t xml:space="preserve">873225513272</x:t>
  </x:si>
  <x:si>
    <x:t xml:space="preserve">873223702212</x:t>
  </x:si>
  <x:si>
    <x:t xml:space="preserve">873188705179</x:t>
  </x:si>
  <x:si>
    <x:t xml:space="preserve">873185409203</x:t>
  </x:si>
  <x:si>
    <x:t xml:space="preserve">873185263260</x:t>
  </x:si>
  <x:si>
    <x:t xml:space="preserve">873180402870</x:t>
  </x:si>
  <x:si>
    <x:t xml:space="preserve">873177517802</x:t>
  </x:si>
  <x:si>
    <x:t xml:space="preserve">873169813564</x:t>
  </x:si>
  <x:si>
    <x:t xml:space="preserve">873162864479</x:t>
  </x:si>
  <x:si>
    <x:t xml:space="preserve">873149110472</x:t>
  </x:si>
  <x:si>
    <x:t xml:space="preserve">873133287628</x:t>
  </x:si>
  <x:si>
    <x:t xml:space="preserve">873132283590</x:t>
  </x:si>
  <x:si>
    <x:t xml:space="preserve">873129844982</x:t>
  </x:si>
  <x:si>
    <x:t xml:space="preserve">873125800348</x:t>
  </x:si>
  <x:si>
    <x:t xml:space="preserve">873124536230</x:t>
  </x:si>
  <x:si>
    <x:t xml:space="preserve">873123390590</x:t>
  </x:si>
  <x:si>
    <x:t xml:space="preserve">873122402042</x:t>
  </x:si>
  <x:si>
    <x:t xml:space="preserve">873114830593</x:t>
  </x:si>
  <x:si>
    <x:t xml:space="preserve">873112849706</x:t>
  </x:si>
  <x:si>
    <x:t xml:space="preserve">873109425609</x:t>
  </x:si>
  <x:si>
    <x:t xml:space="preserve">873109426178</x:t>
  </x:si>
  <x:si>
    <x:t xml:space="preserve">873109425778</x:t>
  </x:si>
  <x:si>
    <x:t xml:space="preserve">873109426101</x:t>
  </x:si>
  <x:si>
    <x:t xml:space="preserve">873109423812</x:t>
  </x:si>
  <x:si>
    <x:t xml:space="preserve">873109427862</x:t>
  </x:si>
  <x:si>
    <x:t xml:space="preserve">873109425403</x:t>
  </x:si>
  <x:si>
    <x:t xml:space="preserve">873109426156</x:t>
  </x:si>
  <x:si>
    <x:t xml:space="preserve">873109423503</x:t>
  </x:si>
  <x:si>
    <x:t xml:space="preserve">873109426362</x:t>
  </x:si>
  <x:si>
    <x:t xml:space="preserve">873109426329</x:t>
  </x:si>
  <x:si>
    <x:t xml:space="preserve">873109426400</x:t>
  </x:si>
  <x:si>
    <x:t xml:space="preserve">873109426866</x:t>
  </x:si>
  <x:si>
    <x:t xml:space="preserve">873109427196</x:t>
  </x:si>
  <x:si>
    <x:t xml:space="preserve">873109427428</x:t>
  </x:si>
  <x:si>
    <x:t xml:space="preserve">873109424418</x:t>
  </x:si>
  <x:si>
    <x:t xml:space="preserve">873109425701</x:t>
  </x:si>
  <x:si>
    <x:t xml:space="preserve">873109428001</x:t>
  </x:si>
  <x:si>
    <x:t xml:space="preserve">873109426682</x:t>
  </x:si>
  <x:si>
    <x:t xml:space="preserve">873109424680</x:t>
  </x:si>
  <x:si>
    <x:t xml:space="preserve">873109425642</x:t>
  </x:si>
  <x:si>
    <x:t xml:space="preserve">873109425620</x:t>
  </x:si>
  <x:si>
    <x:t xml:space="preserve">873109426410</x:t>
  </x:si>
  <x:si>
    <x:t xml:space="preserve">873109426796</x:t>
  </x:si>
  <x:si>
    <x:t xml:space="preserve">873097759126</x:t>
  </x:si>
  <x:si>
    <x:t xml:space="preserve">873067151160</x:t>
  </x:si>
  <x:si>
    <x:t xml:space="preserve">873066802429</x:t>
  </x:si>
  <x:si>
    <x:t xml:space="preserve">873062619570</x:t>
  </x:si>
  <x:si>
    <x:t xml:space="preserve">875147813128</x:t>
  </x:si>
  <x:si>
    <x:t xml:space="preserve">875141356162</x:t>
  </x:si>
  <x:si>
    <x:t xml:space="preserve">875136838411</x:t>
  </x:si>
  <x:si>
    <x:t xml:space="preserve">875134297499</x:t>
  </x:si>
  <x:si>
    <x:t xml:space="preserve">875132753001</x:t>
  </x:si>
  <x:si>
    <x:t xml:space="preserve">875130751304</x:t>
  </x:si>
  <x:si>
    <x:t xml:space="preserve">875130496183</x:t>
  </x:si>
  <x:si>
    <x:t xml:space="preserve">875086683086</x:t>
  </x:si>
  <x:si>
    <x:t xml:space="preserve">875083885545</x:t>
  </x:si>
  <x:si>
    <x:t xml:space="preserve">875083140676</x:t>
  </x:si>
  <x:si>
    <x:t xml:space="preserve">875082163177</x:t>
  </x:si>
  <x:si>
    <x:t xml:space="preserve">875079467174</x:t>
  </x:si>
  <x:si>
    <x:t xml:space="preserve">875031214446</x:t>
  </x:si>
  <x:si>
    <x:t xml:space="preserve">875030499683</x:t>
  </x:si>
  <x:si>
    <x:t xml:space="preserve">875028998897</x:t>
  </x:si>
  <x:si>
    <x:t xml:space="preserve">875028961352</x:t>
  </x:si>
  <x:si>
    <x:t xml:space="preserve">875028256192</x:t>
  </x:si>
  <x:si>
    <x:t xml:space="preserve">875026925112</x:t>
  </x:si>
  <x:si>
    <x:t xml:space="preserve">875025668912</x:t>
  </x:si>
  <x:si>
    <x:t xml:space="preserve">875025544912</x:t>
  </x:si>
  <x:si>
    <x:t xml:space="preserve">875025330119</x:t>
  </x:si>
  <x:si>
    <x:t xml:space="preserve">875025085242</x:t>
  </x:si>
  <x:si>
    <x:t xml:space="preserve">875023902513</x:t>
  </x:si>
  <x:si>
    <x:t xml:space="preserve">875020713663</x:t>
  </x:si>
  <x:si>
    <x:t xml:space="preserve">874984443910</x:t>
  </x:si>
  <x:si>
    <x:t xml:space="preserve">874973366473</x:t>
  </x:si>
  <x:si>
    <x:t xml:space="preserve">874972476665</x:t>
  </x:si>
  <x:si>
    <x:t xml:space="preserve">874970642534</x:t>
  </x:si>
  <x:si>
    <x:t xml:space="preserve">874961321496</x:t>
  </x:si>
  <x:si>
    <x:t xml:space="preserve">874909437335</x:t>
  </x:si>
  <x:si>
    <x:t xml:space="preserve">874906233666</x:t>
  </x:si>
  <x:si>
    <x:t xml:space="preserve">874897403844</x:t>
  </x:si>
  <x:si>
    <x:t xml:space="preserve">874895163253</x:t>
  </x:si>
  <x:si>
    <x:t xml:space="preserve">874871743570</x:t>
  </x:si>
  <x:si>
    <x:t xml:space="preserve">874871197059</x:t>
  </x:si>
  <x:si>
    <x:t xml:space="preserve">874829655122</x:t>
  </x:si>
  <x:si>
    <x:t xml:space="preserve">874825347598</x:t>
  </x:si>
  <x:si>
    <x:t xml:space="preserve">874820585846</x:t>
  </x:si>
  <x:si>
    <x:t xml:space="preserve">874819305254</x:t>
  </x:si>
  <x:si>
    <x:t xml:space="preserve">874818799127</x:t>
  </x:si>
  <x:si>
    <x:t xml:space="preserve">874770576523</x:t>
  </x:si>
  <x:si>
    <x:t xml:space="preserve">874766473687</x:t>
  </x:si>
  <x:si>
    <x:t xml:space="preserve">874765539780</x:t>
  </x:si>
  <x:si>
    <x:t xml:space="preserve">874764947246</x:t>
  </x:si>
  <x:si>
    <x:t xml:space="preserve">874762837228</x:t>
  </x:si>
  <x:si>
    <x:t xml:space="preserve">874757565183</x:t>
  </x:si>
  <x:si>
    <x:t xml:space="preserve">874715484054</x:t>
  </x:si>
  <x:si>
    <x:t xml:space="preserve">874714646339</x:t>
  </x:si>
  <x:si>
    <x:t xml:space="preserve">874713748029</x:t>
  </x:si>
  <x:si>
    <x:t xml:space="preserve">874712976955</x:t>
  </x:si>
  <x:si>
    <x:t xml:space="preserve">874712418775</x:t>
  </x:si>
  <x:si>
    <x:t xml:space="preserve">874710843270</x:t>
  </x:si>
  <x:si>
    <x:t xml:space="preserve">874660302430</x:t>
  </x:si>
  <x:si>
    <x:t xml:space="preserve">874658545575</x:t>
  </x:si>
  <x:si>
    <x:t xml:space="preserve">874657686413</x:t>
  </x:si>
  <x:si>
    <x:t xml:space="preserve">874653084452</x:t>
  </x:si>
  <x:si>
    <x:t xml:space="preserve">874652959380</x:t>
  </x:si>
  <x:si>
    <x:t xml:space="preserve">874647411990</x:t>
  </x:si>
  <x:si>
    <x:t xml:space="preserve">874596029426</x:t>
  </x:si>
  <x:si>
    <x:t xml:space="preserve">874595913300</x:t>
  </x:si>
  <x:si>
    <x:t xml:space="preserve">874595862247</x:t>
  </x:si>
  <x:si>
    <x:t xml:space="preserve">874595829270</x:t>
  </x:si>
  <x:si>
    <x:t xml:space="preserve">874595766890</x:t>
  </x:si>
  <x:si>
    <x:t xml:space="preserve">874595143529</x:t>
  </x:si>
  <x:si>
    <x:t xml:space="preserve">874592682792</x:t>
  </x:si>
  <x:si>
    <x:t xml:space="preserve">874591397757</x:t>
  </x:si>
  <x:si>
    <x:t xml:space="preserve">874588862256</x:t>
  </x:si>
  <x:si>
    <x:t xml:space="preserve">874587829088</x:t>
  </x:si>
  <x:si>
    <x:t xml:space="preserve">874587773324</x:t>
  </x:si>
  <x:si>
    <x:t xml:space="preserve">874586407410</x:t>
  </x:si>
  <x:si>
    <x:t xml:space="preserve">874585659895</x:t>
  </x:si>
  <x:si>
    <x:t xml:space="preserve">874563668509</x:t>
  </x:si>
  <x:si>
    <x:t xml:space="preserve">874517506130</x:t>
  </x:si>
  <x:si>
    <x:t xml:space="preserve">874516692368</x:t>
  </x:si>
  <x:si>
    <x:t xml:space="preserve">874515937995</x:t>
  </x:si>
  <x:si>
    <x:t xml:space="preserve">874515197234</x:t>
  </x:si>
  <x:si>
    <x:t xml:space="preserve">874514671390</x:t>
  </x:si>
  <x:si>
    <x:t xml:space="preserve">874499950834</x:t>
  </x:si>
  <x:si>
    <x:t xml:space="preserve">874462330644</x:t>
  </x:si>
  <x:si>
    <x:t xml:space="preserve">874461667390</x:t>
  </x:si>
  <x:si>
    <x:t xml:space="preserve">874461107975</x:t>
  </x:si>
  <x:si>
    <x:t xml:space="preserve">874457397667</x:t>
  </x:si>
  <x:si>
    <x:t xml:space="preserve">874456457692</x:t>
  </x:si>
  <x:si>
    <x:t xml:space="preserve">874454755548</x:t>
  </x:si>
  <x:si>
    <x:t xml:space="preserve">874454129625</x:t>
  </x:si>
  <x:si>
    <x:t xml:space="preserve">874413246789</x:t>
  </x:si>
  <x:si>
    <x:t xml:space="preserve">874409838052</x:t>
  </x:si>
  <x:si>
    <x:t xml:space="preserve">874409571020</x:t>
  </x:si>
  <x:si>
    <x:t xml:space="preserve">874406749367</x:t>
  </x:si>
  <x:si>
    <x:t xml:space="preserve">874406439920</x:t>
  </x:si>
  <x:si>
    <x:t xml:space="preserve">874405572227</x:t>
  </x:si>
  <x:si>
    <x:t xml:space="preserve">874403929269</x:t>
  </x:si>
  <x:si>
    <x:t xml:space="preserve">874402086860</x:t>
  </x:si>
  <x:si>
    <x:t xml:space="preserve">874401213522</x:t>
  </x:si>
  <x:si>
    <x:t xml:space="preserve">874399921537</x:t>
  </x:si>
  <x:si>
    <x:t xml:space="preserve">874399527902</x:t>
  </x:si>
  <x:si>
    <x:t xml:space="preserve">874356934394</x:t>
  </x:si>
  <x:si>
    <x:t xml:space="preserve">874354963354</x:t>
  </x:si>
  <x:si>
    <x:t xml:space="preserve">874352788599</x:t>
  </x:si>
  <x:si>
    <x:t xml:space="preserve">874350386169</x:t>
  </x:si>
  <x:si>
    <x:t xml:space="preserve">874349396659</x:t>
  </x:si>
  <x:si>
    <x:t xml:space="preserve">874350305338</x:t>
  </x:si>
  <x:si>
    <x:t xml:space="preserve">874290703451</x:t>
  </x:si>
  <x:si>
    <x:t xml:space="preserve">874289169525</x:t>
  </x:si>
  <x:si>
    <x:t xml:space="preserve">874288041990</x:t>
  </x:si>
  <x:si>
    <x:t xml:space="preserve">874284543204</x:t>
  </x:si>
  <x:si>
    <x:t xml:space="preserve">874284365236</x:t>
  </x:si>
  <x:si>
    <x:t xml:space="preserve">874283142645</x:t>
  </x:si>
  <x:si>
    <x:t xml:space="preserve">874280719368</x:t>
  </x:si>
  <x:si>
    <x:t xml:space="preserve">874276968840</x:t>
  </x:si>
  <x:si>
    <x:t xml:space="preserve">874252749187</x:t>
  </x:si>
  <x:si>
    <x:t xml:space="preserve">874207551259</x:t>
  </x:si>
  <x:si>
    <x:t xml:space="preserve">874206828837</x:t>
  </x:si>
  <x:si>
    <x:t xml:space="preserve">874206087834</x:t>
  </x:si>
  <x:si>
    <x:t xml:space="preserve">874202849656</x:t>
  </x:si>
  <x:si>
    <x:t xml:space="preserve">874200404197</x:t>
  </x:si>
  <x:si>
    <x:t xml:space="preserve">874199745095</x:t>
  </x:si>
  <x:si>
    <x:t xml:space="preserve">874199056704</x:t>
  </x:si>
  <x:si>
    <x:t xml:space="preserve">874150247998</x:t>
  </x:si>
  <x:si>
    <x:t xml:space="preserve">874148614747</x:t>
  </x:si>
  <x:si>
    <x:t xml:space="preserve">874147241971</x:t>
  </x:si>
  <x:si>
    <x:t xml:space="preserve">874146533931</x:t>
  </x:si>
  <x:si>
    <x:t xml:space="preserve">874145467698</x:t>
  </x:si>
  <x:si>
    <x:t xml:space="preserve">874145228294</x:t>
  </x:si>
  <x:si>
    <x:t xml:space="preserve">874143420642</x:t>
  </x:si>
  <x:si>
    <x:t xml:space="preserve">874140339270</x:t>
  </x:si>
  <x:si>
    <x:t xml:space="preserve">874095894992</x:t>
  </x:si>
  <x:si>
    <x:t xml:space="preserve">874095731138</x:t>
  </x:si>
  <x:si>
    <x:t xml:space="preserve">874095660326</x:t>
  </x:si>
  <x:si>
    <x:t xml:space="preserve">874095581056</x:t>
  </x:si>
  <x:si>
    <x:t xml:space="preserve">874094969130</x:t>
  </x:si>
  <x:si>
    <x:t xml:space="preserve">874088892027</x:t>
  </x:si>
  <x:si>
    <x:t xml:space="preserve">874087725260</x:t>
  </x:si>
  <x:si>
    <x:t xml:space="preserve">874087509761</x:t>
  </x:si>
  <x:si>
    <x:t xml:space="preserve">874086007450</x:t>
  </x:si>
  <x:si>
    <x:t xml:space="preserve">874085878859</x:t>
  </x:si>
  <x:si>
    <x:t xml:space="preserve">874085323892</x:t>
  </x:si>
  <x:si>
    <x:t xml:space="preserve">874085171465</x:t>
  </x:si>
  <x:si>
    <x:t xml:space="preserve">874085169204</x:t>
  </x:si>
  <x:si>
    <x:t xml:space="preserve">874042653905</x:t>
  </x:si>
  <x:si>
    <x:t xml:space="preserve">874039858376</x:t>
  </x:si>
  <x:si>
    <x:t xml:space="preserve">874036973093</x:t>
  </x:si>
  <x:si>
    <x:t xml:space="preserve">874033170005</x:t>
  </x:si>
  <x:si>
    <x:t xml:space="preserve">874031949101</x:t>
  </x:si>
  <x:si>
    <x:t xml:space="preserve">874031007832</x:t>
  </x:si>
  <x:si>
    <x:t xml:space="preserve">874028982045</x:t>
  </x:si>
  <x:si>
    <x:t xml:space="preserve">874027781816</x:t>
  </x:si>
  <x:si>
    <x:t xml:space="preserve">874026150582</x:t>
  </x:si>
  <x:si>
    <x:t xml:space="preserve">874009375269</x:t>
  </x:si>
  <x:si>
    <x:t xml:space="preserve">873982034526</x:t>
  </x:si>
  <x:si>
    <x:t xml:space="preserve">873970977872</x:t>
  </x:si>
  <x:si>
    <x:t xml:space="preserve">873968966408</x:t>
  </x:si>
  <x:si>
    <x:t xml:space="preserve">873967903896</x:t>
  </x:si>
  <x:si>
    <x:t xml:space="preserve">873966246974</x:t>
  </x:si>
  <x:si>
    <x:t xml:space="preserve">873965250992</x:t>
  </x:si>
  <x:si>
    <x:t xml:space="preserve">873964145814</x:t>
  </x:si>
  <x:si>
    <x:t xml:space="preserve">873964041286</x:t>
  </x:si>
  <x:si>
    <x:t xml:space="preserve">873963892087</x:t>
  </x:si>
  <x:si>
    <x:t xml:space="preserve">873963408616</x:t>
  </x:si>
  <x:si>
    <x:t xml:space="preserve">873956334836</x:t>
  </x:si>
  <x:si>
    <x:t xml:space="preserve">873942029979</x:t>
  </x:si>
  <x:si>
    <x:t xml:space="preserve">873941715541</x:t>
  </x:si>
  <x:si>
    <x:t xml:space="preserve">873941111469</x:t>
  </x:si>
  <x:si>
    <x:t xml:space="preserve">873915271930</x:t>
  </x:si>
  <x:si>
    <x:t xml:space="preserve">873914785670</x:t>
  </x:si>
  <x:si>
    <x:t xml:space="preserve">873913263995</x:t>
  </x:si>
  <x:si>
    <x:t xml:space="preserve">873910736860</x:t>
  </x:si>
  <x:si>
    <x:t xml:space="preserve">873910359390</x:t>
  </x:si>
  <x:si>
    <x:t xml:space="preserve">873909174173</x:t>
  </x:si>
  <x:si>
    <x:t xml:space="preserve">873867357360</x:t>
  </x:si>
  <x:si>
    <x:t xml:space="preserve">873866458032</x:t>
  </x:si>
  <x:si>
    <x:t xml:space="preserve">873861801661</x:t>
  </x:si>
  <x:si>
    <x:t xml:space="preserve">873861658919</x:t>
  </x:si>
  <x:si>
    <x:t xml:space="preserve">873857958281</x:t>
  </x:si>
  <x:si>
    <x:t xml:space="preserve">873857594738</x:t>
  </x:si>
  <x:si>
    <x:t xml:space="preserve">873857232775</x:t>
  </x:si>
  <x:si>
    <x:t xml:space="preserve">873857070792</x:t>
  </x:si>
  <x:si>
    <x:t xml:space="preserve">873856999804</x:t>
  </x:si>
  <x:si>
    <x:t xml:space="preserve">873856906303</x:t>
  </x:si>
  <x:si>
    <x:t xml:space="preserve">873855911898</x:t>
  </x:si>
  <x:si>
    <x:t xml:space="preserve">873814694782</x:t>
  </x:si>
  <x:si>
    <x:t xml:space="preserve">873812786100</x:t>
  </x:si>
  <x:si>
    <x:t xml:space="preserve">873809596522</x:t>
  </x:si>
  <x:si>
    <x:t xml:space="preserve">873808852054</x:t>
  </x:si>
  <x:si>
    <x:t xml:space="preserve">873807141577</x:t>
  </x:si>
  <x:si>
    <x:t xml:space="preserve">873806431486</x:t>
  </x:si>
  <x:si>
    <x:t xml:space="preserve">873805604665</x:t>
  </x:si>
  <x:si>
    <x:t xml:space="preserve">873804755283</x:t>
  </x:si>
  <x:si>
    <x:t xml:space="preserve">873804075069</x:t>
  </x:si>
  <x:si>
    <x:t xml:space="preserve">873803439087</x:t>
  </x:si>
  <x:si>
    <x:t xml:space="preserve">872732293053</x:t>
  </x:si>
  <x:si>
    <x:t xml:space="preserve">872831064790</x:t>
  </x:si>
</x:sst>
</file>

<file path=xl/styles.xml><?xml version="1.0" encoding="utf-8"?>
<x:styleSheet xmlns:x="http://schemas.openxmlformats.org/spreadsheetml/2006/main">
  <x:numFmts count="2">
    <x:numFmt numFmtId="26" formatCode="\$#,##0.00_);[Red]\(\$#,##0.00\)"/>
    <x:numFmt numFmtId="176" formatCode="\$#,##0.00;\-\$#,##0.00"/>
  </x:numFmts>
  <x:fonts count="6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b/>
      <x:sz val="14"/>
      <x:name val="等线"/>
      <x:family val="3"/>
      <x:scheme val="minor"/>
    </x:font>
    <x:font>
      <x:b/>
      <x:sz val="14"/>
      <x:color theme="1"/>
      <x:name val="等线"/>
      <x:family val="3"/>
      <x:scheme val="minor"/>
    </x:font>
    <x:font>
      <x:b/>
      <x:sz val="14"/>
      <x:color indexed="8"/>
      <x:name val="等线"/>
      <x:family val="3"/>
      <x:scheme val="minor"/>
    </x:font>
    <x:font>
      <x:b/>
      <x:sz val="11"/>
      <x:color rgb="FFFFFFFF"/>
      <x:name val="等线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284B63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2" fillId="2" borderId="1" xfId="0" applyFont="1" applyFill="1" applyBorder="1" applyAlignment="1">
      <x:alignment horizontal="center" vertical="center" wrapText="1"/>
    </x:xf>
    <x:xf numFmtId="0" fontId="2" fillId="0" borderId="0" xfId="0" applyFont="1"/>
    <x:xf numFmtId="0" fontId="3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4" fillId="0" borderId="0" xfId="0" applyFont="1" applyAlignment="1">
      <x:alignment vertical="center"/>
    </x:xf>
    <x:xf numFmtId="26" fontId="2" fillId="2" borderId="1" xfId="0" applyNumberFormat="1" applyFont="1" applyFill="1" applyBorder="1" applyAlignment="1">
      <x:alignment horizontal="center" vertical="center" wrapText="1"/>
    </x:xf>
    <x:xf numFmtId="26" fontId="3" fillId="0" borderId="0" xfId="0" applyNumberFormat="1" applyFont="1" applyAlignment="1">
      <x:alignment vertical="center"/>
    </x:xf>
    <x:xf numFmtId="26" fontId="4" fillId="0" borderId="0" xfId="0" applyNumberFormat="1" applyFont="1" applyAlignment="1">
      <x:alignment vertical="center"/>
    </x:xf>
    <x:xf numFmtId="26" fontId="3" fillId="0" borderId="0" xfId="0" applyNumberFormat="1" applyFont="1" applyAlignment="1">
      <x:alignment horizontal="center" vertical="center"/>
    </x:xf>
    <x:xf numFmtId="26" fontId="0" fillId="0" borderId="0" xfId="0" applyNumberFormat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常规" xfId="0"/>
  </x:cellStyles>
  <x:dxfs count="3"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26493d10b4f59" /><Relationship Type="http://schemas.openxmlformats.org/officeDocument/2006/relationships/theme" Target="/xl/theme/theme1.xml" Id="R40686fa750cc4f41" /><Relationship Type="http://schemas.openxmlformats.org/officeDocument/2006/relationships/sharedStrings" Target="/xl/sharedStrings.xml" Id="Rc8b8106138734d75" /><Relationship Type="http://schemas.openxmlformats.org/officeDocument/2006/relationships/worksheet" Target="/xl/worksheets/sheet1.xml" Id="Rbaa4ce25356e42d3" /><Relationship Type="http://schemas.openxmlformats.org/officeDocument/2006/relationships/worksheet" Target="/xl/worksheets/sheet2.xml" Id="Rb70d984b350e4f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19.125" customWidth="1"/>
    <x:col min="2" max="2" width="14.375" customWidth="1"/>
    <x:col min="3" max="3" width="15.25" style="10" customWidth="1"/>
    <x:col min="4" max="4" width="13.75" style="10" customWidth="1"/>
    <x:col min="5" max="5" width="24" hidden="0" customWidth="1"/>
    <x:col min="6" max="6" width="25" hidden="0" customWidth="1"/>
    <x:col min="7" max="7" width="38" hidden="0" customWidth="1"/>
    <x:col min="8" max="8" width="27" hidden="0" customWidth="1"/>
    <x:col min="9" max="9" width="23" hidden="0" customWidth="1"/>
  </x:cols>
  <x:sheetData>
    <x:row r="1" ht="32" customHeight="1">
      <x:c r="A1" s="1" t="s">
        <x:v>0</x:v>
      </x:c>
      <x:c r="B1" s="1" t="s">
        <x:v>1</x:v>
      </x:c>
      <x:c r="C1" s="6" t="s">
        <x:v>2</x:v>
      </x:c>
      <x:c r="D1" s="6" t="s">
        <x:v>3</x:v>
      </x:c>
      <x:c r="E1" s="13" t="str">
        <x:v>机型（收货记录）</x:v>
      </x:c>
      <x:c r="F1" s="13" t="str">
        <x:v>匹配状态</x:v>
      </x:c>
      <x:c r="G1" s="13" t="str">
        <x:v>SN（收货记录）</x:v>
      </x:c>
      <x:c r="H1" s="13" t="str">
        <x:v>RMA编号</x:v>
      </x:c>
      <x:c r="I1" s="13" t="str">
        <x:v>收货记录CSV行号</x:v>
      </x:c>
    </x:row>
    <x:row r="2" ht="18">
      <x:c r="A2" s="3" t="s">
        <x:v>4</x:v>
      </x:c>
      <x:c r="B2" s="4">
        <x:v>59.37</x:v>
      </x:c>
      <x:c r="C2" s="7">
        <x:v>120.637</x:v>
      </x:c>
      <x:c r="D2" s="7" t="n">
        <x:f>C2-B2</x:f>
        <x:v>61.267</x:v>
      </x:c>
      <x:c r="E2" t="str">
        <x:v>EL200V2</x:v>
      </x:c>
      <x:c r="F2" t="str">
        <x:v>已匹配</x:v>
      </x:c>
      <x:c r="G2" t="str">
        <x:v>Elite 200 V22543139430611</x:v>
      </x:c>
      <x:c r="H2" t="str">
        <x:v>LOG-SRD26070872</x:v>
      </x:c>
      <x:c r="I2" t="str">
        <x:v>2458</x:v>
      </x:c>
    </x:row>
    <x:row r="3" ht="18">
      <x:c r="A3" s="3" t="s">
        <x:v>5</x:v>
      </x:c>
      <x:c r="B3" s="4">
        <x:v>24.44</x:v>
      </x:c>
      <x:c r="C3" s="7">
        <x:v>29.073</x:v>
      </x:c>
      <x:c r="D3" s="7" t="n">
        <x:f>C3-B3</x:f>
        <x:v>4.632999999999999</x:v>
      </x:c>
      <x:c r="E3" t="str">
        <x:v>AC70</x:v>
      </x:c>
      <x:c r="F3" t="str">
        <x:v>已匹配</x:v>
      </x:c>
      <x:c r="G3" t="str">
        <x:v>AC702540000234211</x:v>
      </x:c>
      <x:c r="H3" t="str">
        <x:v>LOG-SRD26070862</x:v>
      </x:c>
      <x:c r="I3" t="str">
        <x:v>2521</x:v>
      </x:c>
    </x:row>
    <x:row r="4" ht="18">
      <x:c r="A4" s="3" t="s">
        <x:v>6</x:v>
      </x:c>
      <x:c r="B4" s="4">
        <x:v>24.44</x:v>
      </x:c>
      <x:c r="C4" s="7">
        <x:v>29.128</x:v>
      </x:c>
      <x:c r="D4" s="7" t="n">
        <x:f>C4-B4</x:f>
        <x:v>4.687999999999999</x:v>
      </x:c>
      <x:c r="E4" t="str">
        <x:v>AC70</x:v>
      </x:c>
      <x:c r="F4" t="str">
        <x:v>已匹配</x:v>
      </x:c>
      <x:c r="G4" t="str">
        <x:v>AC702540001750146</x:v>
      </x:c>
      <x:c r="H4" t="str">
        <x:v>LOG-SRD26063322</x:v>
      </x:c>
      <x:c r="I4" t="str">
        <x:v>2402</x:v>
      </x:c>
    </x:row>
    <x:row r="5" ht="18">
      <x:c r="A5" s="3" t="s">
        <x:v>7</x:v>
      </x:c>
      <x:c r="B5" s="4">
        <x:v>45.03</x:v>
      </x:c>
      <x:c r="C5" s="7">
        <x:v>49.313000000000002</x:v>
      </x:c>
      <x:c r="D5" s="7" t="n">
        <x:f>C5-B5</x:f>
        <x:v>4.283000000000001</x:v>
      </x:c>
      <x:c r="E5" t="str">
        <x:v>AC180</x:v>
      </x:c>
      <x:c r="F5" t="str">
        <x:v>已匹配</x:v>
      </x:c>
      <x:c r="G5" t="str">
        <x:v>AC1802521100705900</x:v>
      </x:c>
      <x:c r="H5" t="str">
        <x:v>LOG-SRL26063308</x:v>
      </x:c>
      <x:c r="I5" t="str">
        <x:v>2415</x:v>
      </x:c>
    </x:row>
    <x:row r="6" ht="18">
      <x:c r="A6" s="3" t="s">
        <x:v>8</x:v>
      </x:c>
      <x:c r="B6" s="4">
        <x:v>26.25</x:v>
      </x:c>
      <x:c r="C6" s="7">
        <x:v>29.073</x:v>
      </x:c>
      <x:c r="D6" s="7" t="n">
        <x:f>C6-B6</x:f>
        <x:v>2.8230000000000004</x:v>
      </x:c>
      <x:c r="E6" t="str">
        <x:v>EL100V2</x:v>
      </x:c>
      <x:c r="F6" t="str">
        <x:v>已匹配</x:v>
      </x:c>
      <x:c r="G6" t="str">
        <x:v>EL100V22542003222246</x:v>
      </x:c>
      <x:c r="H6" t="str">
        <x:v>LOG-SRL26063289</x:v>
      </x:c>
      <x:c r="I6" t="str">
        <x:v>2526</x:v>
      </x:c>
    </x:row>
    <x:row r="7" ht="18">
      <x:c r="A7" s="3" t="s">
        <x:v>9</x:v>
      </x:c>
      <x:c r="B7" s="4">
        <x:v>32.28</x:v>
      </x:c>
      <x:c r="C7" s="7">
        <x:v>36.509</x:v>
      </x:c>
      <x:c r="D7" s="7" t="n">
        <x:f>C7-B7</x:f>
        <x:v>4.228999999999999</x:v>
      </x:c>
      <x:c r="E7" t="str">
        <x:v>EL100V2</x:v>
      </x:c>
      <x:c r="F7" t="str">
        <x:v>已匹配</x:v>
      </x:c>
      <x:c r="G7" t="str">
        <x:v>EL100V22543331262852</x:v>
      </x:c>
      <x:c r="H7" t="str">
        <x:v>LOG-SRL26063286</x:v>
      </x:c>
      <x:c r="I7" t="str">
        <x:v>2429</x:v>
      </x:c>
    </x:row>
    <x:row r="8" ht="18">
      <x:c r="A8" s="3" t="s">
        <x:v>10</x:v>
      </x:c>
      <x:c r="B8" s="4">
        <x:v>36.51</x:v>
      </x:c>
      <x:c r="C8" s="7">
        <x:v>41.106999999999999</x:v>
      </x:c>
      <x:c r="D8" s="7" t="n">
        <x:f>C8-B8</x:f>
        <x:v>4.597000000000001</x:v>
      </x:c>
      <x:c r="E8" t="str">
        <x:v>AC180</x:v>
      </x:c>
      <x:c r="F8" t="str">
        <x:v>已匹配</x:v>
      </x:c>
      <x:c r="G8" t="str">
        <x:v>AC1802451000794146</x:v>
      </x:c>
      <x:c r="H8" t="str">
        <x:v>LOG-SRL26063282</x:v>
      </x:c>
      <x:c r="I8" t="str">
        <x:v>2396</x:v>
      </x:c>
    </x:row>
    <x:row r="9" ht="18">
      <x:c r="A9" s="3" t="s">
        <x:v>11</x:v>
      </x:c>
      <x:c r="B9" s="4">
        <x:v>97.4</x:v>
      </x:c>
      <x:c r="C9" s="7">
        <x:v>99.725999999999999</x:v>
      </x:c>
      <x:c r="D9" s="7" t="n">
        <x:f>C9-B9</x:f>
        <x:v>2.3259999999999934</x:v>
      </x:c>
      <x:c r="E9" t="str">
        <x:v>EL300</x:v>
      </x:c>
      <x:c r="F9" t="str">
        <x:v>已匹配</x:v>
      </x:c>
      <x:c r="G9" t="str">
        <x:v>EL3002613132562620</x:v>
      </x:c>
      <x:c r="H9" t="str">
        <x:v>LOG-SRL26063256</x:v>
      </x:c>
      <x:c r="I9" t="str">
        <x:v>2391</x:v>
      </x:c>
    </x:row>
    <x:row r="10" ht="18">
      <x:c r="A10" s="3" t="s">
        <x:v>12</x:v>
      </x:c>
      <x:c r="B10" s="4">
        <x:v>25.79</x:v>
      </x:c>
      <x:c r="C10" s="7">
        <x:v>50.423999999999999</x:v>
      </x:c>
      <x:c r="D10" s="7" t="n">
        <x:f>C10-B10</x:f>
        <x:v>24.634</x:v>
      </x:c>
      <x:c r="E10" t="str">
        <x:v>PV350</x:v>
      </x:c>
      <x:c r="F10" t="str">
        <x:v>已匹配</x:v>
      </x:c>
      <x:c r="G10" t="str">
        <x:v>DGM2524PV350D00662</x:v>
      </x:c>
      <x:c r="H10" t="str">
        <x:v>LOG-SRD26073974</x:v>
      </x:c>
      <x:c r="I10" t="str">
        <x:v>2903</x:v>
      </x:c>
    </x:row>
    <x:row r="11" ht="18">
      <x:c r="A11" s="3" t="s">
        <x:v>13</x:v>
      </x:c>
      <x:c r="B11" s="4">
        <x:v>23.06</x:v>
      </x:c>
      <x:c r="C11" s="7">
        <x:v>25.806000000000001</x:v>
      </x:c>
      <x:c r="D11" s="7" t="n">
        <x:f>C11-B11</x:f>
        <x:v>2.746000000000002</x:v>
      </x:c>
      <x:c r="E11" t="str">
        <x:v>EL100</x:v>
      </x:c>
      <x:c r="F11" t="str">
        <x:v>已匹配</x:v>
      </x:c>
      <x:c r="G11" t="str">
        <x:v>EL100V22525020514468</x:v>
      </x:c>
      <x:c r="H11" t="str">
        <x:v>LOG-SRL26063144</x:v>
      </x:c>
      <x:c r="I11" t="str">
        <x:v>2388</x:v>
      </x:c>
    </x:row>
    <x:row r="12" ht="18">
      <x:c r="A12" s="3" t="s">
        <x:v>14</x:v>
      </x:c>
      <x:c r="B12" s="4">
        <x:v>21.27</x:v>
      </x:c>
      <x:c r="C12" s="7">
        <x:v>23.771000000000001</x:v>
      </x:c>
      <x:c r="D12" s="7" t="n">
        <x:f>C12-B12</x:f>
        <x:v>2.5010000000000012</x:v>
      </x:c>
      <x:c r="E12" t="str">
        <x:v>EL30V2</x:v>
      </x:c>
      <x:c r="F12" t="str">
        <x:v>已匹配</x:v>
      </x:c>
      <x:c r="G12" t="str">
        <x:v>EL30V22550131226061</x:v>
      </x:c>
      <x:c r="H12"/>
      <x:c r="I12" t="str">
        <x:v>2720</x:v>
      </x:c>
    </x:row>
    <x:row r="13" ht="18">
      <x:c r="A13" s="3" t="s">
        <x:v>15</x:v>
      </x:c>
      <x:c r="B13" s="4">
        <x:v>36.51</x:v>
      </x:c>
      <x:c r="C13" s="7">
        <x:v>55.594000000000001</x:v>
      </x:c>
      <x:c r="D13" s="7" t="n">
        <x:f>C13-B13</x:f>
        <x:v>19.084000000000003</x:v>
      </x:c>
      <x:c r="E13" t="str">
        <x:v>AC180</x:v>
      </x:c>
      <x:c r="F13" t="str">
        <x:v>已匹配</x:v>
      </x:c>
      <x:c r="G13" t="str">
        <x:v>AC1802441000095273</x:v>
      </x:c>
      <x:c r="H13" t="str">
        <x:v>LOG-SRL26063299</x:v>
      </x:c>
      <x:c r="I13" t="str">
        <x:v>2450</x:v>
      </x:c>
    </x:row>
    <x:row r="14" ht="18">
      <x:c r="A14" s="3" t="s">
        <x:v>16</x:v>
      </x:c>
      <x:c r="B14" s="4">
        <x:v>30.19</x:v>
      </x:c>
      <x:c r="C14" s="7">
        <x:v>33.725999999999999</x:v>
      </x:c>
      <x:c r="D14" s="7" t="n">
        <x:f>C14-B14</x:f>
        <x:v>3.535999999999998</x:v>
      </x:c>
      <x:c r="E14" t="str">
        <x:v>AC180</x:v>
      </x:c>
      <x:c r="F14" t="str">
        <x:v>已匹配</x:v>
      </x:c>
      <x:c r="G14" t="str">
        <x:v>AC1802438001442972</x:v>
      </x:c>
      <x:c r="H14" t="str">
        <x:v>LOG-SRL26063100</x:v>
      </x:c>
      <x:c r="I14" t="str">
        <x:v>2359</x:v>
      </x:c>
    </x:row>
    <x:row r="15" ht="18">
      <x:c r="A15" s="3" t="s">
        <x:v>17</x:v>
      </x:c>
      <x:c r="B15" s="4">
        <x:v>29.94</x:v>
      </x:c>
      <x:c r="C15" s="7">
        <x:v>33.384999999999998</x:v>
      </x:c>
      <x:c r="D15" s="7" t="n">
        <x:f>C15-B15</x:f>
        <x:v>3.4449999999999967</x:v>
      </x:c>
      <x:c r="E15" t="str">
        <x:v>AC70</x:v>
      </x:c>
      <x:c r="F15" t="str">
        <x:v>已匹配</x:v>
      </x:c>
      <x:c r="G15" t="str">
        <x:v>AC702337000393011</x:v>
      </x:c>
      <x:c r="H15" t="str">
        <x:v>LOG-CRP26063084</x:v>
      </x:c>
      <x:c r="I15" t="str">
        <x:v>2471</x:v>
      </x:c>
    </x:row>
    <x:row r="16" ht="18">
      <x:c r="A16" s="3" t="s">
        <x:v>18</x:v>
      </x:c>
      <x:c r="B16" s="4">
        <x:v>22.63</x:v>
      </x:c>
      <x:c r="C16" s="7">
        <x:v>25.806000000000001</x:v>
      </x:c>
      <x:c r="D16" s="7" t="n">
        <x:f>C16-B16</x:f>
        <x:v>3.176000000000002</x:v>
      </x:c>
      <x:c r="E16" t="str">
        <x:v>EL100V2</x:v>
      </x:c>
      <x:c r="F16" t="str">
        <x:v>已匹配</x:v>
      </x:c>
      <x:c r="G16" t="str">
        <x:v>EL100V22541000218106</x:v>
      </x:c>
      <x:c r="H16" t="str">
        <x:v>LOG-SRL26063064</x:v>
      </x:c>
      <x:c r="I16" t="str">
        <x:v>2400</x:v>
      </x:c>
    </x:row>
    <x:row r="17" ht="18">
      <x:c r="A17" s="3" t="s">
        <x:v>19</x:v>
      </x:c>
      <x:c r="B17" s="4">
        <x:v>22.56</x:v>
      </x:c>
      <x:c r="C17" s="7">
        <x:v>42.030999999999999</x:v>
      </x:c>
      <x:c r="D17" s="7" t="n">
        <x:f>C17-B17</x:f>
        <x:v>19.471</x:v>
      </x:c>
      <x:c r="E17" t="str">
        <x:v>RV5</x:v>
      </x:c>
      <x:c r="F17" t="str">
        <x:v>已匹配</x:v>
      </x:c>
      <x:c r="G17" t="str">
        <x:v>RV52534020622093</x:v>
      </x:c>
      <x:c r="H17" t="str">
        <x:v>LOG-SRD26063011</x:v>
      </x:c>
      <x:c r="I17" t="str">
        <x:v>2431</x:v>
      </x:c>
    </x:row>
    <x:row r="18" ht="18">
      <x:c r="A18" s="3" t="s">
        <x:v>20</x:v>
      </x:c>
      <x:c r="B18" s="4">
        <x:v>23.53</x:v>
      </x:c>
      <x:c r="C18" s="7">
        <x:v>140.66800000000001</x:v>
      </x:c>
      <x:c r="D18" s="7" t="n">
        <x:f>C18-B18</x:f>
        <x:v>117.138</x:v>
      </x:c>
      <x:c r="E18" t="str">
        <x:v>AC200M</x:v>
      </x:c>
      <x:c r="F18" t="str">
        <x:v>已匹配</x:v>
      </x:c>
      <x:c r="G18" t="str">
        <x:v>AC200M2342001617281</x:v>
      </x:c>
      <x:c r="H18" t="str">
        <x:v>LOG-CRP26063079</x:v>
      </x:c>
      <x:c r="I18" t="str">
        <x:v>2572</x:v>
      </x:c>
    </x:row>
    <x:row r="19" ht="18">
      <x:c r="A19" s="3" t="s">
        <x:v>21</x:v>
      </x:c>
      <x:c r="B19" s="4">
        <x:v>85.85</x:v>
      </x:c>
      <x:c r="C19" s="7">
        <x:v>89.165999999999997</x:v>
      </x:c>
      <x:c r="D19" s="7" t="n">
        <x:f>C19-B19</x:f>
        <x:v>3.3160000000000025</x:v>
      </x:c>
      <x:c r="E19" t="str">
        <x:v>EL300</x:v>
      </x:c>
      <x:c r="F19" t="str">
        <x:v>已匹配</x:v>
      </x:c>
      <x:c r="G19" t="str">
        <x:v>EL3002613132466776</x:v>
      </x:c>
      <x:c r="H19" t="str">
        <x:v>LOG-SRD26070406</x:v>
      </x:c>
      <x:c r="I19" t="str">
        <x:v>2385</x:v>
      </x:c>
    </x:row>
    <x:row r="20" ht="18">
      <x:c r="A20" s="3" t="s">
        <x:v>22</x:v>
      </x:c>
      <x:c r="B20" s="4">
        <x:v>17.75</x:v>
      </x:c>
      <x:c r="C20" s="7">
        <x:v>19.931999999999999</x:v>
      </x:c>
      <x:c r="D20" s="7" t="n">
        <x:f>C20-B20</x:f>
        <x:v>2.1819999999999986</x:v>
      </x:c>
      <x:c r="E20" t="str">
        <x:v>AC50B</x:v>
      </x:c>
      <x:c r="F20" t="str">
        <x:v>已匹配</x:v>
      </x:c>
      <x:c r="G20" t="str">
        <x:v>AC50B2547131580192</x:v>
      </x:c>
      <x:c r="H20" t="str">
        <x:v>LOG-SRD26063067</x:v>
      </x:c>
      <x:c r="I20" t="str">
        <x:v>2351</x:v>
      </x:c>
    </x:row>
    <x:row r="21" ht="18">
      <x:c r="A21" s="3" t="s">
        <x:v>23</x:v>
      </x:c>
      <x:c r="B21" s="4">
        <x:v>85.85</x:v>
      </x:c>
      <x:c r="C21" s="7">
        <x:v>88.891000000000005</x:v>
      </x:c>
      <x:c r="D21" s="7" t="n">
        <x:f>C21-B21</x:f>
        <x:v>3.041000000000011</x:v>
      </x:c>
      <x:c r="E21" t="str">
        <x:v>EL300</x:v>
      </x:c>
      <x:c r="F21" t="str">
        <x:v>已匹配</x:v>
      </x:c>
      <x:c r="G21" t="str">
        <x:v>EL3002613135059172</x:v>
      </x:c>
      <x:c r="H21" t="str">
        <x:v>LOG-SRL26062972</x:v>
      </x:c>
      <x:c r="I21" t="str">
        <x:v>2376</x:v>
      </x:c>
    </x:row>
    <x:row r="22" ht="18">
      <x:c r="A22" s="3" t="s">
        <x:v>24</x:v>
      </x:c>
      <x:c r="B22" s="4">
        <x:v>18.829999999999998</x:v>
      </x:c>
      <x:c r="C22" s="7">
        <x:v>33.176000000000002</x:v>
      </x:c>
      <x:c r="D22" s="7" t="n">
        <x:f>C22-B22</x:f>
        <x:v>14.346000000000004</x:v>
      </x:c>
      <x:c r="E22" t="str">
        <x:v>AB3A</x:v>
      </x:c>
      <x:c r="F22" t="str">
        <x:v>已匹配</x:v>
      </x:c>
      <x:c r="G22" t="str">
        <x:v>EB3A2438003052560</x:v>
      </x:c>
      <x:c r="H22" t="str">
        <x:v>无源头退货已入库</x:v>
      </x:c>
      <x:c r="I22" t="str">
        <x:v>2486</x:v>
      </x:c>
    </x:row>
    <x:row r="23" ht="18">
      <x:c r="A23" s="3" t="s">
        <x:v>25</x:v>
      </x:c>
      <x:c r="B23" s="4">
        <x:v>46.88</x:v>
      </x:c>
      <x:c r="C23" s="7">
        <x:v>49.115000000000002</x:v>
      </x:c>
      <x:c r="D23" s="7" t="n">
        <x:f>C23-B23</x:f>
        <x:v>2.2349999999999994</x:v>
      </x:c>
      <x:c r="E23" t="str">
        <x:v>EL100V2</x:v>
      </x:c>
      <x:c r="F23" t="str">
        <x:v>已匹配</x:v>
      </x:c>
      <x:c r="G23" t="str">
        <x:v>EL100V22539002717051</x:v>
      </x:c>
      <x:c r="H23" t="str">
        <x:v>LOG-SRL26062892</x:v>
      </x:c>
      <x:c r="I23" t="str">
        <x:v>2416</x:v>
      </x:c>
    </x:row>
    <x:row r="24" ht="18">
      <x:c r="A24" s="3" t="s">
        <x:v>26</x:v>
      </x:c>
      <x:c r="B24" s="4">
        <x:v>103.18</x:v>
      </x:c>
      <x:c r="C24" s="7">
        <x:v>112.31</x:v>
      </x:c>
      <x:c r="D24" s="7" t="n">
        <x:f>C24-B24</x:f>
        <x:v>9.129999999999995</x:v>
      </x:c>
      <x:c r="E24" t="str">
        <x:v>EL400</x:v>
      </x:c>
      <x:c r="F24" t="str">
        <x:v>已匹配</x:v>
      </x:c>
      <x:c r="G24" t="str">
        <x:v>EL4002538110028933</x:v>
      </x:c>
      <x:c r="H24" t="str">
        <x:v>LOG-SRL26062885</x:v>
      </x:c>
      <x:c r="I24" t="str">
        <x:v>2545</x:v>
      </x:c>
    </x:row>
    <x:row r="25" ht="18">
      <x:c r="A25" s="3" t="s">
        <x:v>27</x:v>
      </x:c>
      <x:c r="B25" s="4">
        <x:v>52.56</x:v>
      </x:c>
      <x:c r="C25" s="7">
        <x:v>78.968999999999994</x:v>
      </x:c>
      <x:c r="D25" s="7" t="n">
        <x:f>C25-B25</x:f>
        <x:v>26.408999999999992</x:v>
      </x:c>
      <x:c r="E25"/>
      <x:c r="F25" t="str">
        <x:v>未匹配</x:v>
      </x:c>
      <x:c r="G25"/>
      <x:c r="H25"/>
      <x:c r="I25"/>
    </x:row>
    <x:row r="26" ht="18">
      <x:c r="A26" s="3" t="s">
        <x:v>28</x:v>
      </x:c>
      <x:c r="B26" s="4">
        <x:v>26.31</x:v>
      </x:c>
      <x:c r="C26" s="7">
        <x:v>30.338000000000001</x:v>
      </x:c>
      <x:c r="D26" s="7" t="n">
        <x:f>C26-B26</x:f>
        <x:v>4.028000000000002</x:v>
      </x:c>
      <x:c r="E26" t="str">
        <x:v>EL100V2</x:v>
      </x:c>
      <x:c r="F26" t="str">
        <x:v>已匹配</x:v>
      </x:c>
      <x:c r="G26" t="str">
        <x:v>EL100V22541020872702</x:v>
      </x:c>
      <x:c r="H26" t="str">
        <x:v>LOG-SRL26062855</x:v>
      </x:c>
      <x:c r="I26" t="str">
        <x:v>2328</x:v>
      </x:c>
    </x:row>
    <x:row r="27" ht="18">
      <x:c r="A27" s="3" t="s">
        <x:v>29</x:v>
      </x:c>
      <x:c r="B27" s="4">
        <x:v>30.26</x:v>
      </x:c>
      <x:c r="C27" s="7">
        <x:v>33.670999999999999</x:v>
      </x:c>
      <x:c r="D27" s="7" t="n">
        <x:f>C27-B27</x:f>
        <x:v>3.410999999999998</x:v>
      </x:c>
      <x:c r="E27" t="str">
        <x:v>AC180</x:v>
      </x:c>
      <x:c r="F27" t="str">
        <x:v>已匹配</x:v>
      </x:c>
      <x:c r="G27" t="str">
        <x:v>AC1802435001053047</x:v>
      </x:c>
      <x:c r="H27" t="str">
        <x:v>LOG-SRL26062850</x:v>
      </x:c>
      <x:c r="I27" t="str">
        <x:v>2374</x:v>
      </x:c>
    </x:row>
    <x:row r="28" ht="18">
      <x:c r="A28" s="3" t="s">
        <x:v>30</x:v>
      </x:c>
      <x:c r="B28" s="4">
        <x:v>20.78</x:v>
      </x:c>
      <x:c r="C28" s="7">
        <x:v>25.751000000000001</x:v>
      </x:c>
      <x:c r="D28" s="7" t="n">
        <x:f>C28-B28</x:f>
        <x:v>4.971</x:v>
      </x:c>
      <x:c r="E28" t="str">
        <x:v>AC70</x:v>
      </x:c>
      <x:c r="F28" t="str">
        <x:v>已匹配</x:v>
      </x:c>
      <x:c r="G28" t="str">
        <x:v>AC702549233082734</x:v>
      </x:c>
      <x:c r="H28" t="str">
        <x:v>LOG-SRD26062823</x:v>
      </x:c>
      <x:c r="I28" t="str">
        <x:v>2479</x:v>
      </x:c>
    </x:row>
    <x:row r="29" ht="18">
      <x:c r="A29" s="3" t="s">
        <x:v>31</x:v>
      </x:c>
      <x:c r="B29" s="4">
        <x:v>29.99</x:v>
      </x:c>
      <x:c r="C29" s="7">
        <x:v>32.284999999999997</x:v>
      </x:c>
      <x:c r="D29" s="7" t="n">
        <x:f>C29-B29</x:f>
        <x:v>2.294999999999998</x:v>
      </x:c>
      <x:c r="E29" t="str">
        <x:v>AC70</x:v>
      </x:c>
      <x:c r="F29" t="str">
        <x:v>已匹配</x:v>
      </x:c>
      <x:c r="G29" t="str">
        <x:v>AC702424003001484</x:v>
      </x:c>
      <x:c r="H29" t="str">
        <x:v>LOG-CRP26062781</x:v>
      </x:c>
      <x:c r="I29" t="str">
        <x:v>2414</x:v>
      </x:c>
    </x:row>
    <x:row r="30" ht="18">
      <x:c r="A30" s="3" t="s">
        <x:v>32</x:v>
      </x:c>
      <x:c r="B30" s="4">
        <x:v>16.62</x:v>
      </x:c>
      <x:c r="C30" s="7">
        <x:v>19.151</x:v>
      </x:c>
      <x:c r="D30" s="7" t="n">
        <x:f>C30-B30</x:f>
        <x:v>2.530999999999999</x:v>
      </x:c>
      <x:c r="E30" t="str">
        <x:v>AC70</x:v>
      </x:c>
      <x:c r="F30" t="str">
        <x:v>已匹配</x:v>
      </x:c>
      <x:c r="G30" t="str">
        <x:v>AC702539011288995</x:v>
      </x:c>
      <x:c r="H30" t="str">
        <x:v>LOG-SRD26062911</x:v>
      </x:c>
      <x:c r="I30" t="str">
        <x:v>2331</x:v>
      </x:c>
    </x:row>
    <x:row r="31" ht="18">
      <x:c r="A31" s="3" t="s">
        <x:v>33</x:v>
      </x:c>
      <x:c r="B31" s="4">
        <x:v>60.52</x:v>
      </x:c>
      <x:c r="C31" s="7">
        <x:v>111.79300000000001</x:v>
      </x:c>
      <x:c r="D31" s="7" t="n">
        <x:f>C31-B31</x:f>
        <x:v>51.273</x:v>
      </x:c>
      <x:c r="E31" t="str">
        <x:v>EL200</x:v>
      </x:c>
      <x:c r="F31" t="str">
        <x:v>已匹配</x:v>
      </x:c>
      <x:c r="G31" t="str">
        <x:v>Elite 200 V22543137014462</x:v>
      </x:c>
      <x:c r="H31" t="str">
        <x:v>LOG-SRD26062910</x:v>
      </x:c>
      <x:c r="I31" t="str">
        <x:v>2350</x:v>
      </x:c>
    </x:row>
    <x:row r="32" ht="18">
      <x:c r="A32" s="3" t="s">
        <x:v>34</x:v>
      </x:c>
      <x:c r="B32" s="4">
        <x:v>21.61</x:v>
      </x:c>
      <x:c r="C32" s="7">
        <x:v>29.128</x:v>
      </x:c>
      <x:c r="D32" s="7" t="n">
        <x:f>C32-B32</x:f>
        <x:v>7.518000000000001</x:v>
      </x:c>
      <x:c r="E32" t="str">
        <x:v>AC70</x:v>
      </x:c>
      <x:c r="F32" t="str">
        <x:v>已匹配</x:v>
      </x:c>
      <x:c r="G32" t="str">
        <x:v>AC702540000074422</x:v>
      </x:c>
      <x:c r="H32" t="str">
        <x:v>LOG-SRD26062908</x:v>
      </x:c>
      <x:c r="I32" t="str">
        <x:v>2408</x:v>
      </x:c>
    </x:row>
    <x:row r="33" ht="18">
      <x:c r="A33" s="3" t="s">
        <x:v>35</x:v>
      </x:c>
      <x:c r="B33" s="4">
        <x:v>26.31</x:v>
      </x:c>
      <x:c r="C33" s="7">
        <x:v>30.338000000000001</x:v>
      </x:c>
      <x:c r="D33" s="7" t="n">
        <x:f>C33-B33</x:f>
        <x:v>4.028000000000002</x:v>
      </x:c>
      <x:c r="E33" t="str">
        <x:v>EL100V2</x:v>
      </x:c>
      <x:c r="F33" t="str">
        <x:v>已匹配</x:v>
      </x:c>
      <x:c r="G33" t="str">
        <x:v>EL100V22539003607450</x:v>
      </x:c>
      <x:c r="H33" t="str">
        <x:v>LOG-SRL26062687</x:v>
      </x:c>
      <x:c r="I33" t="str">
        <x:v>2316</x:v>
      </x:c>
    </x:row>
    <x:row r="34" ht="18">
      <x:c r="A34" s="3" t="s">
        <x:v>36</x:v>
      </x:c>
      <x:c r="B34" s="4">
        <x:v>26.31</x:v>
      </x:c>
      <x:c r="C34" s="7">
        <x:v>29.073</x:v>
      </x:c>
      <x:c r="D34" s="7" t="n">
        <x:f>C34-B34</x:f>
        <x:v>2.7630000000000017</x:v>
      </x:c>
      <x:c r="E34" t="str">
        <x:v>EL100V2</x:v>
      </x:c>
      <x:c r="F34" t="str">
        <x:v>已匹配</x:v>
      </x:c>
      <x:c r="G34" t="str">
        <x:v>EL100V22545131315498</x:v>
      </x:c>
      <x:c r="H34" t="str">
        <x:v>LOG-SRL26062679</x:v>
      </x:c>
      <x:c r="I34" t="str">
        <x:v>2476</x:v>
      </x:c>
    </x:row>
    <x:row r="35" ht="18">
      <x:c r="A35" s="3" t="s">
        <x:v>37</x:v>
      </x:c>
      <x:c r="B35" s="4">
        <x:v>29.02</x:v>
      </x:c>
      <x:c r="C35" s="7">
        <x:v>31.559000000000001</x:v>
      </x:c>
      <x:c r="D35" s="7" t="n">
        <x:f>C35-B35</x:f>
        <x:v>2.5390000000000015</x:v>
      </x:c>
      <x:c r="E35" t="str">
        <x:v>AC180</x:v>
      </x:c>
      <x:c r="F35" t="str">
        <x:v>已匹配</x:v>
      </x:c>
      <x:c r="G35" t="str">
        <x:v>AC1802330004071213</x:v>
      </x:c>
      <x:c r="H35" t="str">
        <x:v>LOG-CRP26062678</x:v>
      </x:c>
      <x:c r="I35" t="str">
        <x:v>2333</x:v>
      </x:c>
    </x:row>
    <x:row r="36" ht="18">
      <x:c r="A36" s="3" t="s">
        <x:v>38</x:v>
      </x:c>
      <x:c r="B36" s="4">
        <x:v>25.62</x:v>
      </x:c>
      <x:c r="C36" s="7">
        <x:v>36.585999999999999</x:v>
      </x:c>
      <x:c r="D36" s="7" t="n">
        <x:f>C36-B36</x:f>
        <x:v>10.965999999999998</x:v>
      </x:c>
      <x:c r="E36" t="str">
        <x:v>AC70</x:v>
      </x:c>
      <x:c r="F36" t="str">
        <x:v>已匹配</x:v>
      </x:c>
      <x:c r="G36" t="str">
        <x:v>AC702539011591410</x:v>
      </x:c>
      <x:c r="H36" t="str">
        <x:v>LOG-SRD26062550</x:v>
      </x:c>
      <x:c r="I36" t="str">
        <x:v>2305</x:v>
      </x:c>
    </x:row>
    <x:row r="37" ht="18">
      <x:c r="A37" s="3" t="s">
        <x:v>39</x:v>
      </x:c>
      <x:c r="B37" s="4">
        <x:v>24.48</x:v>
      </x:c>
      <x:c r="C37" s="7">
        <x:v>41.03</x:v>
      </x:c>
      <x:c r="D37" s="7" t="n">
        <x:f>C37-B37</x:f>
        <x:v>16.55</x:v>
      </x:c>
      <x:c r="E37" t="str">
        <x:v>AC180</x:v>
      </x:c>
      <x:c r="F37" t="str">
        <x:v>已匹配</x:v>
      </x:c>
      <x:c r="G37" t="str">
        <x:v>AC1802535025210237</x:v>
      </x:c>
      <x:c r="H37" t="str">
        <x:v>LOG-SRD26062549</x:v>
      </x:c>
      <x:c r="I37" t="str">
        <x:v>2528</x:v>
      </x:c>
    </x:row>
    <x:row r="38" ht="18">
      <x:c r="A38" s="3" t="s">
        <x:v>40</x:v>
      </x:c>
      <x:c r="B38" s="4">
        <x:v>71.94</x:v>
      </x:c>
      <x:c r="C38" s="7">
        <x:v>74.756</x:v>
      </x:c>
      <x:c r="D38" s="7" t="n">
        <x:f>C38-B38</x:f>
        <x:v>2.8160000000000025</x:v>
      </x:c>
      <x:c r="E38" t="str">
        <x:v>EL300</x:v>
      </x:c>
      <x:c r="F38" t="str">
        <x:v>已匹配</x:v>
      </x:c>
      <x:c r="G38" t="str">
        <x:v>EL3002613134977908</x:v>
      </x:c>
      <x:c r="H38" t="str">
        <x:v>LOG-SRL26062502</x:v>
      </x:c>
      <x:c r="I38" t="str">
        <x:v>2394</x:v>
      </x:c>
    </x:row>
    <x:row r="39" ht="18">
      <x:c r="A39" s="3" t="s">
        <x:v>41</x:v>
      </x:c>
      <x:c r="B39" s="4">
        <x:v>21.76</x:v>
      </x:c>
      <x:c r="C39" s="7">
        <x:v>24.408999999999999</x:v>
      </x:c>
      <x:c r="D39" s="7" t="n">
        <x:f>C39-B39</x:f>
        <x:v>2.6489999999999974</x:v>
      </x:c>
      <x:c r="E39" t="str">
        <x:v>EL100V2</x:v>
      </x:c>
      <x:c r="F39" t="str">
        <x:v>已匹配</x:v>
      </x:c>
      <x:c r="G39" t="str">
        <x:v>EL100V22542132609892</x:v>
      </x:c>
      <x:c r="H39" t="str">
        <x:v>LOG-SRL26062464</x:v>
      </x:c>
      <x:c r="I39" t="str">
        <x:v>2286</x:v>
      </x:c>
    </x:row>
    <x:row r="40" ht="18">
      <x:c r="A40" s="3" t="s">
        <x:v>42</x:v>
      </x:c>
      <x:c r="B40" s="4">
        <x:v>85.53</x:v>
      </x:c>
      <x:c r="C40" s="7">
        <x:v>98.691999999999993</x:v>
      </x:c>
      <x:c r="D40" s="7" t="n">
        <x:f>C40-B40</x:f>
        <x:v>13.161999999999992</x:v>
      </x:c>
      <x:c r="E40" t="str">
        <x:v>EL400</x:v>
      </x:c>
      <x:c r="F40" t="str">
        <x:v>已匹配</x:v>
      </x:c>
      <x:c r="G40" t="str">
        <x:v>EL4002604130313330</x:v>
      </x:c>
      <x:c r="H40" t="str">
        <x:v>LOG-SRD26062444</x:v>
      </x:c>
      <x:c r="I40" t="str">
        <x:v>2339</x:v>
      </x:c>
    </x:row>
    <x:row r="41" ht="18">
      <x:c r="A41" s="3" t="s">
        <x:v>43</x:v>
      </x:c>
      <x:c r="B41" s="4">
        <x:v>31.56</x:v>
      </x:c>
      <x:c r="C41" s="7">
        <x:v>34.661000000000001</x:v>
      </x:c>
      <x:c r="D41" s="7" t="n">
        <x:f>C41-B41</x:f>
        <x:v>3.1010000000000026</x:v>
      </x:c>
      <x:c r="E41" t="str">
        <x:v>BC200</x:v>
      </x:c>
      <x:c r="F41" t="str">
        <x:v>已匹配</x:v>
      </x:c>
      <x:c r="G41" t="str">
        <x:v>BC2002603133742207</x:v>
      </x:c>
      <x:c r="H41" t="str">
        <x:v>LOG-SRL26062421</x:v>
      </x:c>
      <x:c r="I41" t="str">
        <x:v>2343</x:v>
      </x:c>
    </x:row>
    <x:row r="42" ht="18">
      <x:c r="A42" s="3" t="s">
        <x:v>44</x:v>
      </x:c>
      <x:c r="B42" s="4">
        <x:v>23.88</x:v>
      </x:c>
      <x:c r="C42" s="7">
        <x:v>56.243000000000002</x:v>
      </x:c>
      <x:c r="D42" s="7" t="n">
        <x:f>C42-B42</x:f>
        <x:v>32.363</x:v>
      </x:c>
      <x:c r="E42" t="str">
        <x:v>FridgePower</x:v>
      </x:c>
      <x:c r="F42" t="str">
        <x:v>已匹配</x:v>
      </x:c>
      <x:c r="G42" t="str">
        <x:v>FP2604137198368</x:v>
      </x:c>
      <x:c r="H42" t="str">
        <x:v>LOG-SRL26062415</x:v>
      </x:c>
      <x:c r="I42" t="str">
        <x:v>2438</x:v>
      </x:c>
    </x:row>
    <x:row r="43" ht="18">
      <x:c r="A43" s="3" t="s">
        <x:v>45</x:v>
      </x:c>
      <x:c r="B43" s="4">
        <x:v>69.45</x:v>
      </x:c>
      <x:c r="C43" s="7">
        <x:v>82.863</x:v>
      </x:c>
      <x:c r="D43" s="7" t="n">
        <x:f>C43-B43</x:f>
        <x:v>13.412999999999997</x:v>
      </x:c>
      <x:c r="E43" t="str">
        <x:v>AC300</x:v>
      </x:c>
      <x:c r="F43" t="str">
        <x:v>已匹配</x:v>
      </x:c>
      <x:c r="G43" t="str">
        <x:v>AC3002211001587941</x:v>
      </x:c>
      <x:c r="H43" t="str">
        <x:v>LOG-CRP26062385</x:v>
      </x:c>
      <x:c r="I43" t="str">
        <x:v>2348</x:v>
      </x:c>
    </x:row>
    <x:row r="44" ht="18">
      <x:c r="A44" s="3" t="s">
        <x:v>46</x:v>
      </x:c>
      <x:c r="B44" s="4">
        <x:v>17</x:v>
      </x:c>
      <x:c r="C44" s="7">
        <x:v>19.382000000000001</x:v>
      </x:c>
      <x:c r="D44" s="7" t="n">
        <x:f>C44-B44</x:f>
        <x:v>2.3820000000000014</x:v>
      </x:c>
      <x:c r="E44" t="str">
        <x:v>EL100V2</x:v>
      </x:c>
      <x:c r="F44" t="str">
        <x:v>已匹配</x:v>
      </x:c>
      <x:c r="G44" t="str">
        <x:v>EL100V22540001629856</x:v>
      </x:c>
      <x:c r="H44" t="str">
        <x:v>LOG-SRD26062352</x:v>
      </x:c>
      <x:c r="I44" t="str">
        <x:v>2281</x:v>
      </x:c>
    </x:row>
    <x:row r="45" ht="18">
      <x:c r="A45" s="3" t="s">
        <x:v>47</x:v>
      </x:c>
      <x:c r="B45" s="4">
        <x:v>43.92</x:v>
      </x:c>
      <x:c r="C45" s="7">
        <x:v>56.243000000000002</x:v>
      </x:c>
      <x:c r="D45" s="7" t="n">
        <x:f>C45-B45</x:f>
        <x:v>12.323</x:v>
      </x:c>
      <x:c r="E45" t="str">
        <x:v>AC180</x:v>
      </x:c>
      <x:c r="F45" t="str">
        <x:v>已匹配</x:v>
      </x:c>
      <x:c r="G45" t="str">
        <x:v>AC1802337002296499</x:v>
      </x:c>
      <x:c r="H45" t="str">
        <x:v>LOG-CRP26062320</x:v>
      </x:c>
      <x:c r="I45" t="str">
        <x:v>2298</x:v>
      </x:c>
    </x:row>
    <x:row r="46" ht="18">
      <x:c r="A46" s="3" t="s">
        <x:v>48</x:v>
      </x:c>
      <x:c r="B46" s="4">
        <x:v>39.159999999999997</x:v>
      </x:c>
      <x:c r="C46" s="7">
        <x:v>44.604999999999997</x:v>
      </x:c>
      <x:c r="D46" s="7" t="n">
        <x:f>C46-B46</x:f>
        <x:v>5.445</x:v>
      </x:c>
      <x:c r="E46" t="str">
        <x:v>EL100V2</x:v>
      </x:c>
      <x:c r="F46" t="str">
        <x:v>已匹配</x:v>
      </x:c>
      <x:c r="G46" t="str">
        <x:v>EL100V22539003697873</x:v>
      </x:c>
      <x:c r="H46" t="str">
        <x:v>LOG-SRD26062319</x:v>
      </x:c>
      <x:c r="I46" t="str">
        <x:v>2287</x:v>
      </x:c>
    </x:row>
    <x:row r="47" ht="18">
      <x:c r="A47" s="3" t="s">
        <x:v>49</x:v>
      </x:c>
      <x:c r="B47" s="4">
        <x:v>32.340000000000003</x:v>
      </x:c>
      <x:c r="C47" s="7">
        <x:v>36.509</x:v>
      </x:c>
      <x:c r="D47" s="7" t="n">
        <x:f>C47-B47</x:f>
        <x:v>4.168999999999997</x:v>
      </x:c>
      <x:c r="E47" t="str">
        <x:v>EL100V2</x:v>
      </x:c>
      <x:c r="F47" t="str">
        <x:v>已匹配</x:v>
      </x:c>
      <x:c r="G47" t="str">
        <x:v>EL100V22537006085458</x:v>
      </x:c>
      <x:c r="H47" t="str">
        <x:v>LOG-SRL26062317</x:v>
      </x:c>
      <x:c r="I47" t="str">
        <x:v>2406</x:v>
      </x:c>
    </x:row>
    <x:row r="48" ht="18">
      <x:c r="A48" s="3" t="s">
        <x:v>50</x:v>
      </x:c>
      <x:c r="B48" s="4">
        <x:v>26.31</x:v>
      </x:c>
      <x:c r="C48" s="7">
        <x:v>30.734000000000002</x:v>
      </x:c>
      <x:c r="D48" s="7" t="n">
        <x:f>C48-B48</x:f>
        <x:v>4.424000000000003</x:v>
      </x:c>
      <x:c r="E48" t="str">
        <x:v>EL100V2</x:v>
      </x:c>
      <x:c r="F48" t="str">
        <x:v>已匹配</x:v>
      </x:c>
      <x:c r="G48" t="str">
        <x:v>EL100V22541000465267</x:v>
      </x:c>
      <x:c r="H48" t="str">
        <x:v>LOG-SRL26062316</x:v>
      </x:c>
      <x:c r="I48" t="str">
        <x:v>2293</x:v>
      </x:c>
    </x:row>
    <x:row r="49" ht="18">
      <x:c r="A49" s="3" t="s">
        <x:v>51</x:v>
      </x:c>
      <x:c r="B49" s="4">
        <x:v>26.31</x:v>
      </x:c>
      <x:c r="C49" s="7">
        <x:v>29.128</x:v>
      </x:c>
      <x:c r="D49" s="7" t="n">
        <x:f>C49-B49</x:f>
        <x:v>2.8180000000000014</x:v>
      </x:c>
      <x:c r="E49" t="str">
        <x:v>EL100V2</x:v>
      </x:c>
      <x:c r="F49" t="str">
        <x:v>已匹配</x:v>
      </x:c>
      <x:c r="G49" t="str">
        <x:v>EL100V22540002907523</x:v>
      </x:c>
      <x:c r="H49" t="str">
        <x:v>LOG-SRL26062309</x:v>
      </x:c>
      <x:c r="I49" t="str">
        <x:v>2372</x:v>
      </x:c>
    </x:row>
    <x:row r="50" ht="18">
      <x:c r="A50" s="3" t="s">
        <x:v>52</x:v>
      </x:c>
      <x:c r="B50" s="4">
        <x:v>24.48</x:v>
      </x:c>
      <x:c r="C50" s="7">
        <x:v>30.228000000000002</x:v>
      </x:c>
      <x:c r="D50" s="7" t="n">
        <x:f>C50-B50</x:f>
        <x:v>5.748000000000001</x:v>
      </x:c>
      <x:c r="E50"/>
      <x:c r="F50" t="str">
        <x:v>未匹配</x:v>
      </x:c>
      <x:c r="G50"/>
      <x:c r="H50"/>
      <x:c r="I50"/>
    </x:row>
    <x:row r="51" ht="18">
      <x:c r="A51" s="3" t="s">
        <x:v>53</x:v>
      </x:c>
      <x:c r="B51" s="4">
        <x:v>29.02</x:v>
      </x:c>
      <x:c r="C51" s="7">
        <x:v>31.559000000000001</x:v>
      </x:c>
      <x:c r="D51" s="7" t="n">
        <x:f>C51-B51</x:f>
        <x:v>2.5390000000000015</x:v>
      </x:c>
      <x:c r="E51" t="str">
        <x:v>AC180</x:v>
      </x:c>
      <x:c r="F51" t="str">
        <x:v>已匹配</x:v>
      </x:c>
      <x:c r="G51" t="str">
        <x:v>AC1802441003667662</x:v>
      </x:c>
      <x:c r="H51" t="str">
        <x:v>LOG-CRP26062258</x:v>
      </x:c>
      <x:c r="I51" t="str">
        <x:v>2335</x:v>
      </x:c>
    </x:row>
    <x:row r="52" ht="18">
      <x:c r="A52" s="3" t="s">
        <x:v>54</x:v>
      </x:c>
      <x:c r="B52" s="4">
        <x:v>19.95</x:v>
      </x:c>
      <x:c r="C52" s="7">
        <x:v>27.456</x:v>
      </x:c>
      <x:c r="D52" s="7" t="n">
        <x:f>C52-B52</x:f>
        <x:v>7.506</x:v>
      </x:c>
      <x:c r="E52" t="str">
        <x:v>CHANGER2</x:v>
      </x:c>
      <x:c r="F52" t="str">
        <x:v>已匹配</x:v>
      </x:c>
      <x:c r="G52" t="str">
        <x:v>CHARGER 22544115581684</x:v>
      </x:c>
      <x:c r="H52" t="str">
        <x:v>LOG-SRN26062425</x:v>
      </x:c>
      <x:c r="I52" t="str">
        <x:v>2568</x:v>
      </x:c>
    </x:row>
    <x:row r="53" ht="18">
      <x:c r="A53" s="3" t="s">
        <x:v>55</x:v>
      </x:c>
      <x:c r="B53" s="4">
        <x:v>33.520000000000003</x:v>
      </x:c>
      <x:c r="C53" s="7">
        <x:v>36.585999999999999</x:v>
      </x:c>
      <x:c r="D53" s="7" t="n">
        <x:f>C53-B53</x:f>
        <x:v>3.0659999999999954</x:v>
      </x:c>
      <x:c r="E53" t="str">
        <x:v>AC70</x:v>
      </x:c>
      <x:c r="F53" t="str">
        <x:v>已匹配</x:v>
      </x:c>
      <x:c r="G53" t="str">
        <x:v>AC702540001411677</x:v>
      </x:c>
      <x:c r="H53" t="str">
        <x:v>LOG-SRD26070186</x:v>
      </x:c>
      <x:c r="I53" t="str">
        <x:v>2296</x:v>
      </x:c>
    </x:row>
    <x:row r="54" ht="18">
      <x:c r="A54" s="3" t="s">
        <x:v>56</x:v>
      </x:c>
      <x:c r="B54" s="4">
        <x:v>58.76</x:v>
      </x:c>
      <x:c r="C54" s="7">
        <x:v>61.798000000000002</x:v>
      </x:c>
      <x:c r="D54" s="7" t="n">
        <x:f>C54-B54</x:f>
        <x:v>3.038000000000004</x:v>
      </x:c>
      <x:c r="E54" t="str">
        <x:v>AC200L</x:v>
      </x:c>
      <x:c r="F54" t="str">
        <x:v>已匹配</x:v>
      </x:c>
      <x:c r="G54" t="str">
        <x:v>AC200L2424003457898</x:v>
      </x:c>
      <x:c r="H54" t="str">
        <x:v>LOG-SRD26062181</x:v>
      </x:c>
      <x:c r="I54" t="str">
        <x:v>2595</x:v>
      </x:c>
    </x:row>
    <x:row r="55" ht="18">
      <x:c r="A55" s="3" t="s">
        <x:v>57</x:v>
      </x:c>
      <x:c r="B55" s="4">
        <x:v>43.04</x:v>
      </x:c>
      <x:c r="C55" s="7">
        <x:v>50.435000000000002</x:v>
      </x:c>
      <x:c r="D55" s="7" t="n">
        <x:f>C55-B55</x:f>
        <x:v>7.395000000000003</x:v>
      </x:c>
      <x:c r="E55"/>
      <x:c r="F55" t="str">
        <x:v>未匹配</x:v>
      </x:c>
      <x:c r="G55"/>
      <x:c r="H55"/>
      <x:c r="I55"/>
    </x:row>
    <x:row r="56" ht="18">
      <x:c r="A56" s="3" t="s">
        <x:v>58</x:v>
      </x:c>
      <x:c r="B56" s="4">
        <x:v>44.6</x:v>
      </x:c>
      <x:c r="C56" s="7">
        <x:v>84.347999999999999</x:v>
      </x:c>
      <x:c r="D56" s="7" t="n">
        <x:f>C56-B56</x:f>
        <x:v>39.748</x:v>
      </x:c>
      <x:c r="E56" t="str">
        <x:v>AC300</x:v>
      </x:c>
      <x:c r="F56" t="str">
        <x:v>已匹配</x:v>
      </x:c>
      <x:c r="G56" t="str">
        <x:v>AC3002221001473503</x:v>
      </x:c>
      <x:c r="H56" t="str">
        <x:v>LOG-SRL26062173</x:v>
      </x:c>
      <x:c r="I56" t="str">
        <x:v>2312</x:v>
      </x:c>
    </x:row>
    <x:row r="57" ht="18">
      <x:c r="A57" s="3" t="s">
        <x:v>59</x:v>
      </x:c>
      <x:c r="B57" s="4">
        <x:v>85.85</x:v>
      </x:c>
      <x:c r="C57" s="7">
        <x:v>89.045000000000002</x:v>
      </x:c>
      <x:c r="D57" s="7" t="n">
        <x:f>C57-B57</x:f>
        <x:v>3.1950000000000074</x:v>
      </x:c>
      <x:c r="E57" t="str">
        <x:v>EL300</x:v>
      </x:c>
      <x:c r="F57" t="str">
        <x:v>已匹配</x:v>
      </x:c>
      <x:c r="G57" t="str">
        <x:v>EL3002613132581421</x:v>
      </x:c>
      <x:c r="H57" t="str">
        <x:v>LOG-SRD26062350</x:v>
      </x:c>
      <x:c r="I57" t="str">
        <x:v>2252</x:v>
      </x:c>
    </x:row>
    <x:row r="58" ht="18">
      <x:c r="A58" s="3" t="s">
        <x:v>60</x:v>
      </x:c>
      <x:c r="B58" s="4">
        <x:v>20.78</x:v>
      </x:c>
      <x:c r="C58" s="7">
        <x:v>24.134</x:v>
      </x:c>
      <x:c r="D58" s="7" t="n">
        <x:f>C58-B58</x:f>
        <x:v>3.353999999999999</x:v>
      </x:c>
      <x:c r="E58" t="str">
        <x:v>AC70</x:v>
      </x:c>
      <x:c r="F58" t="str">
        <x:v>已匹配</x:v>
      </x:c>
      <x:c r="G58" t="str">
        <x:v>AC702540000057568</x:v>
      </x:c>
      <x:c r="H58" t="str">
        <x:v>LOG-SRD26062106</x:v>
      </x:c>
      <x:c r="I58" t="str">
        <x:v>2424</x:v>
      </x:c>
    </x:row>
    <x:row r="59" ht="18">
      <x:c r="A59" s="3" t="s">
        <x:v>61</x:v>
      </x:c>
      <x:c r="B59" s="4">
        <x:v>32.47</x:v>
      </x:c>
      <x:c r="C59" s="7">
        <x:v>36.585999999999999</x:v>
      </x:c>
      <x:c r="D59" s="7" t="n">
        <x:f>C59-B59</x:f>
        <x:v>4.116</x:v>
      </x:c>
      <x:c r="E59" t="str">
        <x:v>EL100V2</x:v>
      </x:c>
      <x:c r="F59" t="str">
        <x:v>已匹配</x:v>
      </x:c>
      <x:c r="G59" t="str">
        <x:v>EL100V22542130396164</x:v>
      </x:c>
      <x:c r="H59" t="str">
        <x:v>LOG-SRD26062057</x:v>
      </x:c>
      <x:c r="I59" t="str">
        <x:v>2318</x:v>
      </x:c>
    </x:row>
    <x:row r="60" ht="18">
      <x:c r="A60" s="3" t="s">
        <x:v>62</x:v>
      </x:c>
      <x:c r="B60" s="4">
        <x:v>32.47</x:v>
      </x:c>
      <x:c r="C60" s="7">
        <x:v>36.585999999999999</x:v>
      </x:c>
      <x:c r="D60" s="7" t="n">
        <x:f>C60-B60</x:f>
        <x:v>4.116</x:v>
      </x:c>
      <x:c r="E60" t="str">
        <x:v>EL100V2</x:v>
      </x:c>
      <x:c r="F60" t="str">
        <x:v>已匹配</x:v>
      </x:c>
      <x:c r="G60" t="str">
        <x:v>EL100V22528040699658</x:v>
      </x:c>
      <x:c r="H60" t="str">
        <x:v>LOG-SRD26062484</x:v>
      </x:c>
      <x:c r="I60" t="str">
        <x:v>2285</x:v>
      </x:c>
    </x:row>
    <x:row r="61" ht="18">
      <x:c r="A61" s="3" t="s">
        <x:v>63</x:v>
      </x:c>
      <x:c r="B61" s="4">
        <x:v>20.86</x:v>
      </x:c>
      <x:c r="C61" s="7">
        <x:v>37.18</x:v>
      </x:c>
      <x:c r="D61" s="7" t="n">
        <x:f>C61-B61</x:f>
        <x:v>16.32</x:v>
      </x:c>
      <x:c r="E61" t="str">
        <x:v>SOLARX 4K</x:v>
      </x:c>
      <x:c r="F61" t="str">
        <x:v>已匹配</x:v>
      </x:c>
      <x:c r="G61" t="str">
        <x:v>SolarX 4K2537110084548</x:v>
      </x:c>
      <x:c r="H61" t="str">
        <x:v>LOG-SRL26062052</x:v>
      </x:c>
      <x:c r="I61" t="str">
        <x:v>2338</x:v>
      </x:c>
    </x:row>
    <x:row r="62" ht="18">
      <x:c r="A62" s="3" t="s">
        <x:v>64</x:v>
      </x:c>
      <x:c r="B62" s="4">
        <x:v>103.58</x:v>
      </x:c>
      <x:c r="C62" s="7">
        <x:v>113.696</x:v>
      </x:c>
      <x:c r="D62" s="7" t="n">
        <x:f>C62-B62</x:f>
        <x:v>10.116</x:v>
      </x:c>
      <x:c r="E62" t="str">
        <x:v>EL400</x:v>
      </x:c>
      <x:c r="F62" t="str">
        <x:v>已匹配</x:v>
      </x:c>
      <x:c r="G62" t="str">
        <x:v>EL4002604130141003</x:v>
      </x:c>
      <x:c r="H62" t="str">
        <x:v>LOG-SRD26062048</x:v>
      </x:c>
      <x:c r="I62" t="str">
        <x:v>2353</x:v>
      </x:c>
    </x:row>
    <x:row r="63" ht="18">
      <x:c r="A63" s="3" t="s">
        <x:v>65</x:v>
      </x:c>
      <x:c r="B63" s="4">
        <x:v>29.14</x:v>
      </x:c>
      <x:c r="C63" s="7">
        <x:v>31.68</x:v>
      </x:c>
      <x:c r="D63" s="7" t="n">
        <x:f>C63-B63</x:f>
        <x:v>2.539999999999999</x:v>
      </x:c>
      <x:c r="E63" t="str">
        <x:v>RV5</x:v>
      </x:c>
      <x:c r="F63" t="str">
        <x:v>已匹配</x:v>
      </x:c>
      <x:c r="G63" t="str">
        <x:v>RV52534020463834</x:v>
      </x:c>
      <x:c r="H63" t="str">
        <x:v>LOG-SRL26062014</x:v>
      </x:c>
      <x:c r="I63" t="str">
        <x:v>2214</x:v>
      </x:c>
    </x:row>
    <x:row r="64" ht="18">
      <x:c r="A64" s="3" t="s">
        <x:v>66</x:v>
      </x:c>
      <x:c r="B64" s="4">
        <x:v>41.36</x:v>
      </x:c>
      <x:c r="C64" s="7">
        <x:v>88.869</x:v>
      </x:c>
      <x:c r="D64" s="7" t="n">
        <x:f>C64-B64</x:f>
        <x:v>47.509</x:v>
      </x:c>
      <x:c r="E64" t="str">
        <x:v>EL200</x:v>
      </x:c>
      <x:c r="F64" t="str">
        <x:v>已匹配</x:v>
      </x:c>
      <x:c r="G64" t="str">
        <x:v>Elite 200 V22541002430109</x:v>
      </x:c>
      <x:c r="H64" t="str">
        <x:v>LOG-SRD26062194</x:v>
      </x:c>
      <x:c r="I64" t="str">
        <x:v>2404</x:v>
      </x:c>
    </x:row>
    <x:row r="65" ht="18">
      <x:c r="A65" s="3" t="s">
        <x:v>67</x:v>
      </x:c>
      <x:c r="B65" s="4">
        <x:v>32.47</x:v>
      </x:c>
      <x:c r="C65" s="7">
        <x:v>37.774000000000001</x:v>
      </x:c>
      <x:c r="D65" s="7" t="n">
        <x:f>C65-B65</x:f>
        <x:v>5.304000000000002</x:v>
      </x:c>
      <x:c r="E65" t="str">
        <x:v>EL100V2</x:v>
      </x:c>
      <x:c r="F65" t="str">
        <x:v>已匹配</x:v>
      </x:c>
      <x:c r="G65" t="str">
        <x:v>EL100V22540001070868</x:v>
      </x:c>
      <x:c r="H65" t="str">
        <x:v>LOG-SRL26062005</x:v>
      </x:c>
      <x:c r="I65" t="str">
        <x:v>2212</x:v>
      </x:c>
    </x:row>
    <x:row r="66" ht="18">
      <x:c r="A66" s="3" t="s">
        <x:v>68</x:v>
      </x:c>
      <x:c r="B66" s="4">
        <x:v>29.14</x:v>
      </x:c>
      <x:c r="C66" s="7">
        <x:v>32.482999999999997</x:v>
      </x:c>
      <x:c r="D66" s="7" t="n">
        <x:f>C66-B66</x:f>
        <x:v>3.3429999999999964</x:v>
      </x:c>
      <x:c r="E66" t="str">
        <x:v>AC180</x:v>
      </x:c>
      <x:c r="F66" t="str">
        <x:v>已匹配</x:v>
      </x:c>
      <x:c r="G66" t="str">
        <x:v>AC1802538000767268</x:v>
      </x:c>
      <x:c r="H66" t="str">
        <x:v>LOG-SRD26062002</x:v>
      </x:c>
      <x:c r="I66" t="str">
        <x:v>2314</x:v>
      </x:c>
    </x:row>
    <x:row r="67" ht="18">
      <x:c r="A67" s="3" t="s">
        <x:v>69</x:v>
      </x:c>
      <x:c r="B67" s="4">
        <x:v>36.729999999999997</x:v>
      </x:c>
      <x:c r="C67" s="7">
        <x:v>38.994999999999997</x:v>
      </x:c>
      <x:c r="D67" s="7" t="n">
        <x:f>C67-B67</x:f>
        <x:v>2.2650000000000006</x:v>
      </x:c>
      <x:c r="E67" t="str">
        <x:v>AC180</x:v>
      </x:c>
      <x:c r="F67" t="str">
        <x:v>已匹配</x:v>
      </x:c>
      <x:c r="G67" t="str">
        <x:v>AC1802411002384297</x:v>
      </x:c>
      <x:c r="H67" t="str">
        <x:v>LOG-SRL26061953</x:v>
      </x:c>
      <x:c r="I67" t="str">
        <x:v>2409</x:v>
      </x:c>
    </x:row>
    <x:row r="68" ht="18">
      <x:c r="A68" s="3" t="s">
        <x:v>70</x:v>
      </x:c>
      <x:c r="B68" s="4">
        <x:v>26.41</x:v>
      </x:c>
      <x:c r="C68" s="7">
        <x:v>29.359000000000002</x:v>
      </x:c>
      <x:c r="D68" s="7" t="n">
        <x:f>C68-B68</x:f>
        <x:v>2.9490000000000016</x:v>
      </x:c>
      <x:c r="E68" t="str">
        <x:v>EL100V2</x:v>
      </x:c>
      <x:c r="F68" t="str">
        <x:v>已匹配</x:v>
      </x:c>
      <x:c r="G68" t="str">
        <x:v>EL100V22528040309553</x:v>
      </x:c>
      <x:c r="H68" t="str">
        <x:v>LOG-SRL26061952</x:v>
      </x:c>
      <x:c r="I68" t="str">
        <x:v>2949</x:v>
      </x:c>
    </x:row>
    <x:row r="69" ht="18">
      <x:c r="A69" s="3" t="s">
        <x:v>71</x:v>
      </x:c>
      <x:c r="B69" s="4">
        <x:v>35.08</x:v>
      </x:c>
      <x:c r="C69" s="7">
        <x:v>37.564999999999998</x:v>
      </x:c>
      <x:c r="D69" s="7" t="n">
        <x:f>C69-B69</x:f>
        <x:v>2.4849999999999994</x:v>
      </x:c>
      <x:c r="E69" t="str">
        <x:v>AC180</x:v>
      </x:c>
      <x:c r="F69" t="str">
        <x:v>已匹配</x:v>
      </x:c>
      <x:c r="G69" t="str">
        <x:v>AC1802451005876659</x:v>
      </x:c>
      <x:c r="H69" t="str">
        <x:v>LOG-CRP26061894</x:v>
      </x:c>
      <x:c r="I69" t="str">
        <x:v>2548</x:v>
      </x:c>
    </x:row>
    <x:row r="70" ht="18">
      <x:c r="A70" s="3" t="s">
        <x:v>72</x:v>
      </x:c>
      <x:c r="B70" s="4">
        <x:v>46.71</x:v>
      </x:c>
      <x:c r="C70" s="7">
        <x:v>64.174000000000007</x:v>
      </x:c>
      <x:c r="D70" s="7" t="n">
        <x:f>C70-B70</x:f>
        <x:v>17.464000000000006</x:v>
      </x:c>
      <x:c r="E70" t="str">
        <x:v>AC180</x:v>
      </x:c>
      <x:c r="F70" t="str">
        <x:v>已匹配</x:v>
      </x:c>
      <x:c r="G70" t="str">
        <x:v>AC1802444001000219</x:v>
      </x:c>
      <x:c r="H70" t="str">
        <x:v>LOG-CRP26061892</x:v>
      </x:c>
      <x:c r="I70" t="str">
        <x:v>2378</x:v>
      </x:c>
    </x:row>
    <x:row r="71" ht="18">
      <x:c r="A71" s="3" t="s">
        <x:v>73</x:v>
      </x:c>
      <x:c r="B71" s="4">
        <x:v>32.47</x:v>
      </x:c>
      <x:c r="C71" s="7">
        <x:v>36.728999999999999</x:v>
      </x:c>
      <x:c r="D71" s="7" t="n">
        <x:f>C71-B71</x:f>
        <x:v>4.259</x:v>
      </x:c>
      <x:c r="E71" t="str">
        <x:v>EL100</x:v>
      </x:c>
      <x:c r="F71" t="str">
        <x:v>已匹配</x:v>
      </x:c>
      <x:c r="G71" t="str">
        <x:v>EL100V22542000453127</x:v>
      </x:c>
      <x:c r="H71" t="str">
        <x:v>LOG-SRL26061868</x:v>
      </x:c>
      <x:c r="I71" t="str">
        <x:v>2224</x:v>
      </x:c>
    </x:row>
    <x:row r="72" ht="18">
      <x:c r="A72" s="3" t="s">
        <x:v>74</x:v>
      </x:c>
      <x:c r="B72" s="4">
        <x:v>53.79</x:v>
      </x:c>
      <x:c r="C72" s="7">
        <x:v>63.613</x:v>
      </x:c>
      <x:c r="D72" s="7" t="n">
        <x:f>C72-B72</x:f>
        <x:v>9.823</x:v>
      </x:c>
      <x:c r="E72" t="str">
        <x:v>AC180</x:v>
      </x:c>
      <x:c r="F72" t="str">
        <x:v>已匹配</x:v>
      </x:c>
      <x:c r="G72" t="str">
        <x:v>AC1802447000956014</x:v>
      </x:c>
      <x:c r="H72" t="str">
        <x:v>LOG-SRL26061825</x:v>
      </x:c>
      <x:c r="I72" t="str">
        <x:v>2273</x:v>
      </x:c>
    </x:row>
    <x:row r="73" ht="18">
      <x:c r="A73" s="3" t="s">
        <x:v>75</x:v>
      </x:c>
      <x:c r="B73" s="4">
        <x:v>18.28</x:v>
      </x:c>
      <x:c r="C73" s="7">
        <x:v>23.550999999999998</x:v>
      </x:c>
      <x:c r="D73" s="7" t="n">
        <x:f>C73-B73</x:f>
        <x:v>5.270999999999997</x:v>
      </x:c>
      <x:c r="E73" t="str">
        <x:v>EL100V2</x:v>
      </x:c>
      <x:c r="F73" t="str">
        <x:v>已匹配</x:v>
      </x:c>
      <x:c r="G73" t="str">
        <x:v>EL100V22542001679458</x:v>
      </x:c>
      <x:c r="H73" t="str">
        <x:v>LOG-SRL26070320</x:v>
      </x:c>
      <x:c r="I73" t="str">
        <x:v>2192</x:v>
      </x:c>
    </x:row>
    <x:row r="74" ht="18">
      <x:c r="A74" s="3" t="s">
        <x:v>76</x:v>
      </x:c>
      <x:c r="B74" s="4">
        <x:v>98.83</x:v>
      </x:c>
      <x:c r="C74" s="7">
        <x:v>105.27</x:v>
      </x:c>
      <x:c r="D74" s="7" t="n">
        <x:f>C74-B74</x:f>
        <x:v>6.439999999999998</x:v>
      </x:c>
      <x:c r="E74" t="str">
        <x:v>B300</x:v>
      </x:c>
      <x:c r="F74" t="str">
        <x:v>已匹配</x:v>
      </x:c>
      <x:c r="G74" t="str">
        <x:v>80446Z22350481</x:v>
      </x:c>
      <x:c r="H74" t="str">
        <x:v>LOG-CRP26061779</x:v>
      </x:c>
      <x:c r="I74" t="str">
        <x:v>2459</x:v>
      </x:c>
    </x:row>
    <x:row r="75" ht="18">
      <x:c r="A75" s="3" t="s">
        <x:v>77</x:v>
      </x:c>
      <x:c r="B75" s="4">
        <x:v>26.5</x:v>
      </x:c>
      <x:c r="C75" s="7">
        <x:v>28.831</x:v>
      </x:c>
      <x:c r="D75" s="7" t="n">
        <x:f>C75-B75</x:f>
        <x:v>2.3309999999999995</x:v>
      </x:c>
      <x:c r="E75" t="str">
        <x:v>AC180</x:v>
      </x:c>
      <x:c r="F75" t="str">
        <x:v>已匹配</x:v>
      </x:c>
      <x:c r="G75" t="str">
        <x:v>AC1802411001631567</x:v>
      </x:c>
      <x:c r="H75" t="str">
        <x:v>LOG-CRP26061736</x:v>
      </x:c>
      <x:c r="I75" t="str">
        <x:v>2241</x:v>
      </x:c>
    </x:row>
    <x:row r="76" ht="18">
      <x:c r="A76" s="3" t="s">
        <x:v>78</x:v>
      </x:c>
      <x:c r="B76" s="4">
        <x:v>63.63</x:v>
      </x:c>
      <x:c r="C76" s="7">
        <x:v>76.872</x:v>
      </x:c>
      <x:c r="D76" s="7" t="n">
        <x:f>C76-B76</x:f>
        <x:v>13.241999999999997</x:v>
      </x:c>
      <x:c r="E76"/>
      <x:c r="F76" t="str">
        <x:v>未匹配</x:v>
      </x:c>
      <x:c r="G76"/>
      <x:c r="H76"/>
      <x:c r="I76"/>
    </x:row>
    <x:row r="77" ht="18">
      <x:c r="A77" s="3" t="s">
        <x:v>79</x:v>
      </x:c>
      <x:c r="B77" s="4">
        <x:v>102.43</x:v>
      </x:c>
      <x:c r="C77" s="7">
        <x:v>113.748</x:v>
      </x:c>
      <x:c r="D77" s="7" t="n">
        <x:f>C77-B77</x:f>
        <x:v>11.317999999999998</x:v>
      </x:c>
      <x:c r="E77"/>
      <x:c r="F77" t="str">
        <x:v>未匹配</x:v>
      </x:c>
      <x:c r="G77"/>
      <x:c r="H77"/>
      <x:c r="I77"/>
    </x:row>
    <x:row r="78" ht="18">
      <x:c r="A78" s="3" t="s">
        <x:v>80</x:v>
      </x:c>
      <x:c r="B78" s="4">
        <x:v>113.73</x:v>
      </x:c>
      <x:c r="C78" s="7">
        <x:v>142.64400000000001</x:v>
      </x:c>
      <x:c r="D78" s="7" t="n">
        <x:f>C78-B78</x:f>
        <x:v>28.914</x:v>
      </x:c>
      <x:c r="E78"/>
      <x:c r="F78" t="str">
        <x:v>未匹配</x:v>
      </x:c>
      <x:c r="G78"/>
      <x:c r="H78"/>
      <x:c r="I78"/>
    </x:row>
    <x:row r="79" ht="18">
      <x:c r="A79" s="3" t="s">
        <x:v>81</x:v>
      </x:c>
      <x:c r="B79" s="4">
        <x:v>45.3</x:v>
      </x:c>
      <x:c r="C79" s="7">
        <x:v>49.61</x:v>
      </x:c>
      <x:c r="D79" s="7" t="n">
        <x:f>C79-B79</x:f>
        <x:v>4.310000000000002</x:v>
      </x:c>
      <x:c r="E79" t="str">
        <x:v>AC180</x:v>
      </x:c>
      <x:c r="F79" t="str">
        <x:v>已匹配</x:v>
      </x:c>
      <x:c r="G79" t="str">
        <x:v>AC1802535000107167</x:v>
      </x:c>
      <x:c r="H79" t="str">
        <x:v>LOG-SRL26061703</x:v>
      </x:c>
      <x:c r="I79" t="str">
        <x:v>2220</x:v>
      </x:c>
    </x:row>
    <x:row r="80" ht="18">
      <x:c r="A80" s="3" t="s">
        <x:v>82</x:v>
      </x:c>
      <x:c r="B80" s="4">
        <x:v>37.69</x:v>
      </x:c>
      <x:c r="C80" s="7">
        <x:v>72.138000000000005</x:v>
      </x:c>
      <x:c r="D80" s="7" t="n">
        <x:f>C80-B80</x:f>
        <x:v>34.44800000000001</x:v>
      </x:c>
      <x:c r="E80"/>
      <x:c r="F80" t="str">
        <x:v>已匹配，机型为空</x:v>
      </x:c>
      <x:c r="G80"/>
      <x:c r="H80" t="str">
        <x:v>LOG-SRL26061700</x:v>
      </x:c>
      <x:c r="I80" t="str">
        <x:v>2227</x:v>
      </x:c>
    </x:row>
    <x:row r="81" ht="18">
      <x:c r="A81" s="3" t="s">
        <x:v>83</x:v>
      </x:c>
      <x:c r="B81" s="4">
        <x:v>26.41</x:v>
      </x:c>
      <x:c r="C81" s="7">
        <x:v>30.459</x:v>
      </x:c>
      <x:c r="D81" s="7" t="n">
        <x:f>C81-B81</x:f>
        <x:v>4.0489999999999995</x:v>
      </x:c>
      <x:c r="E81" t="str">
        <x:v>EL100V2</x:v>
      </x:c>
      <x:c r="F81" t="str">
        <x:v>已匹配</x:v>
      </x:c>
      <x:c r="G81" t="str">
        <x:v>EL100V22534008916185</x:v>
      </x:c>
      <x:c r="H81" t="str">
        <x:v>LOG-SRD26061668</x:v>
      </x:c>
      <x:c r="I81" t="str">
        <x:v>2271</x:v>
      </x:c>
    </x:row>
    <x:row r="82" ht="18">
      <x:c r="A82" s="3" t="s">
        <x:v>84</x:v>
      </x:c>
      <x:c r="B82" s="4">
        <x:v>26.5</x:v>
      </x:c>
      <x:c r="C82" s="7">
        <x:v>29.227</x:v>
      </x:c>
      <x:c r="D82" s="7" t="n">
        <x:f>C82-B82</x:f>
        <x:v>2.7270000000000003</x:v>
      </x:c>
      <x:c r="E82" t="str">
        <x:v>AC180</x:v>
      </x:c>
      <x:c r="F82" t="str">
        <x:v>已匹配</x:v>
      </x:c>
      <x:c r="G82" t="str">
        <x:v>AC1802339003131620</x:v>
      </x:c>
      <x:c r="H82" t="str">
        <x:v>LOG-SRL26061634</x:v>
      </x:c>
      <x:c r="I82" t="str">
        <x:v>2270</x:v>
      </x:c>
    </x:row>
    <x:row r="83" ht="18">
      <x:c r="A83" s="3" t="s">
        <x:v>85</x:v>
      </x:c>
      <x:c r="B83" s="4">
        <x:v>73.150000000000006</x:v>
      </x:c>
      <x:c r="C83" s="7">
        <x:v>104.544</x:v>
      </x:c>
      <x:c r="D83" s="7" t="n">
        <x:f>C83-B83</x:f>
        <x:v>31.39399999999999</x:v>
      </x:c>
      <x:c r="E83" t="str">
        <x:v>EL400</x:v>
      </x:c>
      <x:c r="F83" t="str">
        <x:v>已匹配</x:v>
      </x:c>
      <x:c r="G83" t="str">
        <x:v>EL4002604130341605</x:v>
      </x:c>
      <x:c r="H83" t="str">
        <x:v>LOG-SRD26061707</x:v>
      </x:c>
      <x:c r="I83" t="str">
        <x:v>2184</x:v>
      </x:c>
    </x:row>
    <x:row r="84" ht="18">
      <x:c r="A84" s="3" t="s">
        <x:v>86</x:v>
      </x:c>
      <x:c r="B84" s="4">
        <x:v>36.729999999999997</x:v>
      </x:c>
      <x:c r="C84" s="7">
        <x:v>39.347000000000001</x:v>
      </x:c>
      <x:c r="D84" s="7" t="n">
        <x:f>C84-B84</x:f>
        <x:v>2.6170000000000044</x:v>
      </x:c>
      <x:c r="E84" t="str">
        <x:v>AC180</x:v>
      </x:c>
      <x:c r="F84" t="str">
        <x:v>已匹配</x:v>
      </x:c>
      <x:c r="G84" t="str">
        <x:v>AC1802438000691508</x:v>
      </x:c>
      <x:c r="H84" t="str">
        <x:v>LOG-CRP26061613</x:v>
      </x:c>
      <x:c r="I84" t="str">
        <x:v>2197</x:v>
      </x:c>
    </x:row>
    <x:row r="85" ht="18">
      <x:c r="A85" s="3" t="s">
        <x:v>87</x:v>
      </x:c>
      <x:c r="B85" s="4">
        <x:v>45.3</x:v>
      </x:c>
      <x:c r="C85" s="7">
        <x:v>49.401000000000003</x:v>
      </x:c>
      <x:c r="D85" s="7" t="n">
        <x:f>C85-B85</x:f>
        <x:v>4.101000000000006</x:v>
      </x:c>
      <x:c r="E85" t="str">
        <x:v>AC180</x:v>
      </x:c>
      <x:c r="F85" t="str">
        <x:v>已匹配</x:v>
      </x:c>
      <x:c r="G85" t="str">
        <x:v>AC1802419004125947</x:v>
      </x:c>
      <x:c r="H85" t="str">
        <x:v>LOG-SRL26061598</x:v>
      </x:c>
      <x:c r="I85" t="str">
        <x:v>2225</x:v>
      </x:c>
    </x:row>
    <x:row r="86" ht="18">
      <x:c r="A86" s="3" t="s">
        <x:v>88</x:v>
      </x:c>
      <x:c r="B86" s="4">
        <x:v>29.56</x:v>
      </x:c>
      <x:c r="C86" s="7">
        <x:v>32.387999999999998</x:v>
      </x:c>
      <x:c r="D86" s="7" t="n">
        <x:f>C86-B86</x:f>
        <x:v>2.8279999999999994</x:v>
      </x:c>
      <x:c r="E86"/>
      <x:c r="F86" t="str">
        <x:v>未匹配</x:v>
      </x:c>
      <x:c r="G86"/>
      <x:c r="H86"/>
      <x:c r="I86"/>
    </x:row>
    <x:row r="87" ht="18">
      <x:c r="A87" s="3" t="s">
        <x:v>89</x:v>
      </x:c>
      <x:c r="B87" s="4">
        <x:v>49.04</x:v>
      </x:c>
      <x:c r="C87" s="7">
        <x:v>61.811999999999998</x:v>
      </x:c>
      <x:c r="D87" s="7" t="n">
        <x:f>C87-B87</x:f>
        <x:v>12.771999999999998</x:v>
      </x:c>
      <x:c r="E87"/>
      <x:c r="F87" t="str">
        <x:v>未匹配</x:v>
      </x:c>
      <x:c r="G87"/>
      <x:c r="H87"/>
      <x:c r="I87"/>
    </x:row>
    <x:row r="88" ht="18">
      <x:c r="A88" s="3" t="s">
        <x:v>90</x:v>
      </x:c>
      <x:c r="B88" s="4">
        <x:v>39.03</x:v>
      </x:c>
      <x:c r="C88" s="7">
        <x:v>44.375999999999998</x:v>
      </x:c>
      <x:c r="D88" s="7" t="n">
        <x:f>C88-B88</x:f>
        <x:v>5.3459999999999965</x:v>
      </x:c>
      <x:c r="E88"/>
      <x:c r="F88" t="str">
        <x:v>未匹配</x:v>
      </x:c>
      <x:c r="G88"/>
      <x:c r="H88"/>
      <x:c r="I88"/>
    </x:row>
    <x:row r="89" ht="18">
      <x:c r="A89" s="3" t="s">
        <x:v>91</x:v>
      </x:c>
      <x:c r="B89" s="4">
        <x:v>34.049999999999997</x:v>
      </x:c>
      <x:c r="C89" s="7">
        <x:v>39.384</x:v>
      </x:c>
      <x:c r="D89" s="7" t="n">
        <x:f>C89-B89</x:f>
        <x:v>5.334000000000003</x:v>
      </x:c>
      <x:c r="E89"/>
      <x:c r="F89" t="str">
        <x:v>未匹配</x:v>
      </x:c>
      <x:c r="G89"/>
      <x:c r="H89"/>
      <x:c r="I89"/>
    </x:row>
    <x:row r="90" ht="18">
      <x:c r="A90" s="3" t="s">
        <x:v>92</x:v>
      </x:c>
      <x:c r="B90" s="4">
        <x:v>34.049999999999997</x:v>
      </x:c>
      <x:c r="C90" s="7">
        <x:v>39.384</x:v>
      </x:c>
      <x:c r="D90" s="7" t="n">
        <x:f>C90-B90</x:f>
        <x:v>5.334000000000003</x:v>
      </x:c>
      <x:c r="E90"/>
      <x:c r="F90" t="str">
        <x:v>未匹配</x:v>
      </x:c>
      <x:c r="G90"/>
      <x:c r="H90"/>
      <x:c r="I90"/>
    </x:row>
    <x:row r="91" ht="18">
      <x:c r="A91" s="3" t="s">
        <x:v>93</x:v>
      </x:c>
      <x:c r="B91" s="4">
        <x:v>40.700000000000003</x:v>
      </x:c>
      <x:c r="C91" s="7">
        <x:v>46.043999999999997</x:v>
      </x:c>
      <x:c r="D91" s="7" t="n">
        <x:f>C91-B91</x:f>
        <x:v>5.343999999999994</x:v>
      </x:c>
      <x:c r="E91"/>
      <x:c r="F91" t="str">
        <x:v>未匹配</x:v>
      </x:c>
      <x:c r="G91"/>
      <x:c r="H91"/>
      <x:c r="I91"/>
    </x:row>
    <x:row r="92" ht="18">
      <x:c r="A92" s="3" t="s">
        <x:v>94</x:v>
      </x:c>
      <x:c r="B92" s="4">
        <x:v>27.46</x:v>
      </x:c>
      <x:c r="C92" s="7">
        <x:v>31.908000000000001</x:v>
      </x:c>
      <x:c r="D92" s="7" t="n">
        <x:f>C92-B92</x:f>
        <x:v>4.448</x:v>
      </x:c>
      <x:c r="E92"/>
      <x:c r="F92" t="str">
        <x:v>未匹配</x:v>
      </x:c>
      <x:c r="G92"/>
      <x:c r="H92"/>
      <x:c r="I92"/>
    </x:row>
    <x:row r="93" ht="18">
      <x:c r="A93" s="3" t="s">
        <x:v>95</x:v>
      </x:c>
      <x:c r="B93" s="4">
        <x:v>34.049999999999997</x:v>
      </x:c>
      <x:c r="C93" s="7">
        <x:v>39.384</x:v>
      </x:c>
      <x:c r="D93" s="7" t="n">
        <x:f>C93-B93</x:f>
        <x:v>5.334000000000003</x:v>
      </x:c>
      <x:c r="E93"/>
      <x:c r="F93" t="str">
        <x:v>未匹配</x:v>
      </x:c>
      <x:c r="G93"/>
      <x:c r="H93"/>
      <x:c r="I93"/>
    </x:row>
    <x:row r="94" ht="18">
      <x:c r="A94" s="3" t="s">
        <x:v>96</x:v>
      </x:c>
      <x:c r="B94" s="4">
        <x:v>34.049999999999997</x:v>
      </x:c>
      <x:c r="C94" s="7">
        <x:v>39.384</x:v>
      </x:c>
      <x:c r="D94" s="7" t="n">
        <x:f>C94-B94</x:f>
        <x:v>5.334000000000003</x:v>
      </x:c>
      <x:c r="E94"/>
      <x:c r="F94" t="str">
        <x:v>未匹配</x:v>
      </x:c>
      <x:c r="G94"/>
      <x:c r="H94"/>
      <x:c r="I94"/>
    </x:row>
    <x:row r="95" ht="18">
      <x:c r="A95" s="3" t="s">
        <x:v>97</x:v>
      </x:c>
      <x:c r="B95" s="4">
        <x:v>40.700000000000003</x:v>
      </x:c>
      <x:c r="C95" s="7">
        <x:v>46.043999999999997</x:v>
      </x:c>
      <x:c r="D95" s="7" t="n">
        <x:f>C95-B95</x:f>
        <x:v>5.343999999999994</x:v>
      </x:c>
      <x:c r="E95"/>
      <x:c r="F95" t="str">
        <x:v>未匹配</x:v>
      </x:c>
      <x:c r="G95"/>
      <x:c r="H95"/>
      <x:c r="I95"/>
    </x:row>
    <x:row r="96" ht="18">
      <x:c r="A96" s="3" t="s">
        <x:v>98</x:v>
      </x:c>
      <x:c r="B96" s="4">
        <x:v>28.3</x:v>
      </x:c>
      <x:c r="C96" s="7">
        <x:v>32.735999999999997</x:v>
      </x:c>
      <x:c r="D96" s="7" t="n">
        <x:f>C96-B96</x:f>
        <x:v>4.435999999999996</x:v>
      </x:c>
      <x:c r="E96"/>
      <x:c r="F96" t="str">
        <x:v>未匹配</x:v>
      </x:c>
      <x:c r="G96"/>
      <x:c r="H96"/>
      <x:c r="I96"/>
    </x:row>
    <x:row r="97" ht="18">
      <x:c r="A97" s="3" t="s">
        <x:v>99</x:v>
      </x:c>
      <x:c r="B97" s="4">
        <x:v>34.049999999999997</x:v>
      </x:c>
      <x:c r="C97" s="7">
        <x:v>39.384</x:v>
      </x:c>
      <x:c r="D97" s="7" t="n">
        <x:f>C97-B97</x:f>
        <x:v>5.334000000000003</x:v>
      </x:c>
      <x:c r="E97"/>
      <x:c r="F97" t="str">
        <x:v>未匹配</x:v>
      </x:c>
      <x:c r="G97"/>
      <x:c r="H97"/>
      <x:c r="I97"/>
    </x:row>
    <x:row r="98" ht="18">
      <x:c r="A98" s="3" t="s">
        <x:v>100</x:v>
      </x:c>
      <x:c r="B98" s="4">
        <x:v>40.700000000000003</x:v>
      </x:c>
      <x:c r="C98" s="7">
        <x:v>46.043999999999997</x:v>
      </x:c>
      <x:c r="D98" s="7" t="n">
        <x:f>C98-B98</x:f>
        <x:v>5.343999999999994</x:v>
      </x:c>
      <x:c r="E98"/>
      <x:c r="F98" t="str">
        <x:v>未匹配</x:v>
      </x:c>
      <x:c r="G98"/>
      <x:c r="H98"/>
      <x:c r="I98"/>
    </x:row>
    <x:row r="99" ht="18">
      <x:c r="A99" s="3" t="s">
        <x:v>101</x:v>
      </x:c>
      <x:c r="B99" s="4">
        <x:v>31.75</x:v>
      </x:c>
      <x:c r="C99" s="7">
        <x:v>75.48</x:v>
      </x:c>
      <x:c r="D99" s="7" t="n">
        <x:f>C99-B99</x:f>
        <x:v>43.730000000000004</x:v>
      </x:c>
      <x:c r="E99"/>
      <x:c r="F99" t="str">
        <x:v>未匹配</x:v>
      </x:c>
      <x:c r="G99"/>
      <x:c r="H99"/>
      <x:c r="I99"/>
    </x:row>
    <x:row r="100" ht="18">
      <x:c r="A100" s="3" t="s">
        <x:v>102</x:v>
      </x:c>
      <x:c r="B100" s="4">
        <x:v>34.049999999999997</x:v>
      </x:c>
      <x:c r="C100" s="7">
        <x:v>39.384</x:v>
      </x:c>
      <x:c r="D100" s="7" t="n">
        <x:f>C100-B100</x:f>
        <x:v>5.334000000000003</x:v>
      </x:c>
      <x:c r="E100"/>
      <x:c r="F100" t="str">
        <x:v>未匹配</x:v>
      </x:c>
      <x:c r="G100"/>
      <x:c r="H100"/>
      <x:c r="I100"/>
    </x:row>
    <x:row r="101" ht="18">
      <x:c r="A101" s="3" t="s">
        <x:v>103</x:v>
      </x:c>
      <x:c r="B101" s="4">
        <x:v>44.41</x:v>
      </x:c>
      <x:c r="C101" s="7">
        <x:v>51.863999999999997</x:v>
      </x:c>
      <x:c r="D101" s="7" t="n">
        <x:f>C101-B101</x:f>
        <x:v>7.454000000000001</x:v>
      </x:c>
      <x:c r="E101"/>
      <x:c r="F101" t="str">
        <x:v>未匹配</x:v>
      </x:c>
      <x:c r="G101"/>
      <x:c r="H101"/>
      <x:c r="I101"/>
    </x:row>
    <x:row r="102" ht="18">
      <x:c r="A102" s="3" t="s">
        <x:v>104</x:v>
      </x:c>
      <x:c r="B102" s="4">
        <x:v>39.03</x:v>
      </x:c>
      <x:c r="C102" s="7">
        <x:v>44.375999999999998</x:v>
      </x:c>
      <x:c r="D102" s="7" t="n">
        <x:f>C102-B102</x:f>
        <x:v>5.3459999999999965</x:v>
      </x:c>
      <x:c r="E102"/>
      <x:c r="F102" t="str">
        <x:v>未匹配</x:v>
      </x:c>
      <x:c r="G102"/>
      <x:c r="H102"/>
      <x:c r="I102"/>
    </x:row>
    <x:row r="103" ht="18">
      <x:c r="A103" s="3" t="s">
        <x:v>105</x:v>
      </x:c>
      <x:c r="B103" s="4">
        <x:v>28.3</x:v>
      </x:c>
      <x:c r="C103" s="7">
        <x:v>32.735999999999997</x:v>
      </x:c>
      <x:c r="D103" s="7" t="n">
        <x:f>C103-B103</x:f>
        <x:v>4.435999999999996</x:v>
      </x:c>
      <x:c r="E103"/>
      <x:c r="F103" t="str">
        <x:v>未匹配</x:v>
      </x:c>
      <x:c r="G103"/>
      <x:c r="H103"/>
      <x:c r="I103"/>
    </x:row>
    <x:row r="104" ht="18">
      <x:c r="A104" s="3" t="s">
        <x:v>106</x:v>
      </x:c>
      <x:c r="B104" s="4">
        <x:v>34.049999999999997</x:v>
      </x:c>
      <x:c r="C104" s="7">
        <x:v>39.384</x:v>
      </x:c>
      <x:c r="D104" s="7" t="n">
        <x:f>C104-B104</x:f>
        <x:v>5.334000000000003</x:v>
      </x:c>
      <x:c r="E104"/>
      <x:c r="F104" t="str">
        <x:v>未匹配</x:v>
      </x:c>
      <x:c r="G104"/>
      <x:c r="H104"/>
      <x:c r="I104"/>
    </x:row>
    <x:row r="105" ht="18">
      <x:c r="A105" s="3" t="s">
        <x:v>107</x:v>
      </x:c>
      <x:c r="B105" s="4">
        <x:v>27.91</x:v>
      </x:c>
      <x:c r="C105" s="7">
        <x:v>32.892000000000003</x:v>
      </x:c>
      <x:c r="D105" s="7" t="n">
        <x:f>C105-B105</x:f>
        <x:v>4.982000000000003</x:v>
      </x:c>
      <x:c r="E105"/>
      <x:c r="F105" t="str">
        <x:v>未匹配</x:v>
      </x:c>
      <x:c r="G105"/>
      <x:c r="H105"/>
      <x:c r="I105"/>
    </x:row>
    <x:row r="106" ht="18">
      <x:c r="A106" s="3" t="s">
        <x:v>108</x:v>
      </x:c>
      <x:c r="B106" s="4">
        <x:v>25.39</x:v>
      </x:c>
      <x:c r="C106" s="7">
        <x:v>33.228000000000002</x:v>
      </x:c>
      <x:c r="D106" s="7" t="n">
        <x:f>C106-B106</x:f>
        <x:v>7.838000000000001</x:v>
      </x:c>
      <x:c r="E106"/>
      <x:c r="F106" t="str">
        <x:v>未匹配</x:v>
      </x:c>
      <x:c r="G106"/>
      <x:c r="H106"/>
      <x:c r="I106"/>
    </x:row>
    <x:row r="107" ht="18">
      <x:c r="A107" s="3" t="s">
        <x:v>109</x:v>
      </x:c>
      <x:c r="B107" s="4">
        <x:v>25.3</x:v>
      </x:c>
      <x:c r="C107" s="7">
        <x:v>28.536000000000001</x:v>
      </x:c>
      <x:c r="D107" s="7" t="n">
        <x:f>C107-B107</x:f>
        <x:v>3.2360000000000007</x:v>
      </x:c>
      <x:c r="E107"/>
      <x:c r="F107" t="str">
        <x:v>未匹配</x:v>
      </x:c>
      <x:c r="G107"/>
      <x:c r="H107"/>
      <x:c r="I107"/>
    </x:row>
    <x:row r="108" ht="18">
      <x:c r="A108" s="3" t="s">
        <x:v>110</x:v>
      </x:c>
      <x:c r="B108" s="4">
        <x:v>51.15</x:v>
      </x:c>
      <x:c r="C108" s="7">
        <x:v>64.308000000000007</x:v>
      </x:c>
      <x:c r="D108" s="7" t="n">
        <x:f>C108-B108</x:f>
        <x:v>13.158000000000008</x:v>
      </x:c>
      <x:c r="E108"/>
      <x:c r="F108" t="str">
        <x:v>未匹配</x:v>
      </x:c>
      <x:c r="G108"/>
      <x:c r="H108"/>
      <x:c r="I108"/>
    </x:row>
    <x:row r="109" ht="18">
      <x:c r="A109" s="3" t="s">
        <x:v>111</x:v>
      </x:c>
      <x:c r="B109" s="4">
        <x:v>33.15</x:v>
      </x:c>
      <x:c r="C109" s="7">
        <x:v>41.915999999999997</x:v>
      </x:c>
      <x:c r="D109" s="7" t="n">
        <x:f>C109-B109</x:f>
        <x:v>8.765999999999998</x:v>
      </x:c>
      <x:c r="E109"/>
      <x:c r="F109" t="str">
        <x:v>未匹配</x:v>
      </x:c>
      <x:c r="G109"/>
      <x:c r="H109"/>
      <x:c r="I109"/>
    </x:row>
    <x:row r="110" ht="18">
      <x:c r="A110" s="3" t="s">
        <x:v>112</x:v>
      </x:c>
      <x:c r="B110" s="4">
        <x:v>33.15</x:v>
      </x:c>
      <x:c r="C110" s="7">
        <x:v>41.915999999999997</x:v>
      </x:c>
      <x:c r="D110" s="7" t="n">
        <x:f>C110-B110</x:f>
        <x:v>8.765999999999998</x:v>
      </x:c>
      <x:c r="E110"/>
      <x:c r="F110" t="str">
        <x:v>未匹配</x:v>
      </x:c>
      <x:c r="G110"/>
      <x:c r="H110"/>
      <x:c r="I110"/>
    </x:row>
    <x:row r="111" ht="18">
      <x:c r="A111" s="3" t="s">
        <x:v>113</x:v>
      </x:c>
      <x:c r="B111" s="4">
        <x:v>33.15</x:v>
      </x:c>
      <x:c r="C111" s="7">
        <x:v>41.915999999999997</x:v>
      </x:c>
      <x:c r="D111" s="7" t="n">
        <x:f>C111-B111</x:f>
        <x:v>8.765999999999998</x:v>
      </x:c>
      <x:c r="E111"/>
      <x:c r="F111" t="str">
        <x:v>未匹配</x:v>
      </x:c>
      <x:c r="G111"/>
      <x:c r="H111"/>
      <x:c r="I111"/>
    </x:row>
    <x:row r="112" ht="18">
      <x:c r="A112" s="3" t="s">
        <x:v>114</x:v>
      </x:c>
      <x:c r="B112" s="4">
        <x:v>52.3</x:v>
      </x:c>
      <x:c r="C112" s="7">
        <x:v>57.177999999999997</x:v>
      </x:c>
      <x:c r="D112" s="7" t="n">
        <x:f>C112-B112</x:f>
        <x:v>4.878</x:v>
      </x:c>
      <x:c r="E112" t="str">
        <x:v>AC180</x:v>
      </x:c>
      <x:c r="F112" t="str">
        <x:v>已匹配</x:v>
      </x:c>
      <x:c r="G112" t="str">
        <x:v>AC1802452001026857</x:v>
      </x:c>
      <x:c r="H112" t="str">
        <x:v>LOG-CRP26061565</x:v>
      </x:c>
      <x:c r="I112" t="str">
        <x:v>2403</x:v>
      </x:c>
    </x:row>
    <x:row r="113" ht="18">
      <x:c r="A113" s="3" t="s">
        <x:v>115</x:v>
      </x:c>
      <x:c r="B113" s="4">
        <x:v>35.03</x:v>
      </x:c>
      <x:c r="C113" s="7">
        <x:v>57.453000000000003</x:v>
      </x:c>
      <x:c r="D113" s="7" t="n">
        <x:f>C113-B113</x:f>
        <x:v>22.423000000000002</x:v>
      </x:c>
      <x:c r="E113" t="str">
        <x:v>EL100V2</x:v>
      </x:c>
      <x:c r="F113" t="str">
        <x:v>已匹配</x:v>
      </x:c>
      <x:c r="G113" t="str">
        <x:v>EL100V22523010258882</x:v>
      </x:c>
      <x:c r="H113" t="str">
        <x:v>LOG-SRL26061514</x:v>
      </x:c>
      <x:c r="I113" t="str">
        <x:v>2208</x:v>
      </x:c>
    </x:row>
    <x:row r="114" ht="18">
      <x:c r="A114" s="3" t="s">
        <x:v>116</x:v>
      </x:c>
      <x:c r="B114" s="4">
        <x:v>19.510000000000002</x:v>
      </x:c>
      <x:c r="C114" s="7">
        <x:v>71.016000000000005</x:v>
      </x:c>
      <x:c r="D114" s="7" t="n">
        <x:f>C114-B114</x:f>
        <x:v>51.506</x:v>
      </x:c>
      <x:c r="E114" t="str">
        <x:v>AC200L</x:v>
      </x:c>
      <x:c r="F114" t="str">
        <x:v>已匹配</x:v>
      </x:c>
      <x:c r="G114" t="str">
        <x:v>AC200L2451000987452</x:v>
      </x:c>
      <x:c r="H114" t="str">
        <x:v>LOG-SRL26061508</x:v>
      </x:c>
      <x:c r="I114" t="str">
        <x:v>2167</x:v>
      </x:c>
    </x:row>
    <x:row r="115" ht="18">
      <x:c r="A115" s="3" t="s">
        <x:v>117</x:v>
      </x:c>
      <x:c r="B115" s="4">
        <x:v>32.47</x:v>
      </x:c>
      <x:c r="C115" s="7">
        <x:v>36.585999999999999</x:v>
      </x:c>
      <x:c r="D115" s="7" t="n">
        <x:f>C115-B115</x:f>
        <x:v>4.116</x:v>
      </x:c>
      <x:c r="E115" t="str">
        <x:v>EL100V2</x:v>
      </x:c>
      <x:c r="F115" t="str">
        <x:v>已匹配</x:v>
      </x:c>
      <x:c r="G115" t="str">
        <x:v>EL100V22537013898576</x:v>
      </x:c>
      <x:c r="H115" t="str">
        <x:v>LOG-SRL26061457</x:v>
      </x:c>
      <x:c r="I115" t="str">
        <x:v>2299</x:v>
      </x:c>
    </x:row>
    <x:row r="116" ht="18">
      <x:c r="A116" s="3" t="s">
        <x:v>118</x:v>
      </x:c>
      <x:c r="B116" s="4">
        <x:v>19.12</x:v>
      </x:c>
      <x:c r="C116" s="7">
        <x:v>89.584000000000003</x:v>
      </x:c>
      <x:c r="D116" s="7" t="n">
        <x:f>C116-B116</x:f>
        <x:v>70.464</x:v>
      </x:c>
      <x:c r="E116"/>
      <x:c r="F116" t="str">
        <x:v>未匹配</x:v>
      </x:c>
      <x:c r="G116"/>
      <x:c r="H116"/>
      <x:c r="I116"/>
    </x:row>
    <x:row r="117" ht="18">
      <x:c r="A117" s="3" t="s">
        <x:v>119</x:v>
      </x:c>
      <x:c r="B117" s="4">
        <x:v>83.03</x:v>
      </x:c>
      <x:c r="C117" s="7">
        <x:v>91.003</x:v>
      </x:c>
      <x:c r="D117" s="7" t="n">
        <x:f>C117-B117</x:f>
        <x:v>7.972999999999999</x:v>
      </x:c>
      <x:c r="E117" t="str">
        <x:v>AP300</x:v>
      </x:c>
      <x:c r="F117" t="str">
        <x:v>已匹配</x:v>
      </x:c>
      <x:c r="G117" t="str">
        <x:v>AP3002543130695346</x:v>
      </x:c>
      <x:c r="H117" t="str">
        <x:v>LOG-SRL26075085</x:v>
      </x:c>
      <x:c r="I117" t="str">
        <x:v>3002</x:v>
      </x:c>
    </x:row>
    <x:row r="118" ht="18">
      <x:c r="A118" s="3" t="s">
        <x:v>120</x:v>
      </x:c>
      <x:c r="B118" s="4">
        <x:v>19.12</x:v>
      </x:c>
      <x:c r="C118" s="7">
        <x:v>22.780999999999999</x:v>
      </x:c>
      <x:c r="D118" s="7" t="n">
        <x:f>C118-B118</x:f>
        <x:v>3.660999999999998</x:v>
      </x:c>
      <x:c r="E118" t="str">
        <x:v>AC2A</x:v>
      </x:c>
      <x:c r="F118" t="str">
        <x:v>已匹配</x:v>
      </x:c>
      <x:c r="G118" t="str">
        <x:v>AC2A2341000690656</x:v>
      </x:c>
      <x:c r="H118" t="str">
        <x:v>LOG-CRP26074611</x:v>
      </x:c>
      <x:c r="I118" t="str">
        <x:v>2938</x:v>
      </x:c>
    </x:row>
    <x:row r="119" ht="18">
      <x:c r="A119" s="3" t="s">
        <x:v>121</x:v>
      </x:c>
      <x:c r="B119" s="4">
        <x:v>42.01</x:v>
      </x:c>
      <x:c r="C119" s="7">
        <x:v>84.381</x:v>
      </x:c>
      <x:c r="D119" s="7" t="n">
        <x:f>C119-B119</x:f>
        <x:v>42.371</x:v>
      </x:c>
      <x:c r="E119" t="str">
        <x:v>FRPOWER</x:v>
      </x:c>
      <x:c r="F119" t="str">
        <x:v>已匹配</x:v>
      </x:c>
      <x:c r="G119" t="str">
        <x:v>FP2543112485057</x:v>
      </x:c>
      <x:c r="H119" t="str">
        <x:v>LOG-SRL26074999</x:v>
      </x:c>
      <x:c r="I119" t="str">
        <x:v>2957</x:v>
      </x:c>
    </x:row>
    <x:row r="120" ht="18">
      <x:c r="A120" s="3" t="s">
        <x:v>122</x:v>
      </x:c>
      <x:c r="B120" s="4">
        <x:v>72.099999999999994</x:v>
      </x:c>
      <x:c r="C120" s="7">
        <x:v>75.349999999999994</x:v>
      </x:c>
      <x:c r="D120" s="7" t="n">
        <x:f>C120-B120</x:f>
        <x:v>3.25</x:v>
      </x:c>
      <x:c r="E120" t="str">
        <x:v>EL300</x:v>
      </x:c>
      <x:c r="F120" t="str">
        <x:v>已匹配</x:v>
      </x:c>
      <x:c r="G120" t="str">
        <x:v>EL3002609135922544</x:v>
      </x:c>
      <x:c r="H120" t="str">
        <x:v>LOG-SRL26074983</x:v>
      </x:c>
      <x:c r="I120" t="str">
        <x:v>2930</x:v>
      </x:c>
    </x:row>
    <x:row r="121" ht="18">
      <x:c r="A121" s="3" t="s">
        <x:v>123</x:v>
      </x:c>
      <x:c r="B121" s="4">
        <x:v>42.02</x:v>
      </x:c>
      <x:c r="C121" s="7">
        <x:v>84.403000000000006</x:v>
      </x:c>
      <x:c r="D121" s="7" t="n">
        <x:f>C121-B121</x:f>
        <x:v>42.383</x:v>
      </x:c>
      <x:c r="E121" t="str">
        <x:v>FRPOWER</x:v>
      </x:c>
      <x:c r="F121" t="str">
        <x:v>已匹配</x:v>
      </x:c>
      <x:c r="G121" t="str">
        <x:v>FP2542115928489</x:v>
      </x:c>
      <x:c r="H121" t="str">
        <x:v>LOG-SRL26074971</x:v>
      </x:c>
      <x:c r="I121" t="str">
        <x:v>2924</x:v>
      </x:c>
    </x:row>
    <x:row r="122" ht="18">
      <x:c r="A122" s="3" t="s">
        <x:v>124</x:v>
      </x:c>
      <x:c r="B122" s="4">
        <x:v>75.05</x:v>
      </x:c>
      <x:c r="C122" s="7">
        <x:v>81.674999999999997</x:v>
      </x:c>
      <x:c r="D122" s="7" t="n">
        <x:f>C122-B122</x:f>
        <x:v>6.625</x:v>
      </x:c>
      <x:c r="E122" t="str">
        <x:v>B300K2</x:v>
      </x:c>
      <x:c r="F122" t="str">
        <x:v>已匹配</x:v>
      </x:c>
      <x:c r="G122" t="str">
        <x:v>B300K2541003502035</x:v>
      </x:c>
      <x:c r="H122" t="str">
        <x:v>LOG-SRL26074970</x:v>
      </x:c>
      <x:c r="I122" t="str">
        <x:v>2929</x:v>
      </x:c>
    </x:row>
    <x:row r="123" ht="18">
      <x:c r="A123" s="3" t="s">
        <x:v>125</x:v>
      </x:c>
      <x:c r="B123" s="4">
        <x:v>70.66</x:v>
      </x:c>
      <x:c r="C123" s="7">
        <x:v>92.444000000000003</x:v>
      </x:c>
      <x:c r="D123" s="7" t="n">
        <x:f>C123-B123</x:f>
        <x:v>21.784000000000006</x:v>
      </x:c>
      <x:c r="E123" t="str">
        <x:v>B300</x:v>
      </x:c>
      <x:c r="F123" t="str">
        <x:v>已匹配</x:v>
      </x:c>
      <x:c r="G123" t="str">
        <x:v>60300Q22250755</x:v>
      </x:c>
      <x:c r="H123" t="str">
        <x:v>LOG-SRL26074883</x:v>
      </x:c>
      <x:c r="I123" t="str">
        <x:v>2927</x:v>
      </x:c>
    </x:row>
    <x:row r="124" ht="18">
      <x:c r="A124" s="3" t="s">
        <x:v>126</x:v>
      </x:c>
      <x:c r="B124" s="4">
        <x:v>24.54</x:v>
      </x:c>
      <x:c r="C124" s="7">
        <x:v>27.620999999999999</x:v>
      </x:c>
      <x:c r="D124" s="7" t="n">
        <x:f>C124-B124</x:f>
        <x:v>3.0809999999999995</x:v>
      </x:c>
      <x:c r="E124" t="str">
        <x:v>AC70</x:v>
      </x:c>
      <x:c r="F124" t="str">
        <x:v>已匹配</x:v>
      </x:c>
      <x:c r="G124" t="str">
        <x:v>AC702444001363827</x:v>
      </x:c>
      <x:c r="H124" t="str">
        <x:v>LOG-SRL26074856</x:v>
      </x:c>
      <x:c r="I124" t="str">
        <x:v>2887</x:v>
      </x:c>
    </x:row>
    <x:row r="125" ht="18">
      <x:c r="A125" s="3" t="s">
        <x:v>127</x:v>
      </x:c>
      <x:c r="B125" s="4">
        <x:v>72.08</x:v>
      </x:c>
      <x:c r="C125" s="7">
        <x:v>79.188999999999993</x:v>
      </x:c>
      <x:c r="D125" s="7" t="n">
        <x:f>C125-B125</x:f>
        <x:v>7.108999999999995</x:v>
      </x:c>
      <x:c r="E125" t="str">
        <x:v>AC200L</x:v>
      </x:c>
      <x:c r="F125" t="str">
        <x:v>已匹配</x:v>
      </x:c>
      <x:c r="G125" t="str">
        <x:v>AC200L2343920386246</x:v>
      </x:c>
      <x:c r="H125" t="str">
        <x:v>LOG-CRP26074838</x:v>
      </x:c>
      <x:c r="I125" t="str">
        <x:v>3082</x:v>
      </x:c>
    </x:row>
    <x:row r="126" ht="18">
      <x:c r="A126" s="3" t="s">
        <x:v>128</x:v>
      </x:c>
      <x:c r="B126" s="4">
        <x:v>26.36</x:v>
      </x:c>
      <x:c r="C126" s="7">
        <x:v>30.524999999999999</x:v>
      </x:c>
      <x:c r="D126" s="7" t="n">
        <x:f>C126-B126</x:f>
        <x:v>4.164999999999999</x:v>
      </x:c>
      <x:c r="E126" t="str">
        <x:v>EL100V2</x:v>
      </x:c>
      <x:c r="F126" t="str">
        <x:v>已匹配</x:v>
      </x:c>
      <x:c r="G126" t="str">
        <x:v>EL100V22539005496313</x:v>
      </x:c>
      <x:c r="H126" t="str">
        <x:v>LOG-SRL26074825</x:v>
      </x:c>
      <x:c r="I126" t="str">
        <x:v>3057</x:v>
      </x:c>
    </x:row>
    <x:row r="127" ht="18">
      <x:c r="A127" s="3" t="s">
        <x:v>129</x:v>
      </x:c>
      <x:c r="B127" s="4">
        <x:v>20.7</x:v>
      </x:c>
      <x:c r="C127" s="7">
        <x:v>23.847999999999999</x:v>
      </x:c>
      <x:c r="D127" s="7" t="n">
        <x:f>C127-B127</x:f>
        <x:v>3.1479999999999997</x:v>
      </x:c>
      <x:c r="E127" t="str">
        <x:v>AC50B</x:v>
      </x:c>
      <x:c r="F127" t="str">
        <x:v>已匹配</x:v>
      </x:c>
      <x:c r="G127" t="str">
        <x:v>AC50B2547231937934</x:v>
      </x:c>
      <x:c r="H127" t="str">
        <x:v>LOG-SRD26074792</x:v>
      </x:c>
      <x:c r="I127" t="str">
        <x:v>3011</x:v>
      </x:c>
    </x:row>
    <x:row r="128" ht="18">
      <x:c r="A128" s="3" t="s">
        <x:v>130</x:v>
      </x:c>
      <x:c r="B128" s="4">
        <x:v>20.83</x:v>
      </x:c>
      <x:c r="C128" s="7">
        <x:v>25.486999999999998</x:v>
      </x:c>
      <x:c r="D128" s="7" t="n">
        <x:f>C128-B128</x:f>
        <x:v>4.657</x:v>
      </x:c>
      <x:c r="E128" t="str">
        <x:v>EL100V2</x:v>
      </x:c>
      <x:c r="F128" t="str">
        <x:v>已匹配</x:v>
      </x:c>
      <x:c r="G128" t="str">
        <x:v>EL100V22532011413915</x:v>
      </x:c>
      <x:c r="H128" t="str">
        <x:v>LOG-SRD26074727</x:v>
      </x:c>
      <x:c r="I128" t="str">
        <x:v>2934</x:v>
      </x:c>
    </x:row>
    <x:row r="129" ht="18">
      <x:c r="A129" s="3" t="s">
        <x:v>131</x:v>
      </x:c>
      <x:c r="B129" s="4">
        <x:v>70.53</x:v>
      </x:c>
      <x:c r="C129" s="7">
        <x:v>80.058000000000007</x:v>
      </x:c>
      <x:c r="D129" s="7" t="n">
        <x:f>C129-B129</x:f>
        <x:v>9.528000000000006</x:v>
      </x:c>
      <x:c r="E129" t="str">
        <x:v>B300S</x:v>
      </x:c>
      <x:c r="F129" t="str">
        <x:v>已匹配</x:v>
      </x:c>
      <x:c r="G129" t="str">
        <x:v>90259Q22390169</x:v>
      </x:c>
      <x:c r="H129" t="str">
        <x:v>LOG-CRP26080245</x:v>
      </x:c>
      <x:c r="I129" t="str">
        <x:v>2838</x:v>
      </x:c>
    </x:row>
    <x:row r="130" ht="18">
      <x:c r="A130" s="3" t="s">
        <x:v>132</x:v>
      </x:c>
      <x:c r="B130" s="4">
        <x:v>55.87</x:v>
      </x:c>
      <x:c r="C130" s="7">
        <x:v>99.539000000000001</x:v>
      </x:c>
      <x:c r="D130" s="7" t="n">
        <x:f>C130-B130</x:f>
        <x:v>43.669000000000004</x:v>
      </x:c>
      <x:c r="E130" t="str">
        <x:v>Elite 200 V2</x:v>
      </x:c>
      <x:c r="F130" t="str">
        <x:v>已匹配</x:v>
      </x:c>
      <x:c r="G130" t="str">
        <x:v>Elite 200 V22537022642545</x:v>
      </x:c>
      <x:c r="H130" t="str">
        <x:v>LOG-SRD26074726</x:v>
      </x:c>
      <x:c r="I130" t="str">
        <x:v>2890</x:v>
      </x:c>
    </x:row>
    <x:row r="131" ht="18">
      <x:c r="A131" s="3" t="s">
        <x:v>133</x:v>
      </x:c>
      <x:c r="B131" s="4">
        <x:v>45.21</x:v>
      </x:c>
      <x:c r="C131" s="7">
        <x:v>49.302</x:v>
      </x:c>
      <x:c r="D131" s="7" t="n">
        <x:f>C131-B131</x:f>
        <x:v>4.091999999999999</x:v>
      </x:c>
      <x:c r="E131" t="str">
        <x:v>AC180</x:v>
      </x:c>
      <x:c r="F131" t="str">
        <x:v>已匹配</x:v>
      </x:c>
      <x:c r="G131" t="str">
        <x:v>AC1802413002116772</x:v>
      </x:c>
      <x:c r="H131" t="str">
        <x:v>LOG-SRL26074677</x:v>
      </x:c>
      <x:c r="I131" t="str">
        <x:v>2885</x:v>
      </x:c>
    </x:row>
    <x:row r="132" ht="18">
      <x:c r="A132" s="3" t="s">
        <x:v>134</x:v>
      </x:c>
      <x:c r="B132" s="4">
        <x:v>45.21</x:v>
      </x:c>
      <x:c r="C132" s="7">
        <x:v>49.511000000000003</x:v>
      </x:c>
      <x:c r="D132" s="7" t="n">
        <x:f>C132-B132</x:f>
        <x:v>4.301000000000002</x:v>
      </x:c>
      <x:c r="E132" t="str">
        <x:v>AC180</x:v>
      </x:c>
      <x:c r="F132" t="str">
        <x:v>已匹配</x:v>
      </x:c>
      <x:c r="G132" t="str">
        <x:v>AC1802411002562652</x:v>
      </x:c>
      <x:c r="H132" t="str">
        <x:v>LOG-CRP26075056</x:v>
      </x:c>
      <x:c r="I132" t="str">
        <x:v>2853</x:v>
      </x:c>
    </x:row>
    <x:row r="133" ht="18">
      <x:c r="A133" s="3" t="s">
        <x:v>135</x:v>
      </x:c>
      <x:c r="B133" s="4">
        <x:v>27.41</x:v>
      </x:c>
      <x:c r="C133" s="7">
        <x:v>30.404</x:v>
      </x:c>
      <x:c r="D133" s="7" t="n">
        <x:f>C133-B133</x:f>
        <x:v>2.9939999999999998</x:v>
      </x:c>
      <x:c r="E133" t="str">
        <x:v>EL100V2</x:v>
      </x:c>
      <x:c r="F133" t="str">
        <x:v>已匹配</x:v>
      </x:c>
      <x:c r="G133" t="str">
        <x:v>EL100V22528042929301</x:v>
      </x:c>
      <x:c r="H133" t="str">
        <x:v>LOG-SRL26074640</x:v>
      </x:c>
      <x:c r="I133" t="str">
        <x:v>2897</x:v>
      </x:c>
    </x:row>
    <x:row r="134" ht="18">
      <x:c r="A134" s="3" t="s">
        <x:v>136</x:v>
      </x:c>
      <x:c r="B134" s="4">
        <x:v>32.4</x:v>
      </x:c>
      <x:c r="C134" s="7">
        <x:v>38.302</x:v>
      </x:c>
      <x:c r="D134" s="7" t="n">
        <x:f>C134-B134</x:f>
        <x:v>5.902000000000001</x:v>
      </x:c>
      <x:c r="E134" t="str">
        <x:v>EL100V2</x:v>
      </x:c>
      <x:c r="F134" t="str">
        <x:v>已匹配</x:v>
      </x:c>
      <x:c r="G134" t="str">
        <x:v>EL100V22542000642131</x:v>
      </x:c>
      <x:c r="H134" t="str">
        <x:v>LOG-SRL26074615</x:v>
      </x:c>
      <x:c r="I134" t="str">
        <x:v>2892</x:v>
      </x:c>
    </x:row>
    <x:row r="135" ht="18">
      <x:c r="A135" s="3" t="s">
        <x:v>137</x:v>
      </x:c>
      <x:c r="B135" s="4">
        <x:v>110.17</x:v>
      </x:c>
      <x:c r="C135" s="7">
        <x:v>112.574</x:v>
      </x:c>
      <x:c r="D135" s="7" t="n">
        <x:f>C135-B135</x:f>
        <x:v>2.4039999999999964</x:v>
      </x:c>
      <x:c r="E135" t="str">
        <x:v>AP300</x:v>
      </x:c>
      <x:c r="F135" t="str">
        <x:v>已匹配</x:v>
      </x:c>
      <x:c r="G135" t="str">
        <x:v>AP3002543130016795</x:v>
      </x:c>
      <x:c r="H135" t="str">
        <x:v>LOG-CRP26074614</x:v>
      </x:c>
      <x:c r="I135" t="str">
        <x:v>3051</x:v>
      </x:c>
    </x:row>
    <x:row r="136" ht="18">
      <x:c r="A136" s="3" t="s">
        <x:v>138</x:v>
      </x:c>
      <x:c r="B136" s="4">
        <x:v>91.33</x:v>
      </x:c>
      <x:c r="C136" s="7">
        <x:v>103.675</x:v>
      </x:c>
      <x:c r="D136" s="7" t="n">
        <x:f>C136-B136</x:f>
        <x:v>12.344999999999999</x:v>
      </x:c>
      <x:c r="E136" t="str">
        <x:v>EL400</x:v>
      </x:c>
      <x:c r="F136" t="str">
        <x:v>已匹配</x:v>
      </x:c>
      <x:c r="G136" t="str">
        <x:v>EL4002604130362161</x:v>
      </x:c>
      <x:c r="H136" t="str">
        <x:v>EL4002604130362161</x:v>
      </x:c>
      <x:c r="I136" t="str">
        <x:v>2823</x:v>
      </x:c>
    </x:row>
    <x:row r="137" ht="18">
      <x:c r="A137" s="3" t="s">
        <x:v>139</x:v>
      </x:c>
      <x:c r="B137" s="4">
        <x:v>21.81</x:v>
      </x:c>
      <x:c r="C137" s="7">
        <x:v>24.233000000000001</x:v>
      </x:c>
      <x:c r="D137" s="7" t="n">
        <x:f>C137-B137</x:f>
        <x:v>2.423000000000002</x:v>
      </x:c>
      <x:c r="E137" t="str">
        <x:v>EL100V2</x:v>
      </x:c>
      <x:c r="F137" t="str">
        <x:v>已匹配</x:v>
      </x:c>
      <x:c r="G137" t="str">
        <x:v>EL100V22526091127598</x:v>
      </x:c>
      <x:c r="H137" t="str">
        <x:v>LOG-SRD26074607</x:v>
      </x:c>
      <x:c r="I137" t="str">
        <x:v>2813</x:v>
      </x:c>
    </x:row>
    <x:row r="138" ht="18">
      <x:c r="A138" s="3" t="s">
        <x:v>140</x:v>
      </x:c>
      <x:c r="B138" s="4">
        <x:v>25.39</x:v>
      </x:c>
      <x:c r="C138" s="7">
        <x:v>30.404</x:v>
      </x:c>
      <x:c r="D138" s="7" t="n">
        <x:f>C138-B138</x:f>
        <x:v>5.013999999999999</x:v>
      </x:c>
      <x:c r="E138" t="str">
        <x:v>EL100V2</x:v>
      </x:c>
      <x:c r="F138" t="str">
        <x:v>已匹配</x:v>
      </x:c>
      <x:c r="G138" t="str">
        <x:v>EL100V22537000934596</x:v>
      </x:c>
      <x:c r="H138" t="str">
        <x:v>LOG-SRD26075055</x:v>
      </x:c>
      <x:c r="I138" t="str">
        <x:v>2854</x:v>
      </x:c>
    </x:row>
    <x:row r="139" ht="18">
      <x:c r="A139" s="3" t="s">
        <x:v>141</x:v>
      </x:c>
      <x:c r="B139" s="4">
        <x:v>55.45</x:v>
      </x:c>
      <x:c r="C139" s="7">
        <x:v>96.602000000000004</x:v>
      </x:c>
      <x:c r="D139" s="7" t="n">
        <x:f>C139-B139</x:f>
        <x:v>41.152</x:v>
      </x:c>
      <x:c r="E139" t="str">
        <x:v>AC300</x:v>
      </x:c>
      <x:c r="F139" t="str">
        <x:v>已匹配</x:v>
      </x:c>
      <x:c r="G139" t="str">
        <x:v>AC3002224000438005</x:v>
      </x:c>
      <x:c r="H139" t="str">
        <x:v>LOG-CRP26075025</x:v>
      </x:c>
      <x:c r="I139" t="str">
        <x:v>3042</x:v>
      </x:c>
    </x:row>
    <x:row r="140" ht="18">
      <x:c r="A140" s="3" t="s">
        <x:v>142</x:v>
      </x:c>
      <x:c r="B140" s="4">
        <x:v>69.59</x:v>
      </x:c>
      <x:c r="C140" s="7">
        <x:v>71.918000000000006</x:v>
      </x:c>
      <x:c r="D140" s="7" t="n">
        <x:f>C140-B140</x:f>
        <x:v>2.328000000000003</x:v>
      </x:c>
      <x:c r="E140" t="str">
        <x:v>AC200L</x:v>
      </x:c>
      <x:c r="F140" t="str">
        <x:v>已匹配</x:v>
      </x:c>
      <x:c r="G140" t="str">
        <x:v>AC200L2439001643472</x:v>
      </x:c>
      <x:c r="H140" t="str">
        <x:v>LOG-SRL26073921</x:v>
      </x:c>
      <x:c r="I140" t="str">
        <x:v>2895</x:v>
      </x:c>
    </x:row>
    <x:row r="141" ht="18">
      <x:c r="A141" s="3" t="s">
        <x:v>143</x:v>
      </x:c>
      <x:c r="B141" s="4">
        <x:v>19.46</x:v>
      </x:c>
      <x:c r="C141" s="7">
        <x:v>28.864000000000001</x:v>
      </x:c>
      <x:c r="D141" s="7" t="n">
        <x:f>C141-B141</x:f>
        <x:v>9.404</x:v>
      </x:c>
      <x:c r="E141" t="str">
        <x:v>AC180</x:v>
      </x:c>
      <x:c r="F141" t="str">
        <x:v>已匹配</x:v>
      </x:c>
      <x:c r="G141" t="str">
        <x:v>AC1802419003205560</x:v>
      </x:c>
      <x:c r="H141" t="str">
        <x:v>LOG-CRP26074531</x:v>
      </x:c>
      <x:c r="I141" t="str">
        <x:v>2822</x:v>
      </x:c>
    </x:row>
    <x:row r="142" ht="18">
      <x:c r="A142" s="3" t="s">
        <x:v>144</x:v>
      </x:c>
      <x:c r="B142" s="4">
        <x:v>83.03</x:v>
      </x:c>
      <x:c r="C142" s="7">
        <x:v>90.64</x:v>
      </x:c>
      <x:c r="D142" s="7" t="n">
        <x:f>C142-B142</x:f>
        <x:v>7.609999999999999</x:v>
      </x:c>
      <x:c r="E142" t="str">
        <x:v>B300S</x:v>
      </x:c>
      <x:c r="F142" t="str">
        <x:v>已匹配</x:v>
      </x:c>
      <x:c r="G142" t="str">
        <x:v>1120218L287225100421</x:v>
      </x:c>
      <x:c r="H142" t="str">
        <x:v>LOG-CRP26074359</x:v>
      </x:c>
      <x:c r="I142" t="str">
        <x:v>2797</x:v>
      </x:c>
    </x:row>
    <x:row r="143" ht="18">
      <x:c r="A143" s="3" t="s">
        <x:v>145</x:v>
      </x:c>
      <x:c r="B143" s="4">
        <x:v>29.38</x:v>
      </x:c>
      <x:c r="C143" s="7">
        <x:v>32.548999999999999</x:v>
      </x:c>
      <x:c r="D143" s="7" t="n">
        <x:f>C143-B143</x:f>
        <x:v>3.1690000000000005</x:v>
      </x:c>
      <x:c r="E143"/>
      <x:c r="F143" t="str">
        <x:v>未匹配</x:v>
      </x:c>
      <x:c r="G143"/>
      <x:c r="H143"/>
      <x:c r="I143"/>
    </x:row>
    <x:row r="144" ht="18">
      <x:c r="A144" s="3" t="s">
        <x:v>146</x:v>
      </x:c>
      <x:c r="B144" s="4">
        <x:v>17.399999999999999</x:v>
      </x:c>
      <x:c r="C144" s="7">
        <x:v>19.404</x:v>
      </x:c>
      <x:c r="D144" s="7" t="n">
        <x:f>C144-B144</x:f>
        <x:v>2.0040000000000013</x:v>
      </x:c>
      <x:c r="E144" t="str">
        <x:v>AC50B</x:v>
      </x:c>
      <x:c r="F144" t="str">
        <x:v>已匹配</x:v>
      </x:c>
      <x:c r="G144" t="str">
        <x:v>AC50B2547231810566</x:v>
      </x:c>
      <x:c r="H144" t="str">
        <x:v>LOG-SRD26074360</x:v>
      </x:c>
      <x:c r="I144" t="str">
        <x:v>2807</x:v>
      </x:c>
    </x:row>
    <x:row r="145" ht="18">
      <x:c r="A145" s="3" t="s">
        <x:v>147</x:v>
      </x:c>
      <x:c r="B145" s="4">
        <x:v>23.15</x:v>
      </x:c>
      <x:c r="C145" s="7">
        <x:v>52.14</x:v>
      </x:c>
      <x:c r="D145" s="7" t="n">
        <x:f>C145-B145</x:f>
        <x:v>28.990000000000002</x:v>
      </x:c>
      <x:c r="E145" t="str">
        <x:v>EL100V2</x:v>
      </x:c>
      <x:c r="F145" t="str">
        <x:v>已匹配</x:v>
      </x:c>
      <x:c r="G145" t="str">
        <x:v>EL100V22534009763257</x:v>
      </x:c>
      <x:c r="H145" t="str">
        <x:v>LOG-SRL26074265</x:v>
      </x:c>
      <x:c r="I145" t="str">
        <x:v>2837</x:v>
      </x:c>
    </x:row>
    <x:row r="146" ht="18">
      <x:c r="A146" s="3" t="s">
        <x:v>148</x:v>
      </x:c>
      <x:c r="B146" s="4">
        <x:v>36.65</x:v>
      </x:c>
      <x:c r="C146" s="7">
        <x:v>39.302999999999997</x:v>
      </x:c>
      <x:c r="D146" s="7" t="n">
        <x:f>C146-B146</x:f>
        <x:v>2.6529999999999987</x:v>
      </x:c>
      <x:c r="E146" t="str">
        <x:v>AC180</x:v>
      </x:c>
      <x:c r="F146" t="str">
        <x:v>已匹配</x:v>
      </x:c>
      <x:c r="G146" t="str">
        <x:v>AC1802339002100985</x:v>
      </x:c>
      <x:c r="H146" t="str">
        <x:v>LOG-CRP26074229</x:v>
      </x:c>
      <x:c r="I146" t="str">
        <x:v>2947</x:v>
      </x:c>
    </x:row>
    <x:row r="147" ht="18">
      <x:c r="A147" s="3" t="s">
        <x:v>149</x:v>
      </x:c>
      <x:c r="B147" s="4">
        <x:v>20.32</x:v>
      </x:c>
      <x:c r="C147" s="7">
        <x:v>22.55</x:v>
      </x:c>
      <x:c r="D147" s="7" t="n">
        <x:f>C147-B147</x:f>
        <x:v>2.2300000000000004</x:v>
      </x:c>
      <x:c r="E147" t="str">
        <x:v>EL100V2</x:v>
      </x:c>
      <x:c r="F147" t="str">
        <x:v>已匹配</x:v>
      </x:c>
      <x:c r="G147" t="str">
        <x:v>EL100V22532031567917</x:v>
      </x:c>
      <x:c r="H147" t="str">
        <x:v>LOG-SRL26074148</x:v>
      </x:c>
      <x:c r="I147" t="str">
        <x:v>2918</x:v>
      </x:c>
    </x:row>
    <x:row r="148" ht="18">
      <x:c r="A148" s="3" t="s">
        <x:v>150</x:v>
      </x:c>
      <x:c r="B148" s="4">
        <x:v>103.39</x:v>
      </x:c>
      <x:c r="C148" s="7">
        <x:v>117.90900000000001</x:v>
      </x:c>
      <x:c r="D148" s="7" t="n">
        <x:f>C148-B148</x:f>
        <x:v>14.519000000000005</x:v>
      </x:c>
      <x:c r="E148" t="str">
        <x:v>EL400</x:v>
      </x:c>
      <x:c r="F148" t="str">
        <x:v>已匹配</x:v>
      </x:c>
      <x:c r="G148" t="str">
        <x:v>EL4002604234002484</x:v>
      </x:c>
      <x:c r="H148" t="str">
        <x:v>LOG-SRD26074133</x:v>
      </x:c>
      <x:c r="I148" t="str">
        <x:v>2864</x:v>
      </x:c>
    </x:row>
    <x:row r="149" ht="18">
      <x:c r="A149" s="3" t="s">
        <x:v>151</x:v>
      </x:c>
      <x:c r="B149" s="4">
        <x:v>65.680000000000007</x:v>
      </x:c>
      <x:c r="C149" s="7">
        <x:v>70.906000000000006</x:v>
      </x:c>
      <x:c r="D149" s="7" t="n">
        <x:f>C149-B149</x:f>
        <x:v>5.225999999999999</x:v>
      </x:c>
      <x:c r="E149" t="str">
        <x:v>EL300</x:v>
      </x:c>
      <x:c r="F149" t="str">
        <x:v>已匹配</x:v>
      </x:c>
      <x:c r="G149" t="str">
        <x:v>EL3002609134370408</x:v>
      </x:c>
      <x:c r="H149" t="str">
        <x:v>LOG-SRL26074251</x:v>
      </x:c>
      <x:c r="I149" t="str">
        <x:v>2781</x:v>
      </x:c>
    </x:row>
    <x:row r="150" ht="18">
      <x:c r="A150" s="3" t="s">
        <x:v>152</x:v>
      </x:c>
      <x:c r="B150" s="4">
        <x:v>19.579999999999998</x:v>
      </x:c>
      <x:c r="C150" s="7">
        <x:v>24.233000000000001</x:v>
      </x:c>
      <x:c r="D150" s="7" t="n">
        <x:f>C150-B150</x:f>
        <x:v>4.653000000000002</x:v>
      </x:c>
      <x:c r="E150" t="str">
        <x:v>AC70</x:v>
      </x:c>
      <x:c r="F150" t="str">
        <x:v>匹配多条收货记录</x:v>
      </x:c>
      <x:c r="G150" t="str">
        <x:v>AC702452000303662</x:v>
      </x:c>
      <x:c r="H150" t="str">
        <x:v>LOG-SRD26074114</x:v>
      </x:c>
      <x:c r="I150" t="str">
        <x:v>2795 / 2796</x:v>
      </x:c>
    </x:row>
    <x:row r="151" ht="18">
      <x:c r="A151" s="3" t="s">
        <x:v>153</x:v>
      </x:c>
      <x:c r="B151" s="4">
        <x:v>29.94</x:v>
      </x:c>
      <x:c r="C151" s="7">
        <x:v>38.302</x:v>
      </x:c>
      <x:c r="D151" s="7" t="n">
        <x:f>C151-B151</x:f>
        <x:v>8.361999999999998</x:v>
      </x:c>
      <x:c r="E151" t="str">
        <x:v>EL100V2</x:v>
      </x:c>
      <x:c r="F151" t="str">
        <x:v>已匹配</x:v>
      </x:c>
      <x:c r="G151" t="str">
        <x:v>EL100V22532000436611</x:v>
      </x:c>
      <x:c r="H151" t="str">
        <x:v>LOG-SRD26074113</x:v>
      </x:c>
      <x:c r="I151" t="str">
        <x:v>2859</x:v>
      </x:c>
    </x:row>
    <x:row r="152" ht="18">
      <x:c r="A152" s="3" t="s">
        <x:v>154</x:v>
      </x:c>
      <x:c r="B152" s="4">
        <x:v>34.6</x:v>
      </x:c>
      <x:c r="C152" s="7">
        <x:v>71.686999999999998</x:v>
      </x:c>
      <x:c r="D152" s="7" t="n">
        <x:f>C152-B152</x:f>
        <x:v>37.086999999999996</x:v>
      </x:c>
      <x:c r="E152" t="str">
        <x:v>FP2</x:v>
      </x:c>
      <x:c r="F152" t="str">
        <x:v>已匹配</x:v>
      </x:c>
      <x:c r="G152" t="str">
        <x:v>FP2604137177596</x:v>
      </x:c>
      <x:c r="H152" t="str">
        <x:v>LOG-SRD26074040</x:v>
      </x:c>
      <x:c r="I152" t="str">
        <x:v>2848</x:v>
      </x:c>
    </x:row>
    <x:row r="153" ht="18">
      <x:c r="A153" s="3" t="s">
        <x:v>155</x:v>
      </x:c>
      <x:c r="B153" s="4">
        <x:v>29.94</x:v>
      </x:c>
      <x:c r="C153" s="7">
        <x:v>38.148000000000003</x:v>
      </x:c>
      <x:c r="D153" s="7" t="n">
        <x:f>C153-B153</x:f>
        <x:v>8.208000000000002</x:v>
      </x:c>
      <x:c r="E153" t="str">
        <x:v>EL100V2</x:v>
      </x:c>
      <x:c r="F153" t="str">
        <x:v>已匹配</x:v>
      </x:c>
      <x:c r="G153" t="str">
        <x:v>EL100V22532000190186</x:v>
      </x:c>
      <x:c r="H153" t="str">
        <x:v>LOG-SRL26074058</x:v>
      </x:c>
      <x:c r="I153" t="str">
        <x:v>2780</x:v>
      </x:c>
    </x:row>
    <x:row r="154" ht="18">
      <x:c r="A154" s="3" t="s">
        <x:v>156</x:v>
      </x:c>
      <x:c r="B154" s="4">
        <x:v>21.72</x:v>
      </x:c>
      <x:c r="C154" s="7">
        <x:v>25.277999999999999</x:v>
      </x:c>
      <x:c r="D154" s="7" t="n">
        <x:f>C154-B154</x:f>
        <x:v>3.558</x:v>
      </x:c>
      <x:c r="E154" t="str">
        <x:v>EL100V2</x:v>
      </x:c>
      <x:c r="F154" t="str">
        <x:v>已匹配</x:v>
      </x:c>
      <x:c r="G154" t="str">
        <x:v>EL100V22539000267905</x:v>
      </x:c>
      <x:c r="H154" t="str">
        <x:v>LOG-SRL26073982</x:v>
      </x:c>
      <x:c r="I154" t="str">
        <x:v>2793</x:v>
      </x:c>
    </x:row>
    <x:row r="155" ht="18">
      <x:c r="A155" s="3" t="s">
        <x:v>157</x:v>
      </x:c>
      <x:c r="B155" s="4">
        <x:v>88.81</x:v>
      </x:c>
      <x:c r="C155" s="7">
        <x:v>96.47</x:v>
      </x:c>
      <x:c r="D155" s="7" t="n">
        <x:f>C155-B155</x:f>
        <x:v>7.659999999999997</x:v>
      </x:c>
      <x:c r="E155" t="str">
        <x:v>AP300</x:v>
      </x:c>
      <x:c r="F155" t="str">
        <x:v>已匹配</x:v>
      </x:c>
      <x:c r="G155" t="str">
        <x:v>AP3002543130297268</x:v>
      </x:c>
      <x:c r="H155" t="str">
        <x:v>LOG-SRN26080381</x:v>
      </x:c>
      <x:c r="I155" t="str">
        <x:v>2847</x:v>
      </x:c>
    </x:row>
    <x:row r="156" ht="18">
      <x:c r="A156" s="3" t="s">
        <x:v>158</x:v>
      </x:c>
      <x:c r="B156" s="4">
        <x:v>74.099999999999994</x:v>
      </x:c>
      <x:c r="C156" s="7">
        <x:v>77.626999999999995</x:v>
      </x:c>
      <x:c r="D156" s="7" t="n">
        <x:f>C156-B156</x:f>
        <x:v>3.527000000000001</x:v>
      </x:c>
      <x:c r="E156" t="str">
        <x:v>AC200L</x:v>
      </x:c>
      <x:c r="F156" t="str">
        <x:v>已匹配</x:v>
      </x:c>
      <x:c r="G156" t="str">
        <x:v>AC200L2439001729599</x:v>
      </x:c>
      <x:c r="H156" t="str">
        <x:v>LOG-SRL26073837</x:v>
      </x:c>
      <x:c r="I156" t="str">
        <x:v>2770</x:v>
      </x:c>
    </x:row>
    <x:row r="157" ht="18">
      <x:c r="A157" s="3" t="s">
        <x:v>159</x:v>
      </x:c>
      <x:c r="B157" s="4">
        <x:v>23.66</x:v>
      </x:c>
      <x:c r="C157" s="7">
        <x:v>29.238</x:v>
      </x:c>
      <x:c r="D157" s="7" t="n">
        <x:f>C157-B157</x:f>
        <x:v>5.577999999999999</x:v>
      </x:c>
      <x:c r="E157" t="str">
        <x:v>AC70</x:v>
      </x:c>
      <x:c r="F157" t="str">
        <x:v>已匹配</x:v>
      </x:c>
      <x:c r="G157" t="str">
        <x:v>AC702434000348875</x:v>
      </x:c>
      <x:c r="H157" t="str">
        <x:v>LOG-SRD26073900</x:v>
      </x:c>
      <x:c r="I157" t="str">
        <x:v>2832</x:v>
      </x:c>
    </x:row>
    <x:row r="158" ht="18">
      <x:c r="A158" s="3" t="s">
        <x:v>160</x:v>
      </x:c>
      <x:c r="B158" s="4">
        <x:v>30.61</x:v>
      </x:c>
      <x:c r="C158" s="7">
        <x:v>72.808999999999997</x:v>
      </x:c>
      <x:c r="D158" s="7" t="n">
        <x:f>C158-B158</x:f>
        <x:v>42.199</x:v>
      </x:c>
      <x:c r="E158" t="str">
        <x:v>AC200L</x:v>
      </x:c>
      <x:c r="F158" t="str">
        <x:v>已匹配</x:v>
      </x:c>
      <x:c r="G158" t="str">
        <x:v>AC200L2439001467611</x:v>
      </x:c>
      <x:c r="H158" t="str">
        <x:v>LOG-SRD26073899</x:v>
      </x:c>
      <x:c r="I158" t="str">
        <x:v>2898</x:v>
      </x:c>
    </x:row>
    <x:row r="159" ht="18">
      <x:c r="A159" s="3" t="s">
        <x:v>161</x:v>
      </x:c>
      <x:c r="B159" s="4">
        <x:v>21.72</x:v>
      </x:c>
      <x:c r="C159" s="7">
        <x:v>25.795000000000002</x:v>
      </x:c>
      <x:c r="D159" s="7" t="n">
        <x:f>C159-B159</x:f>
        <x:v>4.075000000000003</x:v>
      </x:c>
      <x:c r="E159"/>
      <x:c r="F159" t="str">
        <x:v>未匹配</x:v>
      </x:c>
      <x:c r="G159"/>
      <x:c r="H159"/>
      <x:c r="I159"/>
    </x:row>
    <x:row r="160" ht="18">
      <x:c r="A160" s="3" t="s">
        <x:v>162</x:v>
      </x:c>
      <x:c r="B160" s="4">
        <x:v>61.02</x:v>
      </x:c>
      <x:c r="C160" s="7">
        <x:v>69.849999999999994</x:v>
      </x:c>
      <x:c r="D160" s="7" t="n">
        <x:f>C160-B160</x:f>
        <x:v>8.829999999999991</x:v>
      </x:c>
      <x:c r="E160" t="str">
        <x:v>AC180</x:v>
      </x:c>
      <x:c r="F160" t="str">
        <x:v>已匹配</x:v>
      </x:c>
      <x:c r="G160" t="str">
        <x:v>AC1802339002969144</x:v>
      </x:c>
      <x:c r="H160" t="str">
        <x:v>LOG-CRP26073709</x:v>
      </x:c>
      <x:c r="I160" t="str">
        <x:v>2820</x:v>
      </x:c>
    </x:row>
    <x:row r="161" ht="18">
      <x:c r="A161" s="3" t="s">
        <x:v>163</x:v>
      </x:c>
      <x:c r="B161" s="4">
        <x:v>19.04</x:v>
      </x:c>
      <x:c r="C161" s="7">
        <x:v>23.132999999999999</x:v>
      </x:c>
      <x:c r="D161" s="7" t="n">
        <x:f>C161-B161</x:f>
        <x:v>4.093</x:v>
      </x:c>
      <x:c r="E161" t="str">
        <x:v>SolarX 4K</x:v>
      </x:c>
      <x:c r="F161" t="str">
        <x:v>已匹配</x:v>
      </x:c>
      <x:c r="G161" t="str">
        <x:v>SolarX 4K2543111442133</x:v>
      </x:c>
      <x:c r="H161" t="str">
        <x:v>LOG-SRL26073684</x:v>
      </x:c>
      <x:c r="I161" t="str">
        <x:v>2799</x:v>
      </x:c>
    </x:row>
    <x:row r="162" ht="18">
      <x:c r="A162" s="3" t="s">
        <x:v>164</x:v>
      </x:c>
      <x:c r="B162" s="4">
        <x:v>21.72</x:v>
      </x:c>
      <x:c r="C162" s="7">
        <x:v>24.353999999999999</x:v>
      </x:c>
      <x:c r="D162" s="7" t="n">
        <x:f>C162-B162</x:f>
        <x:v>2.6340000000000003</x:v>
      </x:c>
      <x:c r="E162" t="str">
        <x:v>EL100V2</x:v>
      </x:c>
      <x:c r="F162" t="str">
        <x:v>已匹配</x:v>
      </x:c>
      <x:c r="G162" t="str">
        <x:v>EL100V22528040811317</x:v>
      </x:c>
      <x:c r="H162" t="str">
        <x:v>LOG-SRL26073595</x:v>
      </x:c>
      <x:c r="I162" t="str">
        <x:v>2761</x:v>
      </x:c>
    </x:row>
    <x:row r="163" ht="18">
      <x:c r="A163" s="3" t="s">
        <x:v>165</x:v>
      </x:c>
      <x:c r="B163" s="4">
        <x:v>17.5</x:v>
      </x:c>
      <x:c r="C163" s="7">
        <x:v>20.262</x:v>
      </x:c>
      <x:c r="D163" s="7" t="n">
        <x:f>C163-B163</x:f>
        <x:v>2.7620000000000005</x:v>
      </x:c>
      <x:c r="E163"/>
      <x:c r="F163" t="str">
        <x:v>未匹配</x:v>
      </x:c>
      <x:c r="G163"/>
      <x:c r="H163"/>
      <x:c r="I163"/>
    </x:row>
    <x:row r="164" ht="18">
      <x:c r="A164" s="3" t="s">
        <x:v>166</x:v>
      </x:c>
      <x:c r="B164" s="4">
        <x:v>21.72</x:v>
      </x:c>
      <x:c r="C164" s="7">
        <x:v>24.134</x:v>
      </x:c>
      <x:c r="D164" s="7" t="n">
        <x:f>C164-B164</x:f>
        <x:v>2.4140000000000015</x:v>
      </x:c>
      <x:c r="E164"/>
      <x:c r="F164" t="str">
        <x:v>未匹配</x:v>
      </x:c>
      <x:c r="G164"/>
      <x:c r="H164"/>
      <x:c r="I164"/>
    </x:row>
    <x:row r="165" ht="18">
      <x:c r="A165" s="3" t="s">
        <x:v>167</x:v>
      </x:c>
      <x:c r="B165" s="4">
        <x:v>30.61</x:v>
      </x:c>
      <x:c r="C165" s="7">
        <x:v>67.165999999999997</x:v>
      </x:c>
      <x:c r="D165" s="7" t="n">
        <x:f>C165-B165</x:f>
        <x:v>36.556</x:v>
      </x:c>
      <x:c r="E165" t="str">
        <x:v>Elite 200 V2</x:v>
      </x:c>
      <x:c r="F165" t="str">
        <x:v>已匹配</x:v>
      </x:c>
      <x:c r="G165" t="str">
        <x:v>Elite 200 V22620130288148</x:v>
      </x:c>
      <x:c r="H165" t="str">
        <x:v>LOG-SRD26073661</x:v>
      </x:c>
      <x:c r="I165" t="str">
        <x:v>2789</x:v>
      </x:c>
    </x:row>
    <x:row r="166" ht="18">
      <x:c r="A166" s="3" t="s">
        <x:v>168</x:v>
      </x:c>
      <x:c r="B166" s="4">
        <x:v>17.5</x:v>
      </x:c>
      <x:c r="C166" s="7">
        <x:v>21.439</x:v>
      </x:c>
      <x:c r="D166" s="7" t="n">
        <x:f>C166-B166</x:f>
        <x:v>3.939</x:v>
      </x:c>
      <x:c r="E166" t="str">
        <x:v>EL100V</x:v>
      </x:c>
      <x:c r="F166" t="str">
        <x:v>已匹配</x:v>
      </x:c>
      <x:c r="G166" t="str">
        <x:v>EL100V22540000462666</x:v>
      </x:c>
      <x:c r="H166" t="str">
        <x:v>LOG-SRL26073559</x:v>
      </x:c>
      <x:c r="I166" t="str">
        <x:v>2758</x:v>
      </x:c>
    </x:row>
    <x:row r="167" ht="18">
      <x:c r="A167" s="3" t="s">
        <x:v>169</x:v>
      </x:c>
      <x:c r="B167" s="4">
        <x:v>30.19</x:v>
      </x:c>
      <x:c r="C167" s="7">
        <x:v>35.838000000000001</x:v>
      </x:c>
      <x:c r="D167" s="7" t="n">
        <x:f>C167-B167</x:f>
        <x:v>5.648</x:v>
      </x:c>
      <x:c r="E167" t="str">
        <x:v>AC180</x:v>
      </x:c>
      <x:c r="F167" t="str">
        <x:v>已匹配</x:v>
      </x:c>
      <x:c r="G167" t="str">
        <x:v>AC1802411002101493</x:v>
      </x:c>
      <x:c r="H167" t="str">
        <x:v>LOG-CRP26073543</x:v>
      </x:c>
      <x:c r="I167" t="str">
        <x:v>2886</x:v>
      </x:c>
    </x:row>
    <x:row r="168" ht="18">
      <x:c r="A168" s="3" t="s">
        <x:v>170</x:v>
      </x:c>
      <x:c r="B168" s="4">
        <x:v>23.06</x:v>
      </x:c>
      <x:c r="C168" s="7">
        <x:v>25.277999999999999</x:v>
      </x:c>
      <x:c r="D168" s="7" t="n">
        <x:f>C168-B168</x:f>
        <x:v>2.218</x:v>
      </x:c>
      <x:c r="E168"/>
      <x:c r="F168" t="str">
        <x:v>未匹配</x:v>
      </x:c>
      <x:c r="G168"/>
      <x:c r="H168"/>
      <x:c r="I168"/>
    </x:row>
    <x:row r="169" ht="18">
      <x:c r="A169" s="3" t="s">
        <x:v>171</x:v>
      </x:c>
      <x:c r="B169" s="4">
        <x:v>23.47</x:v>
      </x:c>
      <x:c r="C169" s="7">
        <x:v>62.710999999999999</x:v>
      </x:c>
      <x:c r="D169" s="7" t="n">
        <x:f>C169-B169</x:f>
        <x:v>39.241</x:v>
      </x:c>
      <x:c r="E169" t="str">
        <x:v>AC200L</x:v>
      </x:c>
      <x:c r="F169" t="str">
        <x:v>已匹配</x:v>
      </x:c>
      <x:c r="G169" t="str">
        <x:v>AC200L2450001902634</x:v>
      </x:c>
      <x:c r="H169" t="str">
        <x:v>LOG-SRD26073516</x:v>
      </x:c>
      <x:c r="I169" t="str">
        <x:v>2771</x:v>
      </x:c>
    </x:row>
    <x:row r="170" ht="18">
      <x:c r="A170" s="3" t="s">
        <x:v>172</x:v>
      </x:c>
      <x:c r="B170" s="4">
        <x:v>45.03</x:v>
      </x:c>
      <x:c r="C170" s="7">
        <x:v>47.267000000000003</x:v>
      </x:c>
      <x:c r="D170" s="7" t="n">
        <x:f>C170-B170</x:f>
        <x:v>2.237000000000002</x:v>
      </x:c>
      <x:c r="E170" t="str">
        <x:v>AC180</x:v>
      </x:c>
      <x:c r="F170" t="str">
        <x:v>已匹配</x:v>
      </x:c>
      <x:c r="G170" t="str">
        <x:v>AC1802531010160112</x:v>
      </x:c>
      <x:c r="H170" t="str">
        <x:v>LOG-SRL26073354</x:v>
      </x:c>
      <x:c r="I170" t="str">
        <x:v>2939</x:v>
      </x:c>
    </x:row>
    <x:row r="171" ht="18">
      <x:c r="A171" s="3" t="s">
        <x:v>173</x:v>
      </x:c>
      <x:c r="B171" s="4">
        <x:v>20.239999999999998</x:v>
      </x:c>
      <x:c r="C171" s="7">
        <x:v>22.373999999999999</x:v>
      </x:c>
      <x:c r="D171" s="7" t="n">
        <x:f>C171-B171</x:f>
        <x:v>2.1340000000000003</x:v>
      </x:c>
      <x:c r="E171" t="str">
        <x:v>EL100V2</x:v>
      </x:c>
      <x:c r="F171" t="str">
        <x:v>已匹配</x:v>
      </x:c>
      <x:c r="G171" t="str">
        <x:v>EL100V22541020820909</x:v>
      </x:c>
      <x:c r="H171" t="str">
        <x:v>LOG-CRP26073141</x:v>
      </x:c>
      <x:c r="I171" t="str">
        <x:v>2701</x:v>
      </x:c>
    </x:row>
    <x:row r="172" ht="18">
      <x:c r="A172" s="3" t="s">
        <x:v>174</x:v>
      </x:c>
      <x:c r="B172" s="4">
        <x:v>35.65</x:v>
      </x:c>
      <x:c r="C172" s="7">
        <x:v>39.149000000000001</x:v>
      </x:c>
      <x:c r="D172" s="7" t="n">
        <x:f>C172-B172</x:f>
        <x:v>3.4990000000000023</x:v>
      </x:c>
      <x:c r="E172" t="str">
        <x:v>AC180</x:v>
      </x:c>
      <x:c r="F172" t="str">
        <x:v>已匹配</x:v>
      </x:c>
      <x:c r="G172" t="str">
        <x:v>AC1802432000825829</x:v>
      </x:c>
      <x:c r="H172" t="str">
        <x:v>LOG-CRP26073289</x:v>
      </x:c>
      <x:c r="I172" t="str">
        <x:v>2841</x:v>
      </x:c>
    </x:row>
    <x:row r="173" ht="18">
      <x:c r="A173" s="3" t="s">
        <x:v>175</x:v>
      </x:c>
      <x:c r="B173" s="4">
        <x:v>125.38</x:v>
      </x:c>
      <x:c r="C173" s="7">
        <x:v>129.29400000000001</x:v>
      </x:c>
      <x:c r="D173" s="7" t="n">
        <x:f>C173-B173</x:f>
        <x:v>3.9140000000000157</x:v>
      </x:c>
      <x:c r="E173" t="str">
        <x:v>AC300</x:v>
      </x:c>
      <x:c r="F173" t="str">
        <x:v>已匹配</x:v>
      </x:c>
      <x:c r="G173" t="str">
        <x:v>AC3002143000061545</x:v>
      </x:c>
      <x:c r="H173" t="str">
        <x:v>LOG-SRL26071959</x:v>
      </x:c>
      <x:c r="I173" t="str">
        <x:v>2811</x:v>
      </x:c>
    </x:row>
    <x:row r="174" ht="18">
      <x:c r="A174" s="3" t="s">
        <x:v>176</x:v>
      </x:c>
      <x:c r="B174" s="4">
        <x:v>20.190000000000001</x:v>
      </x:c>
      <x:c r="C174" s="7">
        <x:v>43.01</x:v>
      </x:c>
      <x:c r="D174" s="7" t="n">
        <x:f>C174-B174</x:f>
        <x:v>22.819999999999997</x:v>
      </x:c>
      <x:c r="E174" t="str">
        <x:v>PV350</x:v>
      </x:c>
      <x:c r="F174" t="str">
        <x:v>已匹配</x:v>
      </x:c>
      <x:c r="G174" t="str">
        <x:v>DMM04-22PV35000376</x:v>
      </x:c>
      <x:c r="H174" t="str">
        <x:v>LOG-SRD26073158</x:v>
      </x:c>
      <x:c r="I174" t="str">
        <x:v>2805</x:v>
      </x:c>
    </x:row>
    <x:row r="175" ht="18">
      <x:c r="A175" s="3" t="s">
        <x:v>177</x:v>
      </x:c>
      <x:c r="B175" s="4">
        <x:v>74.260000000000005</x:v>
      </x:c>
      <x:c r="C175" s="7">
        <x:v>95.204999999999998</x:v>
      </x:c>
      <x:c r="D175" s="7" t="n">
        <x:f>C175-B175</x:f>
        <x:v>20.944999999999993</x:v>
      </x:c>
      <x:c r="E175" t="str">
        <x:v>AP300</x:v>
      </x:c>
      <x:c r="F175" t="str">
        <x:v>已匹配</x:v>
      </x:c>
      <x:c r="G175" t="str">
        <x:v>AP3002531000582565</x:v>
      </x:c>
      <x:c r="H175"/>
      <x:c r="I175" t="str">
        <x:v>2871</x:v>
      </x:c>
    </x:row>
    <x:row r="176" ht="18">
      <x:c r="A176" s="3" t="s">
        <x:v>178</x:v>
      </x:c>
      <x:c r="B176" s="4">
        <x:v>36.51</x:v>
      </x:c>
      <x:c r="C176" s="7">
        <x:v>38.994999999999997</x:v>
      </x:c>
      <x:c r="D176" s="7" t="n">
        <x:f>C176-B176</x:f>
        <x:v>2.4849999999999994</x:v>
      </x:c>
      <x:c r="E176" t="str">
        <x:v>AC180</x:v>
      </x:c>
      <x:c r="F176" t="str">
        <x:v>已匹配</x:v>
      </x:c>
      <x:c r="G176" t="str">
        <x:v>AC1802439001089315</x:v>
      </x:c>
      <x:c r="H176" t="str">
        <x:v>LOG-CRP26073157</x:v>
      </x:c>
      <x:c r="I176" t="str">
        <x:v>2779</x:v>
      </x:c>
    </x:row>
    <x:row r="177" ht="18">
      <x:c r="A177" s="3" t="s">
        <x:v>179</x:v>
      </x:c>
      <x:c r="B177" s="4">
        <x:v>74.260000000000005</x:v>
      </x:c>
      <x:c r="C177" s="7">
        <x:v>94.765000000000001</x:v>
      </x:c>
      <x:c r="D177" s="7" t="n">
        <x:f>C177-B177</x:f>
        <x:v>20.504999999999995</x:v>
      </x:c>
      <x:c r="E177" t="str">
        <x:v>AP300</x:v>
      </x:c>
      <x:c r="F177" t="str">
        <x:v>已匹配</x:v>
      </x:c>
      <x:c r="G177" t="str">
        <x:v>AP3002531000579287</x:v>
      </x:c>
      <x:c r="H177" t="str">
        <x:v>LOG-SRD26073158</x:v>
      </x:c>
      <x:c r="I177" t="str">
        <x:v>2869</x:v>
      </x:c>
    </x:row>
    <x:row r="178" ht="18">
      <x:c r="A178" s="3" t="s">
        <x:v>180</x:v>
      </x:c>
      <x:c r="B178" s="4">
        <x:v>74.260000000000005</x:v>
      </x:c>
      <x:c r="C178" s="7">
        <x:v>94.765000000000001</x:v>
      </x:c>
      <x:c r="D178" s="7" t="n">
        <x:f>C178-B178</x:f>
        <x:v>20.504999999999995</x:v>
      </x:c>
      <x:c r="E178" t="str">
        <x:v>AP300</x:v>
      </x:c>
      <x:c r="F178" t="str">
        <x:v>已匹配</x:v>
      </x:c>
      <x:c r="G178" t="str">
        <x:v>AP3002531000578751</x:v>
      </x:c>
      <x:c r="H178"/>
      <x:c r="I178" t="str">
        <x:v>2870</x:v>
      </x:c>
    </x:row>
    <x:row r="179" ht="18">
      <x:c r="A179" s="3" t="s">
        <x:v>181</x:v>
      </x:c>
      <x:c r="B179" s="4">
        <x:v>20.239999999999998</x:v>
      </x:c>
      <x:c r="C179" s="7">
        <x:v>23.408000000000001</x:v>
      </x:c>
      <x:c r="D179" s="7" t="n">
        <x:f>C179-B179</x:f>
        <x:v>3.168000000000003</x:v>
      </x:c>
      <x:c r="E179" t="str">
        <x:v>EL100V2</x:v>
      </x:c>
      <x:c r="F179" t="str">
        <x:v>已匹配</x:v>
      </x:c>
      <x:c r="G179" t="str">
        <x:v>EL100V22523000172308</x:v>
      </x:c>
      <x:c r="H179" t="str">
        <x:v>LOG-SRL26073145</x:v>
      </x:c>
      <x:c r="I179" t="str">
        <x:v>2712</x:v>
      </x:c>
    </x:row>
    <x:row r="180" ht="18">
      <x:c r="A180" s="3" t="s">
        <x:v>182</x:v>
      </x:c>
      <x:c r="B180" s="4">
        <x:v>114.59</x:v>
      </x:c>
      <x:c r="C180" s="7">
        <x:v>308.55</x:v>
      </x:c>
      <x:c r="D180" s="7" t="n">
        <x:f>C180-B180</x:f>
        <x:v>193.96</x:v>
      </x:c>
      <x:c r="E180" t="str">
        <x:v>B4810</x:v>
      </x:c>
      <x:c r="F180" t="str">
        <x:v>已匹配</x:v>
      </x:c>
      <x:c r="G180" t="str">
        <x:v>B48102539000115601</x:v>
      </x:c>
      <x:c r="H180" t="str">
        <x:v>LOG-SRL26073114</x:v>
      </x:c>
      <x:c r="I180" t="str">
        <x:v>2692</x:v>
      </x:c>
    </x:row>
    <x:row r="181" ht="18">
      <x:c r="A181" s="3" t="s">
        <x:v>183</x:v>
      </x:c>
      <x:c r="B181" s="4">
        <x:v>21.72</x:v>
      </x:c>
      <x:c r="C181" s="7">
        <x:v>24.353999999999999</x:v>
      </x:c>
      <x:c r="D181" s="7" t="n">
        <x:f>C181-B181</x:f>
        <x:v>2.6340000000000003</x:v>
      </x:c>
      <x:c r="E181"/>
      <x:c r="F181" t="str">
        <x:v>未匹配</x:v>
      </x:c>
      <x:c r="G181"/>
      <x:c r="H181"/>
      <x:c r="I181"/>
    </x:row>
    <x:row r="182" ht="18">
      <x:c r="A182" s="3" t="s">
        <x:v>184</x:v>
      </x:c>
      <x:c r="B182" s="4">
        <x:v>76.989999999999995</x:v>
      </x:c>
      <x:c r="C182" s="7">
        <x:v>88.363</x:v>
      </x:c>
      <x:c r="D182" s="7" t="n">
        <x:f>C182-B182</x:f>
        <x:v>11.373000000000005</x:v>
      </x:c>
      <x:c r="E182" t="str">
        <x:v>EL400</x:v>
      </x:c>
      <x:c r="F182" t="str">
        <x:v>已匹配</x:v>
      </x:c>
      <x:c r="G182" t="str">
        <x:v>EL4002604232467100</x:v>
      </x:c>
      <x:c r="H182" t="str">
        <x:v>LOG-SRD26073064</x:v>
      </x:c>
      <x:c r="I182" t="str">
        <x:v>2865</x:v>
      </x:c>
    </x:row>
    <x:row r="183" ht="18">
      <x:c r="A183" s="3" t="s">
        <x:v>185</x:v>
      </x:c>
      <x:c r="B183" s="4">
        <x:v>36.700000000000003</x:v>
      </x:c>
      <x:c r="C183" s="7">
        <x:v>71.972999999999999</x:v>
      </x:c>
      <x:c r="D183" s="7" t="n">
        <x:f>C183-B183</x:f>
        <x:v>35.272999999999996</x:v>
      </x:c>
      <x:c r="E183" t="str">
        <x:v>AC300</x:v>
      </x:c>
      <x:c r="F183" t="str">
        <x:v>已匹配</x:v>
      </x:c>
      <x:c r="G183" t="str">
        <x:v>AC3002233000181346</x:v>
      </x:c>
      <x:c r="H183" t="str">
        <x:v>LOG-CRP26073816</x:v>
      </x:c>
      <x:c r="I183" t="str">
        <x:v>2829</x:v>
      </x:c>
    </x:row>
    <x:row r="184" ht="18">
      <x:c r="A184" s="3" t="s">
        <x:v>186</x:v>
      </x:c>
      <x:c r="B184" s="4">
        <x:v>30.19</x:v>
      </x:c>
      <x:c r="C184" s="7">
        <x:v>33.670999999999999</x:v>
      </x:c>
      <x:c r="D184" s="7" t="n">
        <x:f>C184-B184</x:f>
        <x:v>3.480999999999998</x:v>
      </x:c>
      <x:c r="E184" t="str">
        <x:v>AC180</x:v>
      </x:c>
      <x:c r="F184" t="str">
        <x:v>已匹配</x:v>
      </x:c>
      <x:c r="G184" t="str">
        <x:v>AC1802529000731298</x:v>
      </x:c>
      <x:c r="H184" t="str">
        <x:v>LOG-SRL26073048</x:v>
      </x:c>
      <x:c r="I184" t="str">
        <x:v>2718</x:v>
      </x:c>
    </x:row>
    <x:row r="185" ht="18">
      <x:c r="A185" s="3" t="s">
        <x:v>187</x:v>
      </x:c>
      <x:c r="B185" s="4">
        <x:v>21.77</x:v>
      </x:c>
      <x:c r="C185" s="7">
        <x:v>23.837</x:v>
      </x:c>
      <x:c r="D185" s="7" t="n">
        <x:f>C185-B185</x:f>
        <x:v>2.067</x:v>
      </x:c>
      <x:c r="E185" t="str">
        <x:v>AC180</x:v>
      </x:c>
      <x:c r="F185" t="str">
        <x:v>已匹配</x:v>
      </x:c>
      <x:c r="G185" t="str">
        <x:v>AC1802439000801439</x:v>
      </x:c>
      <x:c r="H185" t="str">
        <x:v>LOG-SRL26073027</x:v>
      </x:c>
      <x:c r="I185" t="str">
        <x:v>2666</x:v>
      </x:c>
    </x:row>
    <x:row r="186" ht="18">
      <x:c r="A186" s="3" t="s">
        <x:v>188</x:v>
      </x:c>
      <x:c r="B186" s="4">
        <x:v>59.67</x:v>
      </x:c>
      <x:c r="C186" s="7">
        <x:v>82.313000000000002</x:v>
      </x:c>
      <x:c r="D186" s="7" t="n">
        <x:f>C186-B186</x:f>
        <x:v>22.643</x:v>
      </x:c>
      <x:c r="E186" t="str">
        <x:v>AC300</x:v>
      </x:c>
      <x:c r="F186" t="str">
        <x:v>匹配多条收货记录</x:v>
      </x:c>
      <x:c r="G186" t="str">
        <x:v>AC3002142000035526</x:v>
      </x:c>
      <x:c r="H186" t="str">
        <x:v>LOG-CRP26073021</x:v>
      </x:c>
      <x:c r="I186" t="str">
        <x:v>2867 / 2868</x:v>
      </x:c>
    </x:row>
    <x:row r="187" ht="18">
      <x:c r="A187" s="3" t="s">
        <x:v>189</x:v>
      </x:c>
      <x:c r="B187" s="4">
        <x:v>27.65</x:v>
      </x:c>
      <x:c r="C187" s="7">
        <x:v>36.509</x:v>
      </x:c>
      <x:c r="D187" s="7" t="n">
        <x:f>C187-B187</x:f>
        <x:v>8.859000000000002</x:v>
      </x:c>
      <x:c r="E187" t="str">
        <x:v>AC70</x:v>
      </x:c>
      <x:c r="F187" t="str">
        <x:v>匹配多条收货记录</x:v>
      </x:c>
      <x:c r="G187" t="str">
        <x:v>AC702447001227239</x:v>
      </x:c>
      <x:c r="H187" t="str">
        <x:v>LOG-SRD26073313</x:v>
      </x:c>
      <x:c r="I187" t="str">
        <x:v>2706 / 3484</x:v>
      </x:c>
    </x:row>
    <x:row r="188" ht="18">
      <x:c r="A188" s="3" t="s">
        <x:v>190</x:v>
      </x:c>
      <x:c r="B188" s="4">
        <x:v>28.69</x:v>
      </x:c>
      <x:c r="C188" s="7">
        <x:v>34.869999999999997</x:v>
      </x:c>
      <x:c r="D188" s="7" t="n">
        <x:f>C188-B188</x:f>
        <x:v>6.179999999999996</x:v>
      </x:c>
      <x:c r="E188" t="str">
        <x:v>RV5</x:v>
      </x:c>
      <x:c r="F188" t="str">
        <x:v>已匹配</x:v>
      </x:c>
      <x:c r="G188" t="str">
        <x:v>RV52534020183909</x:v>
      </x:c>
      <x:c r="H188" t="str">
        <x:v>LOG-SRL26072828</x:v>
      </x:c>
      <x:c r="I188" t="str">
        <x:v>2962</x:v>
      </x:c>
    </x:row>
    <x:row r="189" ht="18">
      <x:c r="A189" s="3" t="s">
        <x:v>191</x:v>
      </x:c>
      <x:c r="B189" s="4">
        <x:v>23.79</x:v>
      </x:c>
      <x:c r="C189" s="7">
        <x:v>118.074</x:v>
      </x:c>
      <x:c r="D189" s="7" t="n">
        <x:f>C189-B189</x:f>
        <x:v>94.28399999999999</x:v>
      </x:c>
      <x:c r="E189" t="str">
        <x:v>FRPOWER</x:v>
      </x:c>
      <x:c r="F189" t="str">
        <x:v>已匹配</x:v>
      </x:c>
      <x:c r="G189" t="str">
        <x:v>FP2543112288908</x:v>
      </x:c>
      <x:c r="H189" t="str">
        <x:v>LOG-SRL26072823</x:v>
      </x:c>
      <x:c r="I189" t="str">
        <x:v>2660</x:v>
      </x:c>
    </x:row>
    <x:row r="190" ht="18">
      <x:c r="A190" s="3" t="s">
        <x:v>192</x:v>
      </x:c>
      <x:c r="B190" s="4">
        <x:v>71.67</x:v>
      </x:c>
      <x:c r="C190" s="7">
        <x:v>74.096000000000004</x:v>
      </x:c>
      <x:c r="D190" s="7" t="n">
        <x:f>C190-B190</x:f>
        <x:v>2.426000000000002</x:v>
      </x:c>
      <x:c r="E190"/>
      <x:c r="F190" t="str">
        <x:v>未匹配</x:v>
      </x:c>
      <x:c r="G190"/>
      <x:c r="H190"/>
      <x:c r="I190"/>
    </x:row>
    <x:row r="191" ht="18">
      <x:c r="A191" s="3" t="s">
        <x:v>193</x:v>
      </x:c>
      <x:c r="B191" s="4">
        <x:v>95.71</x:v>
      </x:c>
      <x:c r="C191" s="7">
        <x:v>99.725999999999999</x:v>
      </x:c>
      <x:c r="D191" s="7" t="n">
        <x:f>C191-B191</x:f>
        <x:v>4.016000000000005</x:v>
      </x:c>
      <x:c r="E191" t="str">
        <x:v>EL300</x:v>
      </x:c>
      <x:c r="F191" t="str">
        <x:v>已匹配</x:v>
      </x:c>
      <x:c r="G191" t="str">
        <x:v>EL3002613131820918</x:v>
      </x:c>
      <x:c r="H191" t="str">
        <x:v>LOG-SRL26072799</x:v>
      </x:c>
      <x:c r="I191" t="str">
        <x:v>2732</x:v>
      </x:c>
    </x:row>
    <x:row r="192" ht="18">
      <x:c r="A192" s="3" t="s">
        <x:v>194</x:v>
      </x:c>
      <x:c r="B192" s="4">
        <x:v>16.940000000000001</x:v>
      </x:c>
      <x:c r="C192" s="7">
        <x:v>19.349</x:v>
      </x:c>
      <x:c r="D192" s="7" t="n">
        <x:f>C192-B192</x:f>
        <x:v>2.408999999999999</x:v>
      </x:c>
      <x:c r="E192" t="str">
        <x:v>EL100V2</x:v>
      </x:c>
      <x:c r="F192" t="str">
        <x:v>已匹配</x:v>
      </x:c>
      <x:c r="G192" t="str">
        <x:v>EL100V22532070150150</x:v>
      </x:c>
      <x:c r="H192" t="str">
        <x:v>LOG-SRD26073308</x:v>
      </x:c>
      <x:c r="I192" t="str">
        <x:v>2716</x:v>
      </x:c>
    </x:row>
    <x:row r="193" ht="18">
      <x:c r="A193" s="3" t="s">
        <x:v>195</x:v>
      </x:c>
      <x:c r="B193" s="4">
        <x:v>36.44</x:v>
      </x:c>
      <x:c r="C193" s="7">
        <x:v>110.52800000000001</x:v>
      </x:c>
      <x:c r="D193" s="7" t="n">
        <x:f>C193-B193</x:f>
        <x:v>74.08800000000001</x:v>
      </x:c>
      <x:c r="E193" t="str">
        <x:v>AP300</x:v>
      </x:c>
      <x:c r="F193" t="str">
        <x:v>已匹配</x:v>
      </x:c>
      <x:c r="G193" t="str">
        <x:v>AP3002539000203873</x:v>
      </x:c>
      <x:c r="H193" t="str">
        <x:v>LOG-CRP26072673</x:v>
      </x:c>
      <x:c r="I193" t="str">
        <x:v>2734</x:v>
      </x:c>
    </x:row>
    <x:row r="194" ht="18">
      <x:c r="A194" s="3" t="s">
        <x:v>196</x:v>
      </x:c>
      <x:c r="B194" s="4">
        <x:v>26.2</x:v>
      </x:c>
      <x:c r="C194" s="7">
        <x:v>29.347999999999999</x:v>
      </x:c>
      <x:c r="D194" s="7" t="n">
        <x:f>C194-B194</x:f>
        <x:v>3.1479999999999997</x:v>
      </x:c>
      <x:c r="E194" t="str">
        <x:v>EL100V2</x:v>
      </x:c>
      <x:c r="F194" t="str">
        <x:v>已匹配</x:v>
      </x:c>
      <x:c r="G194" t="str">
        <x:v>EL100V22526090401572</x:v>
      </x:c>
      <x:c r="H194" t="str">
        <x:v>LOG-SRL26072582</x:v>
      </x:c>
      <x:c r="I194" t="str">
        <x:v>2708</x:v>
      </x:c>
    </x:row>
    <x:row r="195" ht="18">
      <x:c r="A195" s="3" t="s">
        <x:v>197</x:v>
      </x:c>
      <x:c r="B195" s="4">
        <x:v>66.86</x:v>
      </x:c>
      <x:c r="C195" s="7">
        <x:v>70.597999999999999</x:v>
      </x:c>
      <x:c r="D195" s="7" t="n">
        <x:f>C195-B195</x:f>
        <x:v>3.7379999999999995</x:v>
      </x:c>
      <x:c r="E195" t="str">
        <x:v>EL300</x:v>
      </x:c>
      <x:c r="F195" t="str">
        <x:v>已匹配</x:v>
      </x:c>
      <x:c r="G195" t="str">
        <x:v>EL3002613132758700</x:v>
      </x:c>
      <x:c r="H195" t="str">
        <x:v>LOG-SRL26072858</x:v>
      </x:c>
      <x:c r="I195" t="str">
        <x:v>2663</x:v>
      </x:c>
    </x:row>
    <x:row r="196" ht="18">
      <x:c r="A196" s="3" t="s">
        <x:v>198</x:v>
      </x:c>
      <x:c r="B196" s="4">
        <x:v>27.46</x:v>
      </x:c>
      <x:c r="C196" s="7">
        <x:v>44.692999999999998</x:v>
      </x:c>
      <x:c r="D196" s="7" t="n">
        <x:f>C196-B196</x:f>
        <x:v>17.232999999999997</x:v>
      </x:c>
      <x:c r="E196" t="str">
        <x:v>EL100V2</x:v>
      </x:c>
      <x:c r="F196" t="str">
        <x:v>已匹配</x:v>
      </x:c>
      <x:c r="G196" t="str">
        <x:v>EL100V22542001499797</x:v>
      </x:c>
      <x:c r="H196" t="str">
        <x:v>LOG-SRL26072566</x:v>
      </x:c>
      <x:c r="I196" t="str">
        <x:v>2882</x:v>
      </x:c>
    </x:row>
    <x:row r="197" ht="18">
      <x:c r="A197" s="3" t="s">
        <x:v>199</x:v>
      </x:c>
      <x:c r="B197" s="4">
        <x:v>21.67</x:v>
      </x:c>
      <x:c r="C197" s="7">
        <x:v>25.277999999999999</x:v>
      </x:c>
      <x:c r="D197" s="7" t="n">
        <x:f>C197-B197</x:f>
        <x:v>3.607999999999997</x:v>
      </x:c>
      <x:c r="E197"/>
      <x:c r="F197" t="str">
        <x:v>未匹配</x:v>
      </x:c>
      <x:c r="G197"/>
      <x:c r="H197"/>
      <x:c r="I197"/>
    </x:row>
    <x:row r="198" ht="18">
      <x:c r="A198" s="3" t="s">
        <x:v>200</x:v>
      </x:c>
      <x:c r="B198" s="4">
        <x:v>21.67</x:v>
      </x:c>
      <x:c r="C198" s="7">
        <x:v>24.353999999999999</x:v>
      </x:c>
      <x:c r="D198" s="7" t="n">
        <x:f>C198-B198</x:f>
        <x:v>2.6839999999999975</x:v>
      </x:c>
      <x:c r="E198" t="str">
        <x:v>EL100V2</x:v>
      </x:c>
      <x:c r="F198" t="str">
        <x:v>已匹配</x:v>
      </x:c>
      <x:c r="G198" t="str">
        <x:v>EL100V22528000660820</x:v>
      </x:c>
      <x:c r="H198" t="str">
        <x:v>LOG-CRP26072497</x:v>
      </x:c>
      <x:c r="I198" t="str">
        <x:v>2689</x:v>
      </x:c>
    </x:row>
    <x:row r="199" ht="18">
      <x:c r="A199" s="3" t="s">
        <x:v>201</x:v>
      </x:c>
      <x:c r="B199" s="4">
        <x:v>26.2</x:v>
      </x:c>
      <x:c r="C199" s="7">
        <x:v>29.073</x:v>
      </x:c>
      <x:c r="D199" s="7" t="n">
        <x:f>C199-B199</x:f>
        <x:v>2.873000000000001</x:v>
      </x:c>
      <x:c r="E199" t="str">
        <x:v>EL100V2</x:v>
      </x:c>
      <x:c r="F199" t="str">
        <x:v>已匹配</x:v>
      </x:c>
      <x:c r="G199" t="str">
        <x:v>EL100V22528042956425</x:v>
      </x:c>
      <x:c r="H199" t="str">
        <x:v>LOG-SRL26074433</x:v>
      </x:c>
      <x:c r="I199" t="str">
        <x:v>2702</x:v>
      </x:c>
    </x:row>
    <x:row r="200" ht="18">
      <x:c r="A200" s="3" t="s">
        <x:v>202</x:v>
      </x:c>
      <x:c r="B200" s="4">
        <x:v>95.73</x:v>
      </x:c>
      <x:c r="C200" s="7">
        <x:v>99.528000000000006</x:v>
      </x:c>
      <x:c r="D200" s="7" t="n">
        <x:f>C200-B200</x:f>
        <x:v>3.798000000000002</x:v>
      </x:c>
      <x:c r="E200" t="str">
        <x:v>EL300</x:v>
      </x:c>
      <x:c r="F200" t="str">
        <x:v>已匹配</x:v>
      </x:c>
      <x:c r="G200" t="str">
        <x:v>EL3002601136729676</x:v>
      </x:c>
      <x:c r="H200" t="str">
        <x:v>LOG-SRL26072467</x:v>
      </x:c>
      <x:c r="I200" t="str">
        <x:v>2676</x:v>
      </x:c>
    </x:row>
    <x:row r="201" ht="18">
      <x:c r="A201" s="3" t="s">
        <x:v>203</x:v>
      </x:c>
      <x:c r="B201" s="4">
        <x:v>29.87</x:v>
      </x:c>
      <x:c r="C201" s="7">
        <x:v>38.148000000000003</x:v>
      </x:c>
      <x:c r="D201" s="7" t="n">
        <x:f>C201-B201</x:f>
        <x:v>8.278000000000002</x:v>
      </x:c>
      <x:c r="E201" t="str">
        <x:v>EL100V2</x:v>
      </x:c>
      <x:c r="F201" t="str">
        <x:v>已匹配</x:v>
      </x:c>
      <x:c r="G201" t="str">
        <x:v>EL100V22532031372968</x:v>
      </x:c>
      <x:c r="H201" t="str">
        <x:v>LOG-SRD26072768</x:v>
      </x:c>
      <x:c r="I201" t="str">
        <x:v>2717</x:v>
      </x:c>
    </x:row>
    <x:row r="202" ht="18">
      <x:c r="A202" s="3" t="s">
        <x:v>204</x:v>
      </x:c>
      <x:c r="B202" s="4">
        <x:v>20.2</x:v>
      </x:c>
      <x:c r="C202" s="7">
        <x:v>22.33</x:v>
      </x:c>
      <x:c r="D202" s="7" t="n">
        <x:f>C202-B202</x:f>
        <x:v>2.129999999999999</x:v>
      </x:c>
      <x:c r="E202" t="str">
        <x:v>EL100V2</x:v>
      </x:c>
      <x:c r="F202" t="str">
        <x:v>已匹配</x:v>
      </x:c>
      <x:c r="G202" t="str">
        <x:v>EL100V22525020352140</x:v>
      </x:c>
      <x:c r="H202" t="str">
        <x:v>LOG-SRL26072383</x:v>
      </x:c>
      <x:c r="I202" t="str">
        <x:v>2630</x:v>
      </x:c>
    </x:row>
    <x:row r="203" ht="18">
      <x:c r="A203" s="3" t="s">
        <x:v>205</x:v>
      </x:c>
      <x:c r="B203" s="4">
        <x:v>97.2</x:v>
      </x:c>
      <x:c r="C203" s="7">
        <x:v>99.528000000000006</x:v>
      </x:c>
      <x:c r="D203" s="7" t="n">
        <x:f>C203-B203</x:f>
        <x:v>2.328000000000003</x:v>
      </x:c>
      <x:c r="E203" t="str">
        <x:v>EL300</x:v>
      </x:c>
      <x:c r="F203" t="str">
        <x:v>已匹配</x:v>
      </x:c>
      <x:c r="G203" t="str">
        <x:v>EL3002613133425247</x:v>
      </x:c>
      <x:c r="H203" t="str">
        <x:v>LOG-SRL26072380</x:v>
      </x:c>
      <x:c r="I203" t="str">
        <x:v>2675</x:v>
      </x:c>
    </x:row>
    <x:row r="204" ht="18">
      <x:c r="A204" s="3" t="s">
        <x:v>206</x:v>
      </x:c>
      <x:c r="B204" s="4">
        <x:v>27.26</x:v>
      </x:c>
      <x:c r="C204" s="7">
        <x:v>30.283000000000001</x:v>
      </x:c>
      <x:c r="D204" s="7" t="n">
        <x:f>C204-B204</x:f>
        <x:v>3.0229999999999997</x:v>
      </x:c>
      <x:c r="E204" t="str">
        <x:v>EL100V2</x:v>
      </x:c>
      <x:c r="F204" t="str">
        <x:v>已匹配</x:v>
      </x:c>
      <x:c r="G204" t="str">
        <x:v>EL100V22525511770952</x:v>
      </x:c>
      <x:c r="H204" t="str">
        <x:v>LOG-CRP26073734</x:v>
      </x:c>
      <x:c r="I204" t="str">
        <x:v>2711</x:v>
      </x:c>
    </x:row>
    <x:row r="205" ht="18">
      <x:c r="A205" s="3" t="s">
        <x:v>207</x:v>
      </x:c>
      <x:c r="B205" s="4">
        <x:v>25.89</x:v>
      </x:c>
      <x:c r="C205" s="7">
        <x:v>28.754000000000001</x:v>
      </x:c>
      <x:c r="D205" s="7" t="n">
        <x:f>C205-B205</x:f>
        <x:v>2.8640000000000008</x:v>
      </x:c>
      <x:c r="E205" t="str">
        <x:v>AC180</x:v>
      </x:c>
      <x:c r="F205" t="str">
        <x:v>已匹配</x:v>
      </x:c>
      <x:c r="G205" t="str">
        <x:v>AC1802448002575233</x:v>
      </x:c>
      <x:c r="H205" t="str">
        <x:v>LOG-SRL26072343</x:v>
      </x:c>
      <x:c r="I205" t="str">
        <x:v>2719</x:v>
      </x:c>
    </x:row>
    <x:row r="206" ht="18">
      <x:c r="A206" s="3" t="s">
        <x:v>208</x:v>
      </x:c>
      <x:c r="B206" s="4">
        <x:v>21.67</x:v>
      </x:c>
      <x:c r="C206" s="7">
        <x:v>25.277999999999999</x:v>
      </x:c>
      <x:c r="D206" s="7" t="n">
        <x:f>C206-B206</x:f>
        <x:v>3.607999999999997</x:v>
      </x:c>
      <x:c r="E206" t="str">
        <x:v>EL100V2</x:v>
      </x:c>
      <x:c r="F206" t="str">
        <x:v>已匹配</x:v>
      </x:c>
      <x:c r="G206" t="str">
        <x:v>EL100V22535000846280</x:v>
      </x:c>
      <x:c r="H206" t="str">
        <x:v>LOG-SRL26072327</x:v>
      </x:c>
      <x:c r="I206" t="str">
        <x:v>2690</x:v>
      </x:c>
    </x:row>
    <x:row r="207" ht="18">
      <x:c r="A207" s="3" t="s">
        <x:v>209</x:v>
      </x:c>
      <x:c r="B207" s="4">
        <x:v>71.62</x:v>
      </x:c>
      <x:c r="C207" s="7">
        <x:v>79.233000000000004</x:v>
      </x:c>
      <x:c r="D207" s="7" t="n">
        <x:f>C207-B207</x:f>
        <x:v>7.6129999999999995</x:v>
      </x:c>
      <x:c r="E207" t="str">
        <x:v>AC200L</x:v>
      </x:c>
      <x:c r="F207" t="str">
        <x:v>已匹配</x:v>
      </x:c>
      <x:c r="G207" t="str">
        <x:v>AC200L2436002069869</x:v>
      </x:c>
      <x:c r="H207" t="str">
        <x:v>LOG-SRL26072301</x:v>
      </x:c>
      <x:c r="I207" t="str">
        <x:v>2772</x:v>
      </x:c>
    </x:row>
    <x:row r="208" ht="18">
      <x:c r="A208" s="3" t="s">
        <x:v>210</x:v>
      </x:c>
      <x:c r="B208" s="4">
        <x:v>20.7</x:v>
      </x:c>
      <x:c r="C208" s="7">
        <x:v>25.234000000000002</x:v>
      </x:c>
      <x:c r="D208" s="7" t="n">
        <x:f>C208-B208</x:f>
        <x:v>4.5340000000000025</x:v>
      </x:c>
      <x:c r="E208" t="str">
        <x:v>EL00V2</x:v>
      </x:c>
      <x:c r="F208" t="str">
        <x:v>已匹配</x:v>
      </x:c>
      <x:c r="G208" t="str">
        <x:v>EL100V22537005659923</x:v>
      </x:c>
      <x:c r="H208" t="str">
        <x:v>LOG-SRD26072404</x:v>
      </x:c>
      <x:c r="I208" t="str">
        <x:v>2679</x:v>
      </x:c>
    </x:row>
    <x:row r="209" ht="18">
      <x:c r="A209" s="3" t="s">
        <x:v>211</x:v>
      </x:c>
      <x:c r="B209" s="4">
        <x:v>20.7</x:v>
      </x:c>
      <x:c r="C209" s="7">
        <x:v>22.858000000000001</x:v>
      </x:c>
      <x:c r="D209" s="7" t="n">
        <x:f>C209-B209</x:f>
        <x:v>2.1580000000000013</x:v>
      </x:c>
      <x:c r="E209" t="str">
        <x:v>EL100V2</x:v>
      </x:c>
      <x:c r="F209" t="str">
        <x:v>已匹配</x:v>
      </x:c>
      <x:c r="G209" t="str">
        <x:v>EL100V22527006402107</x:v>
      </x:c>
      <x:c r="H209" t="str">
        <x:v>LOG-SRD26073441</x:v>
      </x:c>
      <x:c r="I209" t="str">
        <x:v>2610</x:v>
      </x:c>
    </x:row>
    <x:row r="210" ht="18">
      <x:c r="A210" s="3" t="s">
        <x:v>212</x:v>
      </x:c>
      <x:c r="B210" s="4">
        <x:v>33.39</x:v>
      </x:c>
      <x:c r="C210" s="7">
        <x:v>38.819000000000003</x:v>
      </x:c>
      <x:c r="D210" s="7" t="n">
        <x:f>C210-B210</x:f>
        <x:v>5.429000000000002</x:v>
      </x:c>
      <x:c r="E210" t="str">
        <x:v>EL100V2</x:v>
      </x:c>
      <x:c r="F210" t="str">
        <x:v>已匹配</x:v>
      </x:c>
      <x:c r="G210" t="str">
        <x:v>EL100V22532011038355</x:v>
      </x:c>
      <x:c r="H210" t="str">
        <x:v>LOG-SRD26073332</x:v>
      </x:c>
      <x:c r="I210" t="str">
        <x:v>2646</x:v>
      </x:c>
    </x:row>
    <x:row r="211" ht="18">
      <x:c r="A211" s="3" t="s">
        <x:v>213</x:v>
      </x:c>
      <x:c r="B211" s="4">
        <x:v>56.27</x:v>
      </x:c>
      <x:c r="C211" s="7">
        <x:v>61.6</x:v>
      </x:c>
      <x:c r="D211" s="7" t="n">
        <x:f>C211-B211</x:f>
        <x:v>5.329999999999998</x:v>
      </x:c>
      <x:c r="E211" t="str">
        <x:v>AC300</x:v>
      </x:c>
      <x:c r="F211" t="str">
        <x:v>已匹配</x:v>
      </x:c>
      <x:c r="G211" t="str">
        <x:v>AC3002140000807295</x:v>
      </x:c>
      <x:c r="H211" t="str">
        <x:v>LOG-CRP26072236</x:v>
      </x:c>
      <x:c r="I211" t="str">
        <x:v>2624</x:v>
      </x:c>
    </x:row>
    <x:row r="212" ht="18">
      <x:c r="A212" s="3" t="s">
        <x:v>214</x:v>
      </x:c>
      <x:c r="B212" s="4">
        <x:v>20.7</x:v>
      </x:c>
      <x:c r="C212" s="7">
        <x:v>23.023</x:v>
      </x:c>
      <x:c r="D212" s="7" t="n">
        <x:f>C212-B212</x:f>
        <x:v>2.3230000000000004</x:v>
      </x:c>
      <x:c r="E212" t="str">
        <x:v>EL100V2</x:v>
      </x:c>
      <x:c r="F212" t="str">
        <x:v>已匹配</x:v>
      </x:c>
      <x:c r="G212" t="str">
        <x:v>EL100V22542002253087</x:v>
      </x:c>
      <x:c r="H212" t="str">
        <x:v>LOG-SRD26072403</x:v>
      </x:c>
      <x:c r="I212" t="str">
        <x:v>2615</x:v>
      </x:c>
    </x:row>
    <x:row r="213" ht="18">
      <x:c r="A213" s="3" t="s">
        <x:v>215</x:v>
      </x:c>
      <x:c r="B213" s="4">
        <x:v>110.61</x:v>
      </x:c>
      <x:c r="C213" s="7">
        <x:v>126.91800000000001</x:v>
      </x:c>
      <x:c r="D213" s="7" t="n">
        <x:f>C213-B213</x:f>
        <x:v>16.308000000000007</x:v>
      </x:c>
      <x:c r="E213" t="str">
        <x:v>EL400</x:v>
      </x:c>
      <x:c r="F213" t="str">
        <x:v>已匹配</x:v>
      </x:c>
      <x:c r="G213" t="str">
        <x:v>EL4002604235362146</x:v>
      </x:c>
      <x:c r="H213" t="str">
        <x:v>LOG-SRD26072402</x:v>
      </x:c>
      <x:c r="I213" t="str">
        <x:v>2674</x:v>
      </x:c>
    </x:row>
    <x:row r="214" ht="18">
      <x:c r="A214" s="3" t="s">
        <x:v>216</x:v>
      </x:c>
      <x:c r="B214" s="4">
        <x:v>28.91</x:v>
      </x:c>
      <x:c r="C214" s="7">
        <x:v>32.350999999999999</x:v>
      </x:c>
      <x:c r="D214" s="7" t="n">
        <x:f>C214-B214</x:f>
        <x:v>3.440999999999999</x:v>
      </x:c>
      <x:c r="E214" t="str">
        <x:v>AC180</x:v>
      </x:c>
      <x:c r="F214" t="str">
        <x:v>已匹配</x:v>
      </x:c>
      <x:c r="G214" t="str">
        <x:v>AC1802435001578484</x:v>
      </x:c>
      <x:c r="H214" t="str">
        <x:v>LOG-CRP26072140</x:v>
      </x:c>
      <x:c r="I214" t="str">
        <x:v>2667</x:v>
      </x:c>
    </x:row>
    <x:row r="215" ht="18">
      <x:c r="A215" s="3" t="s">
        <x:v>217</x:v>
      </x:c>
      <x:c r="B215" s="4">
        <x:v>62.65</x:v>
      </x:c>
      <x:c r="C215" s="7">
        <x:v>68.915000000000006</x:v>
      </x:c>
      <x:c r="D215" s="7" t="n">
        <x:f>C215-B215</x:f>
        <x:v>6.265000000000008</x:v>
      </x:c>
      <x:c r="E215" t="str">
        <x:v>AC180</x:v>
      </x:c>
      <x:c r="F215" t="str">
        <x:v>已匹配</x:v>
      </x:c>
      <x:c r="G215" t="str">
        <x:v>AC1802442002355773</x:v>
      </x:c>
      <x:c r="H215" t="str">
        <x:v>LOG-SRL26072053</x:v>
      </x:c>
      <x:c r="I215" t="str">
        <x:v>2875</x:v>
      </x:c>
    </x:row>
    <x:row r="216" ht="18">
      <x:c r="A216" s="3" t="s">
        <x:v>218</x:v>
      </x:c>
      <x:c r="B216" s="4">
        <x:v>34.54</x:v>
      </x:c>
      <x:c r="C216" s="7">
        <x:v>71.995000000000005</x:v>
      </x:c>
      <x:c r="D216" s="7" t="n">
        <x:f>C216-B216</x:f>
        <x:v>37.455000000000005</x:v>
      </x:c>
      <x:c r="E216" t="str">
        <x:v>FP2</x:v>
      </x:c>
      <x:c r="F216" t="str">
        <x:v>已匹配</x:v>
      </x:c>
      <x:c r="G216" t="str">
        <x:v>FP2604137071496</x:v>
      </x:c>
      <x:c r="H216" t="str">
        <x:v>LOG-SRL26072073</x:v>
      </x:c>
      <x:c r="I216" t="str">
        <x:v>2851</x:v>
      </x:c>
    </x:row>
    <x:row r="217" ht="18">
      <x:c r="A217" s="3" t="s">
        <x:v>219</x:v>
      </x:c>
      <x:c r="B217" s="4">
        <x:v>16.940000000000001</x:v>
      </x:c>
      <x:c r="C217" s="7">
        <x:v>19.349</x:v>
      </x:c>
      <x:c r="D217" s="7" t="n">
        <x:f>C217-B217</x:f>
        <x:v>2.408999999999999</x:v>
      </x:c>
      <x:c r="E217" t="str">
        <x:v>EL100V2</x:v>
      </x:c>
      <x:c r="F217" t="str">
        <x:v>已匹配</x:v>
      </x:c>
      <x:c r="G217" t="str">
        <x:v>EL100V22537012017994</x:v>
      </x:c>
      <x:c r="H217" t="str">
        <x:v>LOG-SRL26073611</x:v>
      </x:c>
      <x:c r="I217" t="str">
        <x:v>2665</x:v>
      </x:c>
    </x:row>
    <x:row r="218" ht="18">
      <x:c r="A218" s="3" t="s">
        <x:v>220</x:v>
      </x:c>
      <x:c r="B218" s="4">
        <x:v>27.46</x:v>
      </x:c>
      <x:c r="C218" s="7">
        <x:v>30.228000000000002</x:v>
      </x:c>
      <x:c r="D218" s="7" t="n">
        <x:f>C218-B218</x:f>
        <x:v>2.7680000000000007</x:v>
      </x:c>
      <x:c r="E218" t="str">
        <x:v>EL100V2</x:v>
      </x:c>
      <x:c r="F218" t="str">
        <x:v>已匹配</x:v>
      </x:c>
      <x:c r="G218" t="str">
        <x:v>EL100V22532031490099</x:v>
      </x:c>
      <x:c r="H218" t="str">
        <x:v>LOG-SRL26071881</x:v>
      </x:c>
      <x:c r="I218" t="str">
        <x:v>2619</x:v>
      </x:c>
    </x:row>
    <x:row r="219" ht="18">
      <x:c r="A219" s="3" t="s">
        <x:v>221</x:v>
      </x:c>
      <x:c r="B219" s="4">
        <x:v>22.58</x:v>
      </x:c>
      <x:c r="C219" s="7">
        <x:v>55.363</x:v>
      </x:c>
      <x:c r="D219" s="7" t="n">
        <x:f>C219-B219</x:f>
        <x:v>32.783</x:v>
      </x:c>
      <x:c r="E219" t="str">
        <x:v>EL100V2</x:v>
      </x:c>
      <x:c r="F219" t="str">
        <x:v>已匹配</x:v>
      </x:c>
      <x:c r="G219" t="str">
        <x:v>EL100V22537005256355</x:v>
      </x:c>
      <x:c r="H219" t="str">
        <x:v>LOG-SRL26071866</x:v>
      </x:c>
      <x:c r="I219" t="str">
        <x:v>2591</x:v>
      </x:c>
    </x:row>
    <x:row r="220" ht="18">
      <x:c r="A220" s="3" t="s">
        <x:v>222</x:v>
      </x:c>
      <x:c r="B220" s="4">
        <x:v>62.65</x:v>
      </x:c>
      <x:c r="C220" s="7">
        <x:v>168.916</x:v>
      </x:c>
      <x:c r="D220" s="7" t="n">
        <x:f>C220-B220</x:f>
        <x:v>106.26599999999999</x:v>
      </x:c>
      <x:c r="E220" t="str">
        <x:v>AC180</x:v>
      </x:c>
      <x:c r="F220" t="str">
        <x:v>已匹配</x:v>
      </x:c>
      <x:c r="G220" t="str">
        <x:v>AC1802411002158064</x:v>
      </x:c>
      <x:c r="H220" t="str">
        <x:v>LOG-CRP26071850</x:v>
      </x:c>
      <x:c r="I220" t="str">
        <x:v>2677</x:v>
      </x:c>
    </x:row>
    <x:row r="221" ht="18">
      <x:c r="A221" s="3" t="s">
        <x:v>223</x:v>
      </x:c>
      <x:c r="B221" s="4">
        <x:v>46.44</x:v>
      </x:c>
      <x:c r="C221" s="7">
        <x:v>62.853999999999999</x:v>
      </x:c>
      <x:c r="D221" s="7" t="n">
        <x:f>C221-B221</x:f>
        <x:v>16.414</x:v>
      </x:c>
      <x:c r="E221" t="str">
        <x:v>EL30V</x:v>
      </x:c>
      <x:c r="F221" t="str">
        <x:v>已匹配</x:v>
      </x:c>
      <x:c r="G221" t="str">
        <x:v>EL30V22617131159222</x:v>
      </x:c>
      <x:c r="H221" t="str">
        <x:v>LOG-SRD26071818</x:v>
      </x:c>
      <x:c r="I221" t="str">
        <x:v>2643</x:v>
      </x:c>
    </x:row>
    <x:row r="222" ht="18">
      <x:c r="A222" s="3" t="s">
        <x:v>224</x:v>
      </x:c>
      <x:c r="B222" s="4">
        <x:v>44.42</x:v>
      </x:c>
      <x:c r="C222" s="7">
        <x:v>84.128</x:v>
      </x:c>
      <x:c r="D222" s="7" t="n">
        <x:f>C222-B222</x:f>
        <x:v>39.708</x:v>
      </x:c>
      <x:c r="E222" t="str">
        <x:v>AC300</x:v>
      </x:c>
      <x:c r="F222" t="str">
        <x:v>已匹配</x:v>
      </x:c>
      <x:c r="G222" t="str">
        <x:v>AC3002512000790361</x:v>
      </x:c>
      <x:c r="H222" t="str">
        <x:v>LOG-SRI26071814</x:v>
      </x:c>
      <x:c r="I222" t="str">
        <x:v>2697</x:v>
      </x:c>
    </x:row>
    <x:row r="223" ht="18">
      <x:c r="A223" s="3" t="s">
        <x:v>225</x:v>
      </x:c>
      <x:c r="B223" s="4">
        <x:v>44.5</x:v>
      </x:c>
      <x:c r="C223" s="7">
        <x:v>52.14</x:v>
      </x:c>
      <x:c r="D223" s="7" t="n">
        <x:f>C223-B223</x:f>
        <x:v>7.640000000000001</x:v>
      </x:c>
      <x:c r="E223" t="str">
        <x:v>EL100V2</x:v>
      </x:c>
      <x:c r="F223" t="str">
        <x:v>已匹配</x:v>
      </x:c>
      <x:c r="G223" t="str">
        <x:v>EL100V22525020071055</x:v>
      </x:c>
      <x:c r="H223" t="str">
        <x:v>LOG-SRL26071810</x:v>
      </x:c>
      <x:c r="I223" t="str">
        <x:v>2861</x:v>
      </x:c>
    </x:row>
    <x:row r="224" ht="18">
      <x:c r="A224" s="3" t="s">
        <x:v>226</x:v>
      </x:c>
      <x:c r="B224" s="4">
        <x:v>71.650000000000006</x:v>
      </x:c>
      <x:c r="C224" s="7">
        <x:v>179.42099999999999</x:v>
      </x:c>
      <x:c r="D224" s="7" t="n">
        <x:f>C224-B224</x:f>
        <x:v>107.77099999999999</x:v>
      </x:c>
      <x:c r="E224" t="str">
        <x:v>AC200L</x:v>
      </x:c>
      <x:c r="F224" t="str">
        <x:v>已匹配</x:v>
      </x:c>
      <x:c r="G224" t="str">
        <x:v>AC200L2441001179415</x:v>
      </x:c>
      <x:c r="H224" t="str">
        <x:v>LOG-SRL26071782</x:v>
      </x:c>
      <x:c r="I224" t="str">
        <x:v>2602</x:v>
      </x:c>
    </x:row>
    <x:row r="225" ht="18">
      <x:c r="A225" s="3" t="s">
        <x:v>227</x:v>
      </x:c>
      <x:c r="B225" s="4">
        <x:v>57.47</x:v>
      </x:c>
      <x:c r="C225" s="7">
        <x:v>128.47999999999999</x:v>
      </x:c>
      <x:c r="D225" s="7" t="n">
        <x:f>C225-B225</x:f>
        <x:v>71.00999999999999</x:v>
      </x:c>
      <x:c r="E225" t="str">
        <x:v>EL300</x:v>
      </x:c>
      <x:c r="F225" t="str">
        <x:v>已匹配</x:v>
      </x:c>
      <x:c r="G225" t="str">
        <x:v>EL3002610132713288</x:v>
      </x:c>
      <x:c r="H225" t="str">
        <x:v>LOG-SRL26072015</x:v>
      </x:c>
      <x:c r="I225" t="str">
        <x:v>2567</x:v>
      </x:c>
    </x:row>
    <x:row r="226" ht="18">
      <x:c r="A226" s="3" t="s">
        <x:v>228</x:v>
      </x:c>
      <x:c r="B226" s="4">
        <x:v>29.87</x:v>
      </x:c>
      <x:c r="C226" s="7">
        <x:v>38.148000000000003</x:v>
      </x:c>
      <x:c r="D226" s="7" t="n">
        <x:f>C226-B226</x:f>
        <x:v>8.278000000000002</x:v>
      </x:c>
      <x:c r="E226"/>
      <x:c r="F226" t="str">
        <x:v>未匹配</x:v>
      </x:c>
      <x:c r="G226"/>
      <x:c r="H226"/>
      <x:c r="I226"/>
    </x:row>
    <x:row r="227" ht="18">
      <x:c r="A227" s="3" t="s">
        <x:v>229</x:v>
      </x:c>
      <x:c r="B227" s="4">
        <x:v>23.61</x:v>
      </x:c>
      <x:c r="C227" s="7">
        <x:v>72.709999999999994</x:v>
      </x:c>
      <x:c r="D227" s="7" t="n">
        <x:f>C227-B227</x:f>
        <x:v>49.099999999999994</x:v>
      </x:c>
      <x:c r="E227" t="str">
        <x:v>AC70</x:v>
      </x:c>
      <x:c r="F227" t="str">
        <x:v>已匹配</x:v>
      </x:c>
      <x:c r="G227" t="str">
        <x:v>AC702539011206091</x:v>
      </x:c>
      <x:c r="H227" t="str">
        <x:v>LOG-SRD26073438</x:v>
      </x:c>
      <x:c r="I227" t="str">
        <x:v>2607</x:v>
      </x:c>
    </x:row>
    <x:row r="228" ht="18">
      <x:c r="A228" s="3" t="s">
        <x:v>230</x:v>
      </x:c>
      <x:c r="B228" s="4">
        <x:v>149.24</x:v>
      </x:c>
      <x:c r="C228" s="7">
        <x:v>171.77600000000001</x:v>
      </x:c>
      <x:c r="D228" s="7" t="n">
        <x:f>C228-B228</x:f>
        <x:v>22.536</x:v>
      </x:c>
      <x:c r="E228" t="str">
        <x:v>EL300</x:v>
      </x:c>
      <x:c r="F228" t="str">
        <x:v>已匹配</x:v>
      </x:c>
      <x:c r="G228" t="str">
        <x:v>EL3002613135066933</x:v>
      </x:c>
      <x:c r="H228" t="str">
        <x:v>LOG-SRD26071539</x:v>
      </x:c>
      <x:c r="I228" t="str">
        <x:v>2616</x:v>
      </x:c>
    </x:row>
    <x:row r="229" ht="18">
      <x:c r="A229" s="3" t="s">
        <x:v>231</x:v>
      </x:c>
      <x:c r="B229" s="4">
        <x:v>37.47</x:v>
      </x:c>
      <x:c r="C229" s="7">
        <x:v>93.126000000000005</x:v>
      </x:c>
      <x:c r="D229" s="7" t="n">
        <x:f>C229-B229</x:f>
        <x:v>55.656000000000006</x:v>
      </x:c>
      <x:c r="E229" t="str">
        <x:v>EL100V2</x:v>
      </x:c>
      <x:c r="F229" t="str">
        <x:v>已匹配</x:v>
      </x:c>
      <x:c r="G229" t="str">
        <x:v>EL100V22539001340413</x:v>
      </x:c>
      <x:c r="H229" t="str">
        <x:v>LOG-SRL26071531</x:v>
      </x:c>
      <x:c r="I229" t="str">
        <x:v>2631</x:v>
      </x:c>
    </x:row>
    <x:row r="230" ht="18">
      <x:c r="A230" s="3" t="s">
        <x:v>232</x:v>
      </x:c>
      <x:c r="B230" s="4">
        <x:v>24.39</x:v>
      </x:c>
      <x:c r="C230" s="7">
        <x:v>29.347999999999999</x:v>
      </x:c>
      <x:c r="D230" s="7" t="n">
        <x:f>C230-B230</x:f>
        <x:v>4.957999999999998</x:v>
      </x:c>
      <x:c r="E230" t="str">
        <x:v>EL100V2</x:v>
      </x:c>
      <x:c r="F230" t="str">
        <x:v>已匹配</x:v>
      </x:c>
      <x:c r="G230" t="str">
        <x:v>EL100V22542003581853</x:v>
      </x:c>
      <x:c r="H230" t="str">
        <x:v>LOG-SRL26071997</x:v>
      </x:c>
      <x:c r="I230" t="str">
        <x:v>2729</x:v>
      </x:c>
    </x:row>
    <x:row r="231" ht="18">
      <x:c r="A231" s="3" t="s">
        <x:v>233</x:v>
      </x:c>
      <x:c r="B231" s="4">
        <x:v>21.9</x:v>
      </x:c>
      <x:c r="C231" s="7">
        <x:v>49.158999999999999</x:v>
      </x:c>
      <x:c r="D231" s="7" t="n">
        <x:f>C231-B231</x:f>
        <x:v>27.259</x:v>
      </x:c>
      <x:c r="E231" t="str">
        <x:v>EL100V2</x:v>
      </x:c>
      <x:c r="F231" t="str">
        <x:v>已匹配</x:v>
      </x:c>
      <x:c r="G231" t="str">
        <x:v>EL100V22532000220296</x:v>
      </x:c>
      <x:c r="H231" t="str">
        <x:v>LOG-SRD26072366</x:v>
      </x:c>
      <x:c r="I231" t="str">
        <x:v>2575</x:v>
      </x:c>
    </x:row>
    <x:row r="232" ht="18">
      <x:c r="A232" s="3" t="s">
        <x:v>234</x:v>
      </x:c>
      <x:c r="B232" s="4">
        <x:v>26.2</x:v>
      </x:c>
      <x:c r="C232" s="7">
        <x:v>29.073</x:v>
      </x:c>
      <x:c r="D232" s="7" t="n">
        <x:f>C232-B232</x:f>
        <x:v>2.873000000000001</x:v>
      </x:c>
      <x:c r="E232" t="str">
        <x:v>EL100V2</x:v>
      </x:c>
      <x:c r="F232" t="str">
        <x:v>已匹配</x:v>
      </x:c>
      <x:c r="G232" t="str">
        <x:v>EL100V22535000999492</x:v>
      </x:c>
      <x:c r="H232" t="str">
        <x:v>LOG-SRL26071465</x:v>
      </x:c>
      <x:c r="I232" t="str">
        <x:v>2611</x:v>
      </x:c>
    </x:row>
    <x:row r="233" ht="18">
      <x:c r="A233" s="3" t="s">
        <x:v>235</x:v>
      </x:c>
      <x:c r="B233" s="4">
        <x:v>65.37</x:v>
      </x:c>
      <x:c r="C233" s="7">
        <x:v>69.179000000000002</x:v>
      </x:c>
      <x:c r="D233" s="7" t="n">
        <x:f>C233-B233</x:f>
        <x:v>3.8089999999999975</x:v>
      </x:c>
      <x:c r="E233" t="str">
        <x:v>AC200L</x:v>
      </x:c>
      <x:c r="F233" t="str">
        <x:v>已匹配</x:v>
      </x:c>
      <x:c r="G233" t="str">
        <x:v>AC200L2451000880622</x:v>
      </x:c>
      <x:c r="H233" t="str">
        <x:v>LOG-SRL26071448</x:v>
      </x:c>
      <x:c r="I233" t="str">
        <x:v>2652</x:v>
      </x:c>
    </x:row>
    <x:row r="234" ht="18">
      <x:c r="A234" s="3" t="s">
        <x:v>236</x:v>
      </x:c>
      <x:c r="B234" s="4">
        <x:v>32.22</x:v>
      </x:c>
      <x:c r="C234" s="7">
        <x:v>38.070999999999998</x:v>
      </x:c>
      <x:c r="D234" s="7" t="n">
        <x:f>C234-B234</x:f>
        <x:v>5.850999999999999</x:v>
      </x:c>
      <x:c r="E234" t="str">
        <x:v>EL100V2</x:v>
      </x:c>
      <x:c r="F234" t="str">
        <x:v>已匹配</x:v>
      </x:c>
      <x:c r="G234" t="str">
        <x:v>EL100V22532030940566</x:v>
      </x:c>
      <x:c r="H234" t="str">
        <x:v>LOG-SRL26071323</x:v>
      </x:c>
      <x:c r="I234" t="str">
        <x:v>2546</x:v>
      </x:c>
    </x:row>
    <x:row r="235" ht="18">
      <x:c r="A235" s="3" t="s">
        <x:v>237</x:v>
      </x:c>
      <x:c r="B235" s="4">
        <x:v>31.44</x:v>
      </x:c>
      <x:c r="C235" s="7">
        <x:v>35.695</x:v>
      </x:c>
      <x:c r="D235" s="7" t="n">
        <x:f>C235-B235</x:f>
        <x:v>4.254999999999999</x:v>
      </x:c>
      <x:c r="E235" t="str">
        <x:v>BC200</x:v>
      </x:c>
      <x:c r="F235" t="str">
        <x:v>已匹配</x:v>
      </x:c>
      <x:c r="G235" t="str">
        <x:v>BC2002603133775644</x:v>
      </x:c>
      <x:c r="H235" t="str">
        <x:v>LOG-SRD26071299</x:v>
      </x:c>
      <x:c r="I235" t="str">
        <x:v>2849</x:v>
      </x:c>
    </x:row>
    <x:row r="236" ht="18">
      <x:c r="A236" s="3" t="s">
        <x:v>238</x:v>
      </x:c>
      <x:c r="B236" s="4">
        <x:v>23.02</x:v>
      </x:c>
      <x:c r="C236" s="7">
        <x:v>53.933</x:v>
      </x:c>
      <x:c r="D236" s="7" t="n">
        <x:f>C236-B236</x:f>
        <x:v>30.913</x:v>
      </x:c>
      <x:c r="E236" t="str">
        <x:v>EL100V2</x:v>
      </x:c>
      <x:c r="F236" t="str">
        <x:v>已匹配</x:v>
      </x:c>
      <x:c r="G236" t="str">
        <x:v>EL100V22522010423113</x:v>
      </x:c>
      <x:c r="H236" t="str">
        <x:v>LOG-SRL26071276</x:v>
      </x:c>
      <x:c r="I236" t="str">
        <x:v>2586</x:v>
      </x:c>
    </x:row>
    <x:row r="237" ht="18">
      <x:c r="A237" s="3" t="s">
        <x:v>239</x:v>
      </x:c>
      <x:c r="B237" s="4">
        <x:v>26.2</x:v>
      </x:c>
      <x:c r="C237" s="7">
        <x:v>76.724999999999994</x:v>
      </x:c>
      <x:c r="D237" s="7" t="n">
        <x:f>C237-B237</x:f>
        <x:v>50.52499999999999</x:v>
      </x:c>
      <x:c r="E237" t="str">
        <x:v>EL100V2</x:v>
      </x:c>
      <x:c r="F237" t="str">
        <x:v>已匹配</x:v>
      </x:c>
      <x:c r="G237" t="str">
        <x:v>EL100V22523100352974</x:v>
      </x:c>
      <x:c r="H237" t="str">
        <x:v>LOG-SRL26071262</x:v>
      </x:c>
      <x:c r="I237" t="str">
        <x:v>2609</x:v>
      </x:c>
    </x:row>
    <x:row r="238" ht="18">
      <x:c r="A238" s="3" t="s">
        <x:v>240</x:v>
      </x:c>
      <x:c r="B238" s="4">
        <x:v>36.44</x:v>
      </x:c>
      <x:c r="C238" s="7">
        <x:v>39.039000000000001</x:v>
      </x:c>
      <x:c r="D238" s="7" t="n">
        <x:f>C238-B238</x:f>
        <x:v>2.5990000000000038</x:v>
      </x:c>
      <x:c r="E238" t="str">
        <x:v>AC180</x:v>
      </x:c>
      <x:c r="F238" t="str">
        <x:v>已匹配</x:v>
      </x:c>
      <x:c r="G238" t="str">
        <x:v>AC1802452001975363</x:v>
      </x:c>
      <x:c r="H238" t="str">
        <x:v>LOG-SRL26071244</x:v>
      </x:c>
      <x:c r="I238" t="str">
        <x:v>2549</x:v>
      </x:c>
    </x:row>
    <x:row r="239" ht="18">
      <x:c r="A239" s="3" t="s">
        <x:v>241</x:v>
      </x:c>
      <x:c r="B239" s="4">
        <x:v>22.55</x:v>
      </x:c>
      <x:c r="C239" s="7">
        <x:v>40.645000000000003</x:v>
      </x:c>
      <x:c r="D239" s="7" t="n">
        <x:f>C239-B239</x:f>
        <x:v>18.095000000000002</x:v>
      </x:c>
      <x:c r="E239" t="str">
        <x:v>EL30V2</x:v>
      </x:c>
      <x:c r="F239" t="str">
        <x:v>已匹配</x:v>
      </x:c>
      <x:c r="G239" t="str">
        <x:v>EL30V22616130373363</x:v>
      </x:c>
      <x:c r="H239" t="str">
        <x:v>LOG-SRD26071242</x:v>
      </x:c>
      <x:c r="I239" t="str">
        <x:v>2589</x:v>
      </x:c>
    </x:row>
    <x:row r="240" ht="18">
      <x:c r="A240" s="3" t="s">
        <x:v>242</x:v>
      </x:c>
      <x:c r="B240" s="4">
        <x:v>32.22</x:v>
      </x:c>
      <x:c r="C240" s="7">
        <x:v>46.683999999999997</x:v>
      </x:c>
      <x:c r="D240" s="7" t="n">
        <x:f>C240-B240</x:f>
        <x:v>14.463999999999999</x:v>
      </x:c>
      <x:c r="E240" t="str">
        <x:v>EL100V2</x:v>
      </x:c>
      <x:c r="F240" t="str">
        <x:v>已匹配</x:v>
      </x:c>
      <x:c r="G240" t="str">
        <x:v>EL100V22545130139138</x:v>
      </x:c>
      <x:c r="H240" t="str">
        <x:v>LOG-SRD26071217</x:v>
      </x:c>
      <x:c r="I240" t="str">
        <x:v>2585</x:v>
      </x:c>
    </x:row>
    <x:row r="241" ht="18">
      <x:c r="A241" s="3" t="s">
        <x:v>243</x:v>
      </x:c>
      <x:c r="B241" s="4">
        <x:v>20.9</x:v>
      </x:c>
      <x:c r="C241" s="7">
        <x:v>23.364000000000001</x:v>
      </x:c>
      <x:c r="D241" s="7" t="n">
        <x:f>C241-B241</x:f>
        <x:v>2.464000000000002</x:v>
      </x:c>
      <x:c r="E241" t="str">
        <x:v>EL100V2</x:v>
      </x:c>
      <x:c r="F241" t="str">
        <x:v>已匹配</x:v>
      </x:c>
      <x:c r="G241" t="str">
        <x:v>EL100V22541001969167</x:v>
      </x:c>
      <x:c r="H241" t="str">
        <x:v>LOG-SRL26071179</x:v>
      </x:c>
      <x:c r="I241" t="str">
        <x:v>2523</x:v>
      </x:c>
    </x:row>
    <x:row r="242" ht="18">
      <x:c r="A242" s="3" t="s">
        <x:v>244</x:v>
      </x:c>
      <x:c r="B242" s="4">
        <x:v>88.7</x:v>
      </x:c>
      <x:c r="C242" s="7">
        <x:v>95.183000000000007</x:v>
      </x:c>
      <x:c r="D242" s="7" t="n">
        <x:f>C242-B242</x:f>
        <x:v>6.483000000000004</x:v>
      </x:c>
      <x:c r="E242" t="str">
        <x:v>B300K</x:v>
      </x:c>
      <x:c r="F242" t="str">
        <x:v>已匹配</x:v>
      </x:c>
      <x:c r="G242" t="str">
        <x:v>B300K2541003524321</x:v>
      </x:c>
      <x:c r="H242"/>
      <x:c r="I242" t="str">
        <x:v>2564</x:v>
      </x:c>
    </x:row>
    <x:row r="243" ht="18">
      <x:c r="A243" s="3" t="s">
        <x:v>245</x:v>
      </x:c>
      <x:c r="B243" s="4">
        <x:v>88.7</x:v>
      </x:c>
      <x:c r="C243" s="7">
        <x:v>95.183000000000007</x:v>
      </x:c>
      <x:c r="D243" s="7" t="n">
        <x:f>C243-B243</x:f>
        <x:v>6.483000000000004</x:v>
      </x:c>
      <x:c r="E243" t="str">
        <x:v>B300K</x:v>
      </x:c>
      <x:c r="F243" t="str">
        <x:v>已匹配</x:v>
      </x:c>
      <x:c r="G243" t="str">
        <x:v>B300K2541003517353</x:v>
      </x:c>
      <x:c r="H243" t="str">
        <x:v>LOG-SRD26071110</x:v>
      </x:c>
      <x:c r="I243" t="str">
        <x:v>2562</x:v>
      </x:c>
    </x:row>
    <x:row r="244" ht="18">
      <x:c r="A244" s="3" t="s">
        <x:v>246</x:v>
      </x:c>
      <x:c r="B244" s="4">
        <x:v>88.7</x:v>
      </x:c>
      <x:c r="C244" s="7">
        <x:v>95.183000000000007</x:v>
      </x:c>
      <x:c r="D244" s="7" t="n">
        <x:f>C244-B244</x:f>
        <x:v>6.483000000000004</x:v>
      </x:c>
      <x:c r="E244" t="str">
        <x:v>B300K</x:v>
      </x:c>
      <x:c r="F244" t="str">
        <x:v>已匹配</x:v>
      </x:c>
      <x:c r="G244" t="str">
        <x:v>B300K2541004046266</x:v>
      </x:c>
      <x:c r="H244"/>
      <x:c r="I244" t="str">
        <x:v>2563</x:v>
      </x:c>
    </x:row>
    <x:row r="245" ht="18">
      <x:c r="A245" s="3" t="s">
        <x:v>247</x:v>
      </x:c>
      <x:c r="B245" s="4">
        <x:v>100.59</x:v>
      </x:c>
      <x:c r="C245" s="7">
        <x:v>113.245</x:v>
      </x:c>
      <x:c r="D245" s="7" t="n">
        <x:f>C245-B245</x:f>
        <x:v>12.655000000000001</x:v>
      </x:c>
      <x:c r="E245" t="str">
        <x:v>AP300</x:v>
      </x:c>
      <x:c r="F245" t="str">
        <x:v>已匹配</x:v>
      </x:c>
      <x:c r="G245" t="str">
        <x:v>AP3002606132467317</x:v>
      </x:c>
      <x:c r="H245" t="str">
        <x:v>LOG-SRD26071110</x:v>
      </x:c>
      <x:c r="I245" t="str">
        <x:v>2541</x:v>
      </x:c>
    </x:row>
    <x:row r="246" ht="18">
      <x:c r="A246" s="3" t="s">
        <x:v>248</x:v>
      </x:c>
      <x:c r="B246" s="4">
        <x:v>36.44</x:v>
      </x:c>
      <x:c r="C246" s="7">
        <x:v>38.917999999999999</x:v>
      </x:c>
      <x:c r="D246" s="7" t="n">
        <x:f>C246-B246</x:f>
        <x:v>2.4780000000000015</x:v>
      </x:c>
      <x:c r="E246" t="str">
        <x:v>AC180P</x:v>
      </x:c>
      <x:c r="F246" t="str">
        <x:v>已匹配</x:v>
      </x:c>
      <x:c r="G246" t="str">
        <x:v>AC180P2436000672684</x:v>
      </x:c>
      <x:c r="H246" t="str">
        <x:v>LOG-SRL26071105</x:v>
      </x:c>
      <x:c r="I246" t="str">
        <x:v>2557</x:v>
      </x:c>
    </x:row>
    <x:row r="247" ht="18">
      <x:c r="A247" s="3" t="s">
        <x:v>249</x:v>
      </x:c>
      <x:c r="B247" s="4">
        <x:v>95.71</x:v>
      </x:c>
      <x:c r="C247" s="7">
        <x:v>99.99</x:v>
      </x:c>
      <x:c r="D247" s="7" t="n">
        <x:f>C247-B247</x:f>
        <x:v>4.280000000000001</x:v>
      </x:c>
      <x:c r="E247" t="str">
        <x:v>EL300</x:v>
      </x:c>
      <x:c r="F247" t="str">
        <x:v>已匹配</x:v>
      </x:c>
      <x:c r="G247" t="str">
        <x:v>EL3002610133089791</x:v>
      </x:c>
      <x:c r="H247" t="str">
        <x:v>LOG-SRL26071019</x:v>
      </x:c>
      <x:c r="I247" t="str">
        <x:v>2522</x:v>
      </x:c>
    </x:row>
    <x:row r="248" ht="18">
      <x:c r="A248" s="3" t="s">
        <x:v>250</x:v>
      </x:c>
      <x:c r="B248" s="4">
        <x:v>20.2</x:v>
      </x:c>
      <x:c r="C248" s="7">
        <x:v>22.858000000000001</x:v>
      </x:c>
      <x:c r="D248" s="7" t="n">
        <x:f>C248-B248</x:f>
        <x:v>2.6580000000000013</x:v>
      </x:c>
      <x:c r="E248" t="str">
        <x:v>EL100V2</x:v>
      </x:c>
      <x:c r="F248" t="str">
        <x:v>已匹配</x:v>
      </x:c>
      <x:c r="G248" t="str">
        <x:v>EL100V22532031082356</x:v>
      </x:c>
      <x:c r="H248" t="str">
        <x:v>LOG-SRL26071003</x:v>
      </x:c>
      <x:c r="I248" t="str">
        <x:v>2524</x:v>
      </x:c>
    </x:row>
    <x:row r="249" ht="18">
      <x:c r="A249" s="3" t="s">
        <x:v>251</x:v>
      </x:c>
      <x:c r="B249" s="4">
        <x:v>26.2</x:v>
      </x:c>
      <x:c r="C249" s="7">
        <x:v>30.228000000000002</x:v>
      </x:c>
      <x:c r="D249" s="7" t="n">
        <x:f>C249-B249</x:f>
        <x:v>4.028000000000002</x:v>
      </x:c>
      <x:c r="E249" t="str">
        <x:v>EL100V2</x:v>
      </x:c>
      <x:c r="F249" t="str">
        <x:v>已匹配</x:v>
      </x:c>
      <x:c r="G249" t="str">
        <x:v>EL100V22532031253432</x:v>
      </x:c>
      <x:c r="H249" t="str">
        <x:v>LOG-SRL26070999</x:v>
      </x:c>
      <x:c r="I249" t="str">
        <x:v>2536</x:v>
      </x:c>
    </x:row>
    <x:row r="250" ht="18">
      <x:c r="A250" s="3" t="s">
        <x:v>252</x:v>
      </x:c>
      <x:c r="B250" s="4">
        <x:v>26.2</x:v>
      </x:c>
      <x:c r="C250" s="7">
        <x:v>30.228000000000002</x:v>
      </x:c>
      <x:c r="D250" s="7" t="n">
        <x:f>C250-B250</x:f>
        <x:v>4.028000000000002</x:v>
      </x:c>
      <x:c r="E250" t="str">
        <x:v>EL100V2</x:v>
      </x:c>
      <x:c r="F250" t="str">
        <x:v>已匹配</x:v>
      </x:c>
      <x:c r="G250" t="str">
        <x:v>EL100V22542001313262</x:v>
      </x:c>
      <x:c r="H250" t="str">
        <x:v>LOG-SRL26070971</x:v>
      </x:c>
      <x:c r="I250" t="str">
        <x:v>2525</x:v>
      </x:c>
    </x:row>
    <x:row r="251" ht="18">
      <x:c r="A251" s="3" t="s">
        <x:v>253</x:v>
      </x:c>
      <x:c r="B251" s="4">
        <x:v>30.14</x:v>
      </x:c>
      <x:c r="C251" s="7">
        <x:v>33.604999999999997</x:v>
      </x:c>
      <x:c r="D251" s="7" t="n">
        <x:f>C251-B251</x:f>
        <x:v>3.4649999999999963</x:v>
      </x:c>
      <x:c r="E251" t="str">
        <x:v>AC180</x:v>
      </x:c>
      <x:c r="F251" t="str">
        <x:v>已匹配</x:v>
      </x:c>
      <x:c r="G251" t="str">
        <x:v>AC1802534002776785</x:v>
      </x:c>
      <x:c r="H251" t="str">
        <x:v>LOG-SRD26070969</x:v>
      </x:c>
      <x:c r="I251" t="str">
        <x:v>2527</x:v>
      </x:c>
    </x:row>
    <x:row r="252" ht="18">
      <x:c r="A252" s="3" t="s">
        <x:v>254</x:v>
      </x:c>
      <x:c r="B252" s="4">
        <x:v>34.799999999999997</x:v>
      </x:c>
      <x:c r="C252" s="7">
        <x:v>41.844000000000001</x:v>
      </x:c>
      <x:c r="D252" s="7" t="n">
        <x:f>C252-B252</x:f>
        <x:v>7.044000000000004</x:v>
      </x:c>
      <x:c r="E252" t="str">
        <x:v>AC180</x:v>
      </x:c>
      <x:c r="F252" t="str">
        <x:v>已匹配</x:v>
      </x:c>
      <x:c r="G252" t="str">
        <x:v>AC1802436006185857</x:v>
      </x:c>
      <x:c r="H252" t="str">
        <x:v>LOG-SRL26070963</x:v>
      </x:c>
      <x:c r="I252" t="str">
        <x:v>2710</x:v>
      </x:c>
    </x:row>
    <x:row r="253" ht="18">
      <x:c r="A253" s="3" t="s">
        <x:v>255</x:v>
      </x:c>
      <x:c r="B253" s="4">
        <x:v>21.67</x:v>
      </x:c>
      <x:c r="C253" s="7">
        <x:v>51.216000000000001</x:v>
      </x:c>
      <x:c r="D253" s="7" t="n">
        <x:f>C253-B253</x:f>
        <x:v>29.546</x:v>
      </x:c>
      <x:c r="E253" t="str">
        <x:v>EL100V2</x:v>
      </x:c>
      <x:c r="F253" t="str">
        <x:v>已匹配</x:v>
      </x:c>
      <x:c r="G253" t="str">
        <x:v>EL100V22542002821789</x:v>
      </x:c>
      <x:c r="H253" t="str">
        <x:v>LOG-SRL26070954</x:v>
      </x:c>
      <x:c r="I253" t="str">
        <x:v>2587</x:v>
      </x:c>
    </x:row>
    <x:row r="254" ht="18">
      <x:c r="A254" s="3" t="s">
        <x:v>256</x:v>
      </x:c>
      <x:c r="B254" s="4">
        <x:v>20.38</x:v>
      </x:c>
      <x:c r="C254" s="7">
        <x:v>39.588999999999999</x:v>
      </x:c>
      <x:c r="D254" s="7" t="n">
        <x:f>C254-B254</x:f>
        <x:v>19.209</x:v>
      </x:c>
      <x:c r="E254" t="str">
        <x:v>EL100V2</x:v>
      </x:c>
      <x:c r="F254" t="str">
        <x:v>已匹配</x:v>
      </x:c>
      <x:c r="G254" t="str">
        <x:v>EL100V22526090615723</x:v>
      </x:c>
      <x:c r="H254" t="str">
        <x:v>LOG-CRP26070960</x:v>
      </x:c>
      <x:c r="I254" t="str">
        <x:v>2574</x:v>
      </x:c>
    </x:row>
    <x:row r="255" ht="18">
      <x:c r="A255" s="3" t="s">
        <x:v>257</x:v>
      </x:c>
      <x:c r="B255" s="4">
        <x:v>33.659999999999997</x:v>
      </x:c>
      <x:c r="C255" s="7">
        <x:v>74.613</x:v>
      </x:c>
      <x:c r="D255" s="7" t="n">
        <x:f>C255-B255</x:f>
        <x:v>40.953</x:v>
      </x:c>
      <x:c r="E255" t="str">
        <x:v>EL300</x:v>
      </x:c>
      <x:c r="F255" t="str">
        <x:v>已匹配</x:v>
      </x:c>
      <x:c r="G255" t="str">
        <x:v>EL3002613132691982</x:v>
      </x:c>
      <x:c r="H255" t="str">
        <x:v>LOG-SRL26070958</x:v>
      </x:c>
      <x:c r="I255" t="str">
        <x:v>2556</x:v>
      </x:c>
    </x:row>
    <x:row r="256" ht="18">
      <x:c r="A256" s="3" t="s">
        <x:v>258</x:v>
      </x:c>
      <x:c r="B256" s="4">
        <x:v>18.64</x:v>
      </x:c>
      <x:c r="C256" s="7">
        <x:v>31.437999999999999</x:v>
      </x:c>
      <x:c r="D256" s="7" t="n">
        <x:f>C256-B256</x:f>
        <x:v>12.797999999999998</x:v>
      </x:c>
      <x:c r="E256" t="str">
        <x:v>AC180</x:v>
      </x:c>
      <x:c r="F256" t="str">
        <x:v>已匹配</x:v>
      </x:c>
      <x:c r="G256" t="str">
        <x:v>AC1802441001023528</x:v>
      </x:c>
      <x:c r="H256" t="str">
        <x:v>LOG-SRL26073411</x:v>
      </x:c>
      <x:c r="I256" t="str">
        <x:v>2551</x:v>
      </x:c>
    </x:row>
    <x:row r="257" ht="18">
      <x:c r="A257" s="3" t="s">
        <x:v>259</x:v>
      </x:c>
      <x:c r="B257" s="4">
        <x:v>36.630000000000003</x:v>
      </x:c>
      <x:c r="C257" s="7">
        <x:v>71.543999999999997</x:v>
      </x:c>
      <x:c r="D257" s="7" t="n">
        <x:f>C257-B257</x:f>
        <x:v>34.913999999999994</x:v>
      </x:c>
      <x:c r="E257" t="str">
        <x:v>FP2</x:v>
      </x:c>
      <x:c r="F257" t="str">
        <x:v>已匹配</x:v>
      </x:c>
      <x:c r="G257" t="str">
        <x:v>FP2543112120624</x:v>
      </x:c>
      <x:c r="H257" t="str">
        <x:v>LOG-SRD26071378</x:v>
      </x:c>
      <x:c r="I257" t="str">
        <x:v>2553</x:v>
      </x:c>
    </x:row>
    <x:row r="258" ht="18">
      <x:c r="A258" s="3" t="s">
        <x:v>260</x:v>
      </x:c>
      <x:c r="B258" s="4">
        <x:v>88.7</x:v>
      </x:c>
      <x:c r="C258" s="7">
        <x:v>204.71</x:v>
      </x:c>
      <x:c r="D258" s="7" t="n">
        <x:f>C258-B258</x:f>
        <x:v>116.01</x:v>
      </x:c>
      <x:c r="E258" t="str">
        <x:v>Elite 200 V2</x:v>
      </x:c>
      <x:c r="F258" t="str">
        <x:v>匹配多条收货记录</x:v>
      </x:c>
      <x:c r="G258" t="str">
        <x:v>Elite 200 V22541002249456</x:v>
      </x:c>
      <x:c r="H258" t="str">
        <x:v>LOG-SRD26070884</x:v>
      </x:c>
      <x:c r="I258" t="str">
        <x:v>2596 / 2600</x:v>
      </x:c>
    </x:row>
    <x:row r="259" ht="18">
      <x:c r="A259" s="3" t="s">
        <x:v>261</x:v>
      </x:c>
      <x:c r="B259" s="4">
        <x:v>95.69</x:v>
      </x:c>
      <x:c r="C259" s="7">
        <x:v>237.83099999999999</x:v>
      </x:c>
      <x:c r="D259" s="7" t="n">
        <x:f>C259-B259</x:f>
        <x:v>142.141</x:v>
      </x:c>
      <x:c r="E259" t="str">
        <x:v>EL300</x:v>
      </x:c>
      <x:c r="F259" t="str">
        <x:v>已匹配</x:v>
      </x:c>
      <x:c r="G259" t="str">
        <x:v>EL3002613132055849</x:v>
      </x:c>
      <x:c r="H259" t="str">
        <x:v>LOG-SRD26070956</x:v>
      </x:c>
      <x:c r="I259" t="str">
        <x:v>2623</x:v>
      </x:c>
    </x:row>
    <x:row r="260" ht="18">
      <x:c r="A260" s="3" t="s">
        <x:v>262</x:v>
      </x:c>
      <x:c r="B260" s="4">
        <x:v>84.13</x:v>
      </x:c>
      <x:c r="C260" s="7">
        <x:v>88.66</x:v>
      </x:c>
      <x:c r="D260" s="7" t="n">
        <x:f>C260-B260</x:f>
        <x:v>4.530000000000001</x:v>
      </x:c>
      <x:c r="E260" t="str">
        <x:v>EL200</x:v>
      </x:c>
      <x:c r="F260" t="str">
        <x:v>已匹配</x:v>
      </x:c>
      <x:c r="G260" t="str">
        <x:v>Elite 200 V22522001840521</x:v>
      </x:c>
      <x:c r="H260" t="str">
        <x:v>LOG-SRL26070825</x:v>
      </x:c>
      <x:c r="I260" t="str">
        <x:v>2664</x:v>
      </x:c>
    </x:row>
    <x:row r="261" ht="18">
      <x:c r="A261" s="3" t="s">
        <x:v>263</x:v>
      </x:c>
      <x:c r="B261" s="4">
        <x:v>27.26</x:v>
      </x:c>
      <x:c r="C261" s="7">
        <x:v>30.228000000000002</x:v>
      </x:c>
      <x:c r="D261" s="7" t="n">
        <x:f>C261-B261</x:f>
        <x:v>2.968</x:v>
      </x:c>
      <x:c r="E261" t="str">
        <x:v>EL100V2</x:v>
      </x:c>
      <x:c r="F261" t="str">
        <x:v>已匹配</x:v>
      </x:c>
      <x:c r="G261" t="str">
        <x:v>EL100V22540003355860</x:v>
      </x:c>
      <x:c r="H261" t="str">
        <x:v>LOG-SRL26070789</x:v>
      </x:c>
      <x:c r="I261" t="str">
        <x:v>2573</x:v>
      </x:c>
    </x:row>
    <x:row r="262" ht="18">
      <x:c r="A262" s="3" t="s">
        <x:v>264</x:v>
      </x:c>
      <x:c r="B262" s="4">
        <x:v>24.39</x:v>
      </x:c>
      <x:c r="C262" s="7">
        <x:v>46.683999999999997</x:v>
      </x:c>
      <x:c r="D262" s="7" t="n">
        <x:f>C262-B262</x:f>
        <x:v>22.293999999999997</x:v>
      </x:c>
      <x:c r="E262" t="str">
        <x:v>AC70</x:v>
      </x:c>
      <x:c r="F262" t="str">
        <x:v>已匹配</x:v>
      </x:c>
      <x:c r="G262" t="str">
        <x:v>AC702549233529809</x:v>
      </x:c>
      <x:c r="H262" t="str">
        <x:v>LOG-SRD26070770</x:v>
      </x:c>
      <x:c r="I262" t="str">
        <x:v>2482</x:v>
      </x:c>
    </x:row>
    <x:row r="263" ht="18">
      <x:c r="A263" s="3" t="s">
        <x:v>265</x:v>
      </x:c>
      <x:c r="B263" s="4">
        <x:v>65.55</x:v>
      </x:c>
      <x:c r="C263" s="7">
        <x:v>70.488</x:v>
      </x:c>
      <x:c r="D263" s="7" t="n">
        <x:f>C263-B263</x:f>
        <x:v>4.938000000000002</x:v>
      </x:c>
      <x:c r="E263" t="str">
        <x:v>EL300</x:v>
      </x:c>
      <x:c r="F263" t="str">
        <x:v>已匹配</x:v>
      </x:c>
      <x:c r="G263" t="str">
        <x:v>EL3002609134369156</x:v>
      </x:c>
      <x:c r="H263" t="str">
        <x:v>LOG-SRL26070756</x:v>
      </x:c>
      <x:c r="I263" t="str">
        <x:v>2470</x:v>
      </x:c>
    </x:row>
    <x:row r="264" ht="18">
      <x:c r="A264" s="3" t="s">
        <x:v>266</x:v>
      </x:c>
      <x:c r="B264" s="4">
        <x:v>27.26</x:v>
      </x:c>
      <x:c r="C264" s="7">
        <x:v>42.856000000000002</x:v>
      </x:c>
      <x:c r="D264" s="7" t="n">
        <x:f>C264-B264</x:f>
        <x:v>15.596</x:v>
      </x:c>
      <x:c r="E264" t="str">
        <x:v>BC200</x:v>
      </x:c>
      <x:c r="F264" t="str">
        <x:v>已匹配</x:v>
      </x:c>
      <x:c r="G264" t="str">
        <x:v>BC2002548131905223</x:v>
      </x:c>
      <x:c r="H264" t="str">
        <x:v>LOG-SRD26070732</x:v>
      </x:c>
      <x:c r="I264" t="str">
        <x:v>2554</x:v>
      </x:c>
    </x:row>
    <x:row r="265" ht="18">
      <x:c r="A265" s="3" t="s">
        <x:v>267</x:v>
      </x:c>
      <x:c r="B265" s="4">
        <x:v>108.51</x:v>
      </x:c>
      <x:c r="C265" s="7">
        <x:v>270.52300000000002</x:v>
      </x:c>
      <x:c r="D265" s="7" t="n">
        <x:f>C265-B265</x:f>
        <x:v>162.01300000000003</x:v>
      </x:c>
      <x:c r="E265" t="str">
        <x:v>B500K</x:v>
      </x:c>
      <x:c r="F265" t="str">
        <x:v>已匹配</x:v>
      </x:c>
      <x:c r="G265" t="str">
        <x:v>B500K2548131349613</x:v>
      </x:c>
      <x:c r="H265" t="str">
        <x:v>LOG-SRD26070955</x:v>
      </x:c>
      <x:c r="I265" t="str">
        <x:v>2555</x:v>
      </x:c>
    </x:row>
    <x:row r="266" ht="18">
      <x:c r="A266" s="3" t="s">
        <x:v>268</x:v>
      </x:c>
      <x:c r="B266" s="4">
        <x:v>23.72</x:v>
      </x:c>
      <x:c r="C266" s="7">
        <x:v>30.228000000000002</x:v>
      </x:c>
      <x:c r="D266" s="7" t="n">
        <x:f>C266-B266</x:f>
        <x:v>6.508000000000003</x:v>
      </x:c>
      <x:c r="E266" t="str">
        <x:v>EL100V2</x:v>
      </x:c>
      <x:c r="F266" t="str">
        <x:v>已匹配</x:v>
      </x:c>
      <x:c r="G266" t="str">
        <x:v>EL100V22541000391554</x:v>
      </x:c>
      <x:c r="H266" t="str">
        <x:v>LOG-SRL26070882</x:v>
      </x:c>
      <x:c r="I266" t="str">
        <x:v>2550</x:v>
      </x:c>
    </x:row>
    <x:row r="267" ht="18">
      <x:c r="A267" s="3" t="s">
        <x:v>269</x:v>
      </x:c>
      <x:c r="B267" s="4">
        <x:v>32.22</x:v>
      </x:c>
      <x:c r="C267" s="7">
        <x:v>38.070999999999998</x:v>
      </x:c>
      <x:c r="D267" s="7" t="n">
        <x:f>C267-B267</x:f>
        <x:v>5.850999999999999</x:v>
      </x:c>
      <x:c r="E267" t="str">
        <x:v>EL100V2</x:v>
      </x:c>
      <x:c r="F267" t="str">
        <x:v>已匹配</x:v>
      </x:c>
      <x:c r="G267" t="str">
        <x:v>EL100V22525510790109</x:v>
      </x:c>
      <x:c r="H267" t="str">
        <x:v>LOG-SRL26070668</x:v>
      </x:c>
      <x:c r="I267" t="str">
        <x:v>2649</x:v>
      </x:c>
    </x:row>
    <x:row r="268" ht="18">
      <x:c r="A268" s="3" t="s">
        <x:v>270</x:v>
      </x:c>
      <x:c r="B268" s="4">
        <x:v>19.690000000000001</x:v>
      </x:c>
      <x:c r="C268" s="7">
        <x:v>44.209000000000003</x:v>
      </x:c>
      <x:c r="D268" s="7" t="n">
        <x:f>C268-B268</x:f>
        <x:v>24.519000000000002</x:v>
      </x:c>
      <x:c r="E268" t="str">
        <x:v>EL30V2</x:v>
      </x:c>
      <x:c r="F268" t="str">
        <x:v>已匹配</x:v>
      </x:c>
      <x:c r="G268" t="str">
        <x:v>EL30V22539000645863</x:v>
      </x:c>
      <x:c r="H268" t="str">
        <x:v>LOG-SRL26070651</x:v>
      </x:c>
      <x:c r="I268" t="str">
        <x:v>2592</x:v>
      </x:c>
    </x:row>
    <x:row r="269" ht="18">
      <x:c r="A269" s="3" t="s">
        <x:v>271</x:v>
      </x:c>
      <x:c r="B269" s="4">
        <x:v>26.2</x:v>
      </x:c>
      <x:c r="C269" s="7">
        <x:v>130.416</x:v>
      </x:c>
      <x:c r="D269" s="7" t="n">
        <x:f>C269-B269</x:f>
        <x:v>104.216</x:v>
      </x:c>
      <x:c r="E269" t="str">
        <x:v>EL100V2</x:v>
      </x:c>
      <x:c r="F269" t="str">
        <x:v>已匹配</x:v>
      </x:c>
      <x:c r="G269" t="str">
        <x:v>EL100V22540002578241</x:v>
      </x:c>
      <x:c r="H269" t="str">
        <x:v>LOG-SRL26070642</x:v>
      </x:c>
      <x:c r="I269" t="str">
        <x:v>2605</x:v>
      </x:c>
    </x:row>
    <x:row r="270" ht="18">
      <x:c r="A270" s="3" t="s">
        <x:v>272</x:v>
      </x:c>
      <x:c r="B270" s="4">
        <x:v>74.12</x:v>
      </x:c>
      <x:c r="C270" s="7">
        <x:v>89.638999999999996</x:v>
      </x:c>
      <x:c r="D270" s="7" t="n">
        <x:f>C270-B270</x:f>
        <x:v>15.518999999999991</x:v>
      </x:c>
      <x:c r="E270" t="str">
        <x:v>AP300</x:v>
      </x:c>
      <x:c r="F270" t="str">
        <x:v>已匹配</x:v>
      </x:c>
      <x:c r="G270" t="str">
        <x:v>AP3002514008008536</x:v>
      </x:c>
      <x:c r="H270" t="str">
        <x:v>LOG-SRL26070632</x:v>
      </x:c>
      <x:c r="I270" t="str">
        <x:v>2463</x:v>
      </x:c>
    </x:row>
    <x:row r="271" ht="18">
      <x:c r="A271" s="3" t="s">
        <x:v>273</x:v>
      </x:c>
      <x:c r="B271" s="4">
        <x:v>21.73</x:v>
      </x:c>
      <x:c r="C271" s="7">
        <x:v>25.135000000000002</x:v>
      </x:c>
      <x:c r="D271" s="7" t="n">
        <x:f>C271-B271</x:f>
        <x:v>3.405000000000001</x:v>
      </x:c>
      <x:c r="E271" t="str">
        <x:v>EL100V2</x:v>
      </x:c>
      <x:c r="F271" t="str">
        <x:v>已匹配</x:v>
      </x:c>
      <x:c r="G271" t="str">
        <x:v>EL100V22527005746151</x:v>
      </x:c>
      <x:c r="H271" t="str">
        <x:v>LOG-SRL26070820</x:v>
      </x:c>
      <x:c r="I271" t="str">
        <x:v>2466</x:v>
      </x:c>
    </x:row>
    <x:row r="272" ht="18">
      <x:c r="A272" s="3" t="s">
        <x:v>274</x:v>
      </x:c>
      <x:c r="B272" s="4">
        <x:v>36.44</x:v>
      </x:c>
      <x:c r="C272" s="7">
        <x:v>39.039000000000001</x:v>
      </x:c>
      <x:c r="D272" s="7" t="n">
        <x:f>C272-B272</x:f>
        <x:v>2.5990000000000038</x:v>
      </x:c>
      <x:c r="E272" t="str">
        <x:v>AC180</x:v>
      </x:c>
      <x:c r="F272" t="str">
        <x:v>已匹配</x:v>
      </x:c>
      <x:c r="G272" t="str">
        <x:v>AC1802419000816877</x:v>
      </x:c>
      <x:c r="H272" t="str">
        <x:v>LOG-SRL26070623</x:v>
      </x:c>
      <x:c r="I272" t="str">
        <x:v>2469</x:v>
      </x:c>
    </x:row>
    <x:row r="273" ht="18">
      <x:c r="A273" s="3" t="s">
        <x:v>275</x:v>
      </x:c>
      <x:c r="B273" s="4">
        <x:v>65.37</x:v>
      </x:c>
      <x:c r="C273" s="7">
        <x:v>72.028000000000006</x:v>
      </x:c>
      <x:c r="D273" s="7" t="n">
        <x:f>C273-B273</x:f>
        <x:v>6.658000000000001</x:v>
      </x:c>
      <x:c r="E273" t="str">
        <x:v>AC200L</x:v>
      </x:c>
      <x:c r="F273" t="str">
        <x:v>已匹配</x:v>
      </x:c>
      <x:c r="G273" t="str">
        <x:v>AC200L2449000953954</x:v>
      </x:c>
      <x:c r="H273" t="str">
        <x:v>LOG-SRL26070622</x:v>
      </x:c>
      <x:c r="I273" t="str">
        <x:v>2483</x:v>
      </x:c>
    </x:row>
    <x:row r="274" ht="18">
      <x:c r="A274" s="3" t="s">
        <x:v>276</x:v>
      </x:c>
      <x:c r="B274" s="4">
        <x:v>21.67</x:v>
      </x:c>
      <x:c r="C274" s="7">
        <x:v>24.09</x:v>
      </x:c>
      <x:c r="D274" s="7" t="n">
        <x:f>C274-B274</x:f>
        <x:v>2.419999999999998</x:v>
      </x:c>
      <x:c r="E274" t="str">
        <x:v>EL100V2</x:v>
      </x:c>
      <x:c r="F274" t="str">
        <x:v>已匹配</x:v>
      </x:c>
      <x:c r="G274" t="str">
        <x:v>EL100V22532010208560</x:v>
      </x:c>
      <x:c r="H274" t="str">
        <x:v>LOG-SRL26070616</x:v>
      </x:c>
      <x:c r="I274" t="str">
        <x:v>2461</x:v>
      </x:c>
    </x:row>
    <x:row r="275" ht="18">
      <x:c r="A275" s="3" t="s">
        <x:v>277</x:v>
      </x:c>
      <x:c r="B275" s="4">
        <x:v>110.77</x:v>
      </x:c>
      <x:c r="C275" s="7">
        <x:v>122.595</x:v>
      </x:c>
      <x:c r="D275" s="7" t="n">
        <x:f>C275-B275</x:f>
        <x:v>11.825000000000003</x:v>
      </x:c>
      <x:c r="E275" t="str">
        <x:v>AC500</x:v>
      </x:c>
      <x:c r="F275" t="str">
        <x:v>已匹配</x:v>
      </x:c>
      <x:c r="G275" t="str">
        <x:v>AC5002452000245165</x:v>
      </x:c>
      <x:c r="H275" t="str">
        <x:v>LOG-SRL26070934</x:v>
      </x:c>
      <x:c r="I275" t="str">
        <x:v>2558</x:v>
      </x:c>
    </x:row>
    <x:row r="276" ht="18">
      <x:c r="A276" s="3" t="s">
        <x:v>278</x:v>
      </x:c>
      <x:c r="B276" s="4">
        <x:v>29.94</x:v>
      </x:c>
      <x:c r="C276" s="7">
        <x:v>38.070999999999998</x:v>
      </x:c>
      <x:c r="D276" s="7" t="n">
        <x:f>C276-B276</x:f>
        <x:v>8.130999999999997</x:v>
      </x:c>
      <x:c r="E276" t="str">
        <x:v>EL100V2</x:v>
      </x:c>
      <x:c r="F276" t="str">
        <x:v>已匹配</x:v>
      </x:c>
      <x:c r="G276" t="str">
        <x:v>EL100V22532030948697</x:v>
      </x:c>
      <x:c r="H276" t="str">
        <x:v>LOG-SRD26070566</x:v>
      </x:c>
      <x:c r="I276" t="str">
        <x:v>2538</x:v>
      </x:c>
    </x:row>
    <x:row r="277" ht="18">
      <x:c r="A277" s="3" t="s">
        <x:v>279</x:v>
      </x:c>
      <x:c r="B277" s="4">
        <x:v>19.43</x:v>
      </x:c>
      <x:c r="C277" s="7">
        <x:v>23.606000000000002</x:v>
      </x:c>
      <x:c r="D277" s="7" t="n">
        <x:f>C277-B277</x:f>
        <x:v>4.176000000000002</x:v>
      </x:c>
      <x:c r="E277" t="str">
        <x:v>AC50B</x:v>
      </x:c>
      <x:c r="F277" t="str">
        <x:v>已匹配</x:v>
      </x:c>
      <x:c r="G277" t="str">
        <x:v>AC50B2547231919958</x:v>
      </x:c>
      <x:c r="H277" t="str">
        <x:v>LOG-SRD26070878</x:v>
      </x:c>
      <x:c r="I277" t="str">
        <x:v>2517</x:v>
      </x:c>
    </x:row>
    <x:row r="278" ht="18">
      <x:c r="A278" s="3" t="s">
        <x:v>280</x:v>
      </x:c>
      <x:c r="B278" s="4">
        <x:v>33.29</x:v>
      </x:c>
      <x:c r="C278" s="7">
        <x:v>46.343000000000004</x:v>
      </x:c>
      <x:c r="D278" s="7" t="n">
        <x:f>C278-B278</x:f>
        <x:v>13.053000000000004</x:v>
      </x:c>
      <x:c r="E278" t="str">
        <x:v>AC70</x:v>
      </x:c>
      <x:c r="F278" t="str">
        <x:v>匹配多条收货记录</x:v>
      </x:c>
      <x:c r="G278" t="str">
        <x:v>AC702540002003470 / AC702540003256433</x:v>
      </x:c>
      <x:c r="H278" t="str">
        <x:v>LOG-SRD26070649 / 无源头退货已入库</x:v>
      </x:c>
      <x:c r="I278" t="str">
        <x:v>2640 / 2641</x:v>
      </x:c>
    </x:row>
    <x:row r="279" ht="18">
      <x:c r="A279" s="3" t="s">
        <x:v>281</x:v>
      </x:c>
      <x:c r="B279" s="4">
        <x:v>23.66</x:v>
      </x:c>
      <x:c r="C279" s="7">
        <x:v>29.073</x:v>
      </x:c>
      <x:c r="D279" s="7" t="n">
        <x:f>C279-B279</x:f>
        <x:v>5.413</x:v>
      </x:c>
      <x:c r="E279" t="str">
        <x:v>AC70</x:v>
      </x:c>
      <x:c r="F279" t="str">
        <x:v>已匹配</x:v>
      </x:c>
      <x:c r="G279" t="str">
        <x:v>AC702540000453560</x:v>
      </x:c>
      <x:c r="H279" t="str">
        <x:v>LOG-SRD26070567</x:v>
      </x:c>
      <x:c r="I279" t="str">
        <x:v>2540</x:v>
      </x:c>
    </x:row>
    <x:row r="280" ht="18">
      <x:c r="A280" s="3" t="s">
        <x:v>282</x:v>
      </x:c>
      <x:c r="B280" s="4">
        <x:v>26.25</x:v>
      </x:c>
      <x:c r="C280" s="7">
        <x:v>68.177999999999997</x:v>
      </x:c>
      <x:c r="D280" s="7" t="n">
        <x:f>C280-B280</x:f>
        <x:v>41.928</x:v>
      </x:c>
      <x:c r="E280" t="str">
        <x:v>EL100V2</x:v>
      </x:c>
      <x:c r="F280" t="str">
        <x:v>已匹配</x:v>
      </x:c>
      <x:c r="G280" t="str">
        <x:v>EL100V22542002250703</x:v>
      </x:c>
      <x:c r="H280" t="str">
        <x:v>LOG-SRL26070470</x:v>
      </x:c>
      <x:c r="I280" t="str">
        <x:v>2593</x:v>
      </x:c>
    </x:row>
    <x:row r="281" ht="18">
      <x:c r="A281" s="3" t="s">
        <x:v>283</x:v>
      </x:c>
      <x:c r="B281" s="4">
        <x:v>21.72</x:v>
      </x:c>
      <x:c r="C281" s="7">
        <x:v>24.31</x:v>
      </x:c>
      <x:c r="D281" s="7" t="n">
        <x:f>C281-B281</x:f>
        <x:v>2.59</x:v>
      </x:c>
      <x:c r="E281" t="str">
        <x:v>EL100V2</x:v>
      </x:c>
      <x:c r="F281" t="str">
        <x:v>已匹配</x:v>
      </x:c>
      <x:c r="G281" t="str">
        <x:v>EL100V22541001452990</x:v>
      </x:c>
      <x:c r="H281" t="str">
        <x:v>LOG-SRL26070445</x:v>
      </x:c>
      <x:c r="I281" t="str">
        <x:v>2613</x:v>
      </x:c>
    </x:row>
    <x:row r="282" ht="18">
      <x:c r="A282" s="3" t="s">
        <x:v>284</x:v>
      </x:c>
      <x:c r="B282" s="4">
        <x:v>24.44</x:v>
      </x:c>
      <x:c r="C282" s="7">
        <x:v>29.073</x:v>
      </x:c>
      <x:c r="D282" s="7" t="n">
        <x:f>C282-B282</x:f>
        <x:v>4.632999999999999</x:v>
      </x:c>
      <x:c r="E282" t="str">
        <x:v>EL100V2</x:v>
      </x:c>
      <x:c r="F282" t="str">
        <x:v>已匹配</x:v>
      </x:c>
      <x:c r="G282" t="str">
        <x:v>EL100V22542003624397</x:v>
      </x:c>
      <x:c r="H282" t="str">
        <x:v>无源头退货已入库</x:v>
      </x:c>
      <x:c r="I282" t="str">
        <x:v>2468</x:v>
      </x:c>
    </x:row>
    <x:row r="283" ht="18">
      <x:c r="A283" s="3" t="s">
        <x:v>285</x:v>
      </x:c>
      <x:c r="B283" s="4">
        <x:v>29.12</x:v>
      </x:c>
      <x:c r="C283" s="7">
        <x:v>76.724999999999994</x:v>
      </x:c>
      <x:c r="D283" s="7" t="n">
        <x:f>C283-B283</x:f>
        <x:v>47.60499999999999</x:v>
      </x:c>
      <x:c r="E283" t="str">
        <x:v>EL100V2</x:v>
      </x:c>
      <x:c r="F283" t="str">
        <x:v>已匹配</x:v>
      </x:c>
      <x:c r="G283" t="str">
        <x:v>EL100V22532070085748</x:v>
      </x:c>
      <x:c r="H283" t="str">
        <x:v>LOG-SRL26070871</x:v>
      </x:c>
      <x:c r="I283" t="str">
        <x:v>2588</x:v>
      </x:c>
    </x:row>
    <x:row r="284" ht="18">
      <x:c r="A284" s="3" t="s">
        <x:v>286</x:v>
      </x:c>
      <x:c r="B284" s="4">
        <x:v>85.67</x:v>
      </x:c>
      <x:c r="C284" s="7">
        <x:v>88.715000000000003</x:v>
      </x:c>
      <x:c r="D284" s="7" t="n">
        <x:f>C284-B284</x:f>
        <x:v>3.0450000000000017</x:v>
      </x:c>
      <x:c r="E284" t="str">
        <x:v>EL300</x:v>
      </x:c>
      <x:c r="F284" t="str">
        <x:v>已匹配</x:v>
      </x:c>
      <x:c r="G284" t="str">
        <x:v>EL3002613131868311</x:v>
      </x:c>
      <x:c r="H284" t="str">
        <x:v>LOG-CRP26070394</x:v>
      </x:c>
      <x:c r="I284" t="str">
        <x:v>2487</x:v>
      </x:c>
    </x:row>
    <x:row r="285" ht="18">
      <x:c r="A285" s="3" t="s">
        <x:v>287</x:v>
      </x:c>
      <x:c r="B285" s="4">
        <x:v>87.96</x:v>
      </x:c>
      <x:c r="C285" s="7">
        <x:v>138.97399999999999</x:v>
      </x:c>
      <x:c r="D285" s="7" t="n">
        <x:f>C285-B285</x:f>
        <x:v>51.013999999999996</x:v>
      </x:c>
      <x:c r="E285" t="str">
        <x:v>EL400</x:v>
      </x:c>
      <x:c r="F285" t="str">
        <x:v>已匹配</x:v>
      </x:c>
      <x:c r="G285" t="str">
        <x:v>EL4002538211414193</x:v>
      </x:c>
      <x:c r="H285" t="str">
        <x:v>LOG-SRL26070337</x:v>
      </x:c>
      <x:c r="I285" t="str">
        <x:v>2427</x:v>
      </x:c>
    </x:row>
    <x:row r="286" ht="18">
      <x:c r="A286" s="3" t="s">
        <x:v>288</x:v>
      </x:c>
      <x:c r="B286" s="4">
        <x:v>36.51</x:v>
      </x:c>
      <x:c r="C286" s="7">
        <x:v>39.039000000000001</x:v>
      </x:c>
      <x:c r="D286" s="7" t="n">
        <x:f>C286-B286</x:f>
        <x:v>2.5290000000000035</x:v>
      </x:c>
      <x:c r="E286" t="str">
        <x:v>AC180</x:v>
      </x:c>
      <x:c r="F286" t="str">
        <x:v>已匹配</x:v>
      </x:c>
      <x:c r="G286" t="str">
        <x:v>AC1802451004304094</x:v>
      </x:c>
      <x:c r="H286" t="str">
        <x:v>LOG-SRL26070332</x:v>
      </x:c>
      <x:c r="I286" t="str">
        <x:v>2503</x:v>
      </x:c>
    </x:row>
    <x:row r="287" ht="18">
      <x:c r="A287" s="3" t="s">
        <x:v>289</x:v>
      </x:c>
      <x:c r="B287" s="4">
        <x:v>21.11</x:v>
      </x:c>
      <x:c r="C287" s="7">
        <x:v>23.562000000000001</x:v>
      </x:c>
      <x:c r="D287" s="7" t="n">
        <x:f>C287-B287</x:f>
        <x:v>2.4520000000000017</x:v>
      </x:c>
      <x:c r="E287" t="str">
        <x:v>AC2A</x:v>
      </x:c>
      <x:c r="F287" t="str">
        <x:v>已匹配</x:v>
      </x:c>
      <x:c r="G287" t="str">
        <x:v>AC2A2348000291983</x:v>
      </x:c>
      <x:c r="H287" t="str">
        <x:v>LOG-CRP26074175</x:v>
      </x:c>
      <x:c r="I287" t="str">
        <x:v>2731</x:v>
      </x:c>
    </x:row>
    <x:row r="288" ht="18">
      <x:c r="A288" s="3" t="s">
        <x:v>290</x:v>
      </x:c>
      <x:c r="B288" s="4">
        <x:v>16.170000000000002</x:v>
      </x:c>
      <x:c r="C288" s="7">
        <x:v>24.353999999999999</x:v>
      </x:c>
      <x:c r="D288" s="7" t="n">
        <x:f>C288-B288</x:f>
        <x:v>8.183999999999997</x:v>
      </x:c>
      <x:c r="E288" t="str">
        <x:v>背包</x:v>
      </x:c>
      <x:c r="F288" t="str">
        <x:v>已匹配</x:v>
      </x:c>
      <x:c r="G288" t="str">
        <x:v>No SN</x:v>
      </x:c>
      <x:c r="H288" t="str">
        <x:v>LOG-SRD26070271</x:v>
      </x:c>
      <x:c r="I288" t="str">
        <x:v>2685</x:v>
      </x:c>
    </x:row>
    <x:row r="289" ht="18">
      <x:c r="A289" s="3" t="s">
        <x:v>291</x:v>
      </x:c>
      <x:c r="B289" s="4">
        <x:v>21.72</x:v>
      </x:c>
      <x:c r="C289" s="7">
        <x:v>25.388000000000002</x:v>
      </x:c>
      <x:c r="D289" s="7" t="n">
        <x:f>C289-B289</x:f>
        <x:v>3.668000000000003</x:v>
      </x:c>
      <x:c r="E289" t="str">
        <x:v>EL100V2</x:v>
      </x:c>
      <x:c r="F289" t="str">
        <x:v>已匹配</x:v>
      </x:c>
      <x:c r="G289" t="str">
        <x:v>EL100V22542130445084</x:v>
      </x:c>
      <x:c r="H289" t="str">
        <x:v>LOG-SRL26071212</x:v>
      </x:c>
      <x:c r="I289" t="str">
        <x:v>2844</x:v>
      </x:c>
    </x:row>
    <x:row r="290" ht="18">
      <x:c r="A290" s="3" t="s">
        <x:v>292</x:v>
      </x:c>
      <x:c r="B290" s="4">
        <x:v>30.19</x:v>
      </x:c>
      <x:c r="C290" s="7">
        <x:v>33.670999999999999</x:v>
      </x:c>
      <x:c r="D290" s="7" t="n">
        <x:f>C290-B290</x:f>
        <x:v>3.480999999999998</x:v>
      </x:c>
      <x:c r="E290" t="str">
        <x:v>AC180</x:v>
      </x:c>
      <x:c r="F290" t="str">
        <x:v>已匹配</x:v>
      </x:c>
      <x:c r="G290" t="str">
        <x:v>AC1802520100618684</x:v>
      </x:c>
      <x:c r="H290" t="str">
        <x:v>LOG-SRL26070232</x:v>
      </x:c>
      <x:c r="I290" t="str">
        <x:v>2411</x:v>
      </x:c>
    </x:row>
    <x:row r="291" ht="18">
      <x:c r="A291" s="3" t="s">
        <x:v>293</x:v>
      </x:c>
      <x:c r="B291" s="4">
        <x:v>16.170000000000002</x:v>
      </x:c>
      <x:c r="C291" s="7">
        <x:v>28.204000000000001</x:v>
      </x:c>
      <x:c r="D291" s="7" t="n">
        <x:f>C291-B291</x:f>
        <x:v>12.033999999999999</x:v>
      </x:c>
      <x:c r="E291" t="str">
        <x:v>CHANGER2</x:v>
      </x:c>
      <x:c r="F291" t="str">
        <x:v>已匹配</x:v>
      </x:c>
      <x:c r="G291" t="str">
        <x:v>CHARGER 22605139779702</x:v>
      </x:c>
      <x:c r="H291" t="str">
        <x:v>LOG-SRD26070229</x:v>
      </x:c>
      <x:c r="I291" t="str">
        <x:v>2582</x:v>
      </x:c>
    </x:row>
    <x:row r="292" ht="18">
      <x:c r="A292" s="3" t="s">
        <x:v>294</x:v>
      </x:c>
      <x:c r="B292" s="4">
        <x:v>74.739999999999995</x:v>
      </x:c>
      <x:c r="C292" s="7">
        <x:v>80.861000000000004</x:v>
      </x:c>
      <x:c r="D292" s="7" t="n">
        <x:f>C292-B292</x:f>
        <x:v>6.121000000000009</x:v>
      </x:c>
      <x:c r="E292" t="str">
        <x:v>B300K</x:v>
      </x:c>
      <x:c r="F292" t="str">
        <x:v>已匹配</x:v>
      </x:c>
      <x:c r="G292" t="str">
        <x:v>B300K2541004272622</x:v>
      </x:c>
      <x:c r="H292" t="str">
        <x:v>LOG-SRD26070227</x:v>
      </x:c>
      <x:c r="I292" t="str">
        <x:v>2534</x:v>
      </x:c>
    </x:row>
    <x:row r="293" ht="18">
      <x:c r="A293" s="3" t="s">
        <x:v>295</x:v>
      </x:c>
      <x:c r="B293" s="4">
        <x:v>88.81</x:v>
      </x:c>
      <x:c r="C293" s="7">
        <x:v>101.816</x:v>
      </x:c>
      <x:c r="D293" s="7" t="n">
        <x:f>C293-B293</x:f>
        <x:v>13.006</x:v>
      </x:c>
      <x:c r="E293" t="str">
        <x:v>AP300</x:v>
      </x:c>
      <x:c r="F293" t="str">
        <x:v>已匹配</x:v>
      </x:c>
      <x:c r="G293" t="str">
        <x:v>AP3002606132505012</x:v>
      </x:c>
      <x:c r="H293"/>
      <x:c r="I293" t="str">
        <x:v>2535</x:v>
      </x:c>
    </x:row>
    <x:row r="294" ht="18">
      <x:c r="A294" s="3" t="s">
        <x:v>296</x:v>
      </x:c>
      <x:c r="B294" s="4">
        <x:v>39.090000000000003</x:v>
      </x:c>
      <x:c r="C294" s="7">
        <x:v>44.517000000000003</x:v>
      </x:c>
      <x:c r="D294" s="7" t="n">
        <x:f>C294-B294</x:f>
        <x:v>5.427</x:v>
      </x:c>
      <x:c r="E294" t="str">
        <x:v>EL100V2</x:v>
      </x:c>
      <x:c r="F294" t="str">
        <x:v>已匹配</x:v>
      </x:c>
      <x:c r="G294" t="str">
        <x:v>EL100V22532070070024</x:v>
      </x:c>
      <x:c r="H294" t="str">
        <x:v>LOG-SRL26070408</x:v>
      </x:c>
      <x:c r="I294" t="str">
        <x:v>2445</x:v>
      </x:c>
    </x:row>
    <x:row r="295" ht="18">
      <x:c r="A295" s="3" t="s">
        <x:v>297</x:v>
      </x:c>
      <x:c r="B295" s="4">
        <x:v>21.77</x:v>
      </x:c>
      <x:c r="C295" s="7">
        <x:v>23.782</x:v>
      </x:c>
      <x:c r="D295" s="7" t="n">
        <x:f>C295-B295</x:f>
        <x:v>2.0120000000000005</x:v>
      </x:c>
      <x:c r="E295" t="str">
        <x:v>AC180P</x:v>
      </x:c>
      <x:c r="F295" t="str">
        <x:v>已匹配</x:v>
      </x:c>
      <x:c r="G295" t="str">
        <x:v>AC180P2547138070371</x:v>
      </x:c>
      <x:c r="H295" t="str">
        <x:v>LOG-SRL26070217</x:v>
      </x:c>
      <x:c r="I295" t="str">
        <x:v>2410</x:v>
      </x:c>
    </x:row>
    <x:row r="296" ht="18">
      <x:c r="A296" s="3" t="s">
        <x:v>298</x:v>
      </x:c>
      <x:c r="B296" s="4">
        <x:v>30.19</x:v>
      </x:c>
      <x:c r="C296" s="7">
        <x:v>39.116</x:v>
      </x:c>
      <x:c r="D296" s="7" t="n">
        <x:f>C296-B296</x:f>
        <x:v>8.925999999999998</x:v>
      </x:c>
      <x:c r="E296" t="str">
        <x:v>AC180</x:v>
      </x:c>
      <x:c r="F296" t="str">
        <x:v>已匹配</x:v>
      </x:c>
      <x:c r="G296" t="str">
        <x:v>AC1802439001099683</x:v>
      </x:c>
      <x:c r="H296" t="str">
        <x:v>LOG-CRP26070869</x:v>
      </x:c>
      <x:c r="I296" t="str">
        <x:v>2395</x:v>
      </x:c>
    </x:row>
    <x:row r="297" ht="18">
      <x:c r="A297" s="3" t="s">
        <x:v>299</x:v>
      </x:c>
      <x:c r="B297" s="4">
        <x:v>46.82</x:v>
      </x:c>
      <x:c r="C297" s="7">
        <x:v>49.929000000000002</x:v>
      </x:c>
      <x:c r="D297" s="7" t="n">
        <x:f>C297-B297</x:f>
        <x:v>3.1090000000000018</x:v>
      </x:c>
      <x:c r="E297" t="str">
        <x:v>PV350</x:v>
      </x:c>
      <x:c r="F297" t="str">
        <x:v>已匹配</x:v>
      </x:c>
      <x:c r="G297" t="str">
        <x:v>DMM40-252PV35000242</x:v>
      </x:c>
      <x:c r="H297"/>
      <x:c r="I297" t="str">
        <x:v>2456</x:v>
      </x:c>
    </x:row>
    <x:row r="298" ht="18">
      <x:c r="A298" s="3" t="s">
        <x:v>300</x:v>
      </x:c>
      <x:c r="B298" s="4">
        <x:v>56.37</x:v>
      </x:c>
      <x:c r="C298" s="7">
        <x:v>58.652000000000001</x:v>
      </x:c>
      <x:c r="D298" s="7" t="n">
        <x:f>C298-B298</x:f>
        <x:v>2.2820000000000036</x:v>
      </x:c>
      <x:c r="E298" t="str">
        <x:v>EL200V2</x:v>
      </x:c>
      <x:c r="F298" t="str">
        <x:v>已匹配</x:v>
      </x:c>
      <x:c r="G298" t="str">
        <x:v>Elite 200 V22543134271597</x:v>
      </x:c>
      <x:c r="H298" t="str">
        <x:v>LOG-SRD26070145</x:v>
      </x:c>
      <x:c r="I298" t="str">
        <x:v>2425</x:v>
      </x:c>
    </x:row>
    <x:row r="299" ht="18">
      <x:c r="A299" s="3" t="s">
        <x:v>301</x:v>
      </x:c>
      <x:c r="B299" s="4">
        <x:v>23.84</x:v>
      </x:c>
      <x:c r="C299" s="7">
        <x:v>118.074</x:v>
      </x:c>
      <x:c r="D299" s="7" t="n">
        <x:f>C299-B299</x:f>
        <x:v>94.234</x:v>
      </x:c>
      <x:c r="E299" t="str">
        <x:v>FRPOWER</x:v>
      </x:c>
      <x:c r="F299" t="str">
        <x:v>已匹配</x:v>
      </x:c>
      <x:c r="G299" t="str">
        <x:v>FP2604139141537</x:v>
      </x:c>
      <x:c r="H299" t="str">
        <x:v>LOG-SRL26070135</x:v>
      </x:c>
      <x:c r="I299" t="str">
        <x:v>2386</x:v>
      </x:c>
    </x:row>
    <x:row r="300" ht="18">
      <x:c r="A300" s="3" t="s">
        <x:v>302</x:v>
      </x:c>
      <x:c r="B300" s="4">
        <x:v>26.25</x:v>
      </x:c>
      <x:c r="C300" s="7">
        <x:v>30.228000000000002</x:v>
      </x:c>
      <x:c r="D300" s="7" t="n">
        <x:f>C300-B300</x:f>
        <x:v>3.9780000000000015</x:v>
      </x:c>
      <x:c r="E300" t="str">
        <x:v>EL100V2</x:v>
      </x:c>
      <x:c r="F300" t="str">
        <x:v>已匹配</x:v>
      </x:c>
      <x:c r="G300" t="str">
        <x:v>EL100V22525511822555</x:v>
      </x:c>
      <x:c r="H300" t="str">
        <x:v>LOG-CRP26070116</x:v>
      </x:c>
      <x:c r="I300" t="str">
        <x:v>2532</x:v>
      </x:c>
    </x:row>
    <x:row r="301" ht="18">
      <x:c r="A301" s="3" t="s">
        <x:v>303</x:v>
      </x:c>
      <x:c r="B301" s="4">
        <x:v>26.25</x:v>
      </x:c>
      <x:c r="C301" s="7">
        <x:v>29.347999999999999</x:v>
      </x:c>
      <x:c r="D301" s="7" t="n">
        <x:f>C301-B301</x:f>
        <x:v>3.097999999999999</x:v>
      </x:c>
      <x:c r="E301" t="str">
        <x:v>EL100V2</x:v>
      </x:c>
      <x:c r="F301" t="str">
        <x:v>已匹配</x:v>
      </x:c>
      <x:c r="G301" t="str">
        <x:v>EL100V22541001516172</x:v>
      </x:c>
      <x:c r="H301" t="str">
        <x:v>LOG-SRL26070096</x:v>
      </x:c>
      <x:c r="I301" t="str">
        <x:v>2413</x:v>
      </x:c>
    </x:row>
    <x:row r="302" ht="18">
      <x:c r="A302" s="3" t="s">
        <x:v>304</x:v>
      </x:c>
      <x:c r="B302" s="4">
        <x:v>21.72</x:v>
      </x:c>
      <x:c r="C302" s="7">
        <x:v>25.277999999999999</x:v>
      </x:c>
      <x:c r="D302" s="7" t="n">
        <x:f>C302-B302</x:f>
        <x:v>3.558</x:v>
      </x:c>
      <x:c r="E302" t="str">
        <x:v>EL100V2</x:v>
      </x:c>
      <x:c r="F302" t="str">
        <x:v>已匹配</x:v>
      </x:c>
      <x:c r="G302" t="str">
        <x:v>EL100V22540001100382</x:v>
      </x:c>
      <x:c r="H302" t="str">
        <x:v>LOG-SRL26070089</x:v>
      </x:c>
      <x:c r="I302" t="str">
        <x:v>2421</x:v>
      </x:c>
    </x:row>
    <x:row r="303" ht="18">
      <x:c r="A303" s="3" t="s">
        <x:v>305</x:v>
      </x:c>
      <x:c r="B303" s="4">
        <x:v>41.86</x:v>
      </x:c>
      <x:c r="C303" s="7">
        <x:v>83.71</x:v>
      </x:c>
      <x:c r="D303" s="7" t="n">
        <x:f>C303-B303</x:f>
        <x:v>41.849999999999994</x:v>
      </x:c>
      <x:c r="E303" t="str">
        <x:v>FridgePower</x:v>
      </x:c>
      <x:c r="F303" t="str">
        <x:v>已匹配</x:v>
      </x:c>
      <x:c r="G303" t="str">
        <x:v>FP2604139100585</x:v>
      </x:c>
      <x:c r="H303" t="str">
        <x:v>LOG-SRL26070086</x:v>
      </x:c>
      <x:c r="I303" t="str">
        <x:v>2433</x:v>
      </x:c>
    </x:row>
    <x:row r="304" ht="18">
      <x:c r="A304" s="3" t="s">
        <x:v>306</x:v>
      </x:c>
      <x:c r="B304" s="4">
        <x:v>45.03</x:v>
      </x:c>
      <x:c r="C304" s="7">
        <x:v>49.103999999999999</x:v>
      </x:c>
      <x:c r="D304" s="7" t="n">
        <x:f>C304-B304</x:f>
        <x:v>4.073999999999998</x:v>
      </x:c>
      <x:c r="E304" t="str">
        <x:v>AC180</x:v>
      </x:c>
      <x:c r="F304" t="str">
        <x:v>已匹配</x:v>
      </x:c>
      <x:c r="G304" t="str">
        <x:v>AC1802420000351549</x:v>
      </x:c>
      <x:c r="H304" t="str">
        <x:v>LOG-SRL26070077</x:v>
      </x:c>
      <x:c r="I304" t="str">
        <x:v>2426</x:v>
      </x:c>
    </x:row>
    <x:row r="305" ht="18">
      <x:c r="A305" s="3" t="s">
        <x:v>307</x:v>
      </x:c>
      <x:c r="B305" s="4">
        <x:v>24.44</x:v>
      </x:c>
      <x:c r="C305" s="7">
        <x:v>49.94</x:v>
      </x:c>
      <x:c r="D305" s="7" t="n">
        <x:f>C305-B305</x:f>
        <x:v>25.499999999999996</x:v>
      </x:c>
      <x:c r="E305" t="str">
        <x:v>AC70</x:v>
      </x:c>
      <x:c r="F305" t="str">
        <x:v>已匹配</x:v>
      </x:c>
      <x:c r="G305" t="str">
        <x:v>AC702444001363827</x:v>
      </x:c>
      <x:c r="H305" t="str">
        <x:v>LOG-CRP26070066</x:v>
      </x:c>
      <x:c r="I305" t="str">
        <x:v>2669</x:v>
      </x:c>
    </x:row>
    <x:row r="306" ht="18">
      <x:c r="A306" s="5" t="s">
        <x:v>308</x:v>
      </x:c>
      <x:c r="B306" s="2">
        <x:v>31.24</x:v>
      </x:c>
      <x:c r="C306" s="8">
        <x:v>171.512</x:v>
      </x:c>
      <x:c r="D306" s="7" t="n">
        <x:f>C306-B306</x:f>
        <x:v>140.272</x:v>
      </x:c>
      <x:c r="E306" t="str">
        <x:v>AC180</x:v>
      </x:c>
      <x:c r="F306" t="str">
        <x:v>已匹配</x:v>
      </x:c>
      <x:c r="G306" t="str">
        <x:v>AC1802443001422018</x:v>
      </x:c>
      <x:c r="H306" t="str">
        <x:v>LOG-CRP26060658</x:v>
      </x:c>
      <x:c r="I306" t="str">
        <x:v>2845</x:v>
      </x:c>
    </x:row>
    <x:row r="307" ht="18">
      <x:c r="A307" s="5" t="s">
        <x:v>309</x:v>
      </x:c>
      <x:c r="B307" s="4">
        <x:v>11.82</x:v>
      </x:c>
      <x:c r="C307" s="7">
        <x:v>33.92</x:v>
      </x:c>
      <x:c r="D307" s="7" t="n">
        <x:f>C307-B307</x:f>
        <x:v>22.1</x:v>
      </x:c>
      <x:c r="E307" t="str">
        <x:v>CHARGER2</x:v>
      </x:c>
      <x:c r="F307" t="str">
        <x:v>已匹配</x:v>
      </x:c>
      <x:c r="G307" t="str">
        <x:v>CHARGER22605139113776</x:v>
      </x:c>
      <x:c r="H307" t="str">
        <x:v>LOG-SRN26060945</x:v>
      </x:c>
      <x:c r="I307" t="str">
        <x:v>2969</x:v>
      </x:c>
    </x:row>
    <x:row r="308" ht="18">
      <x:c r="A308" s="5"/>
      <x:c r="B308" s="4" t="n">
        <x:f t="shared" ref="B308:D308" si="0">SUM(B2:B307)</x:f>
        <x:v>12777.080000000009</x:v>
      </x:c>
      <x:c r="C308" s="9">
        <x:f t="shared" si="0"/>
        <x:v>17493.560999999983</x:v>
      </x:c>
      <x:c r="D308" s="9">
        <x:f t="shared" si="0"/>
        <x:v>4716.4810000000034</x:v>
      </x:c>
      <x:c r="E308"/>
      <x:c r="F308"/>
      <x:c r="G308"/>
      <x:c r="H308"/>
      <x:c r="I308"/>
    </x:row>
  </x:sheetData>
  <x:conditionalFormatting sqref="A308:A308 A1:D1 A2:A305">
    <x:cfRule type="duplicateValues" dxfId="2" priority="3"/>
  </x:conditionalFormatting>
  <x:conditionalFormatting sqref="A306:A306">
    <x:cfRule type="duplicateValues" dxfId="1" priority="2"/>
  </x:conditionalFormatting>
  <x:conditionalFormatting sqref="A307:A307">
    <x:cfRule type="duplicateValues" dxfId="0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4" max="4" width="100" hidden="0" customWidth="1"/>
  </x:cols>
  <x:sheetData>
    <x:row r="1">
      <x:c r="A1" s="12" t="str">
        <x:v>机型</x:v>
      </x:c>
      <x:c r="B1" s="12" t="str">
        <x:v>基础表记录数</x:v>
      </x:c>
      <x:c r="D1" t="str">
        <x:v>匹配依据：基础表跟踪号 ↔ 收货记录物流单号；FedEx纯数字长单号取后12位。</x:v>
      </x:c>
    </x:row>
    <x:row r="2">
      <x:c r="A2" t="str">
        <x:v>EL200V2</x:v>
      </x:c>
      <x:c r="B2" t="n">
        <x:v>2</x:v>
      </x:c>
      <x:c r="D2" t="str">
        <x:v>同单多条记录保留全部不同机型；未匹配记录不推测机型。</x:v>
      </x:c>
    </x:row>
    <x:row r="3">
      <x:c r="A3" t="str">
        <x:v>AC70</x:v>
      </x:c>
      <x:c r="B3" t="n">
        <x:v>19</x:v>
      </x:c>
    </x:row>
    <x:row r="4">
      <x:c r="A4" t="str">
        <x:v>AC180</x:v>
      </x:c>
      <x:c r="B4" t="n">
        <x:v>45</x:v>
      </x:c>
      <x:c r="D4" t="str">
        <x:v>来源：美国Logistar仓收件登记表-更新版9.02.csv（行号含前两行表头）</x:v>
      </x:c>
    </x:row>
    <x:row r="5">
      <x:c r="A5" t="str">
        <x:v>EL100V2</x:v>
      </x:c>
      <x:c r="B5" t="n">
        <x:v>81</x:v>
      </x:c>
    </x:row>
    <x:row r="6">
      <x:c r="A6" t="str">
        <x:v>EL300</x:v>
      </x:c>
      <x:c r="B6" t="n">
        <x:v>18</x:v>
      </x:c>
    </x:row>
    <x:row r="7">
      <x:c r="A7" t="str">
        <x:v>PV350</x:v>
      </x:c>
      <x:c r="B7" t="n">
        <x:v>3</x:v>
      </x:c>
    </x:row>
    <x:row r="8">
      <x:c r="A8" t="str">
        <x:v>EL100</x:v>
      </x:c>
      <x:c r="B8" t="n">
        <x:v>2</x:v>
      </x:c>
    </x:row>
    <x:row r="9">
      <x:c r="A9" t="str">
        <x:v>EL30V2</x:v>
      </x:c>
      <x:c r="B9" t="n">
        <x:v>3</x:v>
      </x:c>
    </x:row>
    <x:row r="10">
      <x:c r="A10" t="str">
        <x:v>RV5</x:v>
      </x:c>
      <x:c r="B10" t="n">
        <x:v>3</x:v>
      </x:c>
    </x:row>
    <x:row r="11">
      <x:c r="A11" t="str">
        <x:v>AC200M</x:v>
      </x:c>
      <x:c r="B11" t="n">
        <x:v>1</x:v>
      </x:c>
    </x:row>
    <x:row r="12">
      <x:c r="A12" t="str">
        <x:v>AC50B</x:v>
      </x:c>
      <x:c r="B12" t="n">
        <x:v>4</x:v>
      </x:c>
    </x:row>
    <x:row r="13">
      <x:c r="A13" t="str">
        <x:v>AB3A</x:v>
      </x:c>
      <x:c r="B13" t="n">
        <x:v>1</x:v>
      </x:c>
    </x:row>
    <x:row r="14">
      <x:c r="A14" t="str">
        <x:v>EL400</x:v>
      </x:c>
      <x:c r="B14" t="n">
        <x:v>9</x:v>
      </x:c>
    </x:row>
    <x:row r="15">
      <x:c r="A15" t="str">
        <x:v>EL200</x:v>
      </x:c>
      <x:c r="B15" t="n">
        <x:v>3</x:v>
      </x:c>
    </x:row>
    <x:row r="16">
      <x:c r="A16" t="str">
        <x:v>BC200</x:v>
      </x:c>
      <x:c r="B16" t="n">
        <x:v>3</x:v>
      </x:c>
    </x:row>
    <x:row r="17">
      <x:c r="A17" t="str">
        <x:v>FridgePower</x:v>
      </x:c>
      <x:c r="B17" t="n">
        <x:v>2</x:v>
      </x:c>
    </x:row>
    <x:row r="18">
      <x:c r="A18" t="str">
        <x:v>AC300</x:v>
      </x:c>
      <x:c r="B18" t="n">
        <x:v>8</x:v>
      </x:c>
    </x:row>
    <x:row r="19">
      <x:c r="A19" t="str">
        <x:v>CHANGER2</x:v>
      </x:c>
      <x:c r="B19" t="n">
        <x:v>2</x:v>
      </x:c>
    </x:row>
    <x:row r="20">
      <x:c r="A20" t="str">
        <x:v>AC200L</x:v>
      </x:c>
      <x:c r="B20" t="n">
        <x:v>11</x:v>
      </x:c>
    </x:row>
    <x:row r="21">
      <x:c r="A21" t="str">
        <x:v>SOLARX 4K</x:v>
      </x:c>
      <x:c r="B21" t="n">
        <x:v>1</x:v>
      </x:c>
    </x:row>
    <x:row r="22">
      <x:c r="A22" t="str">
        <x:v>B300</x:v>
      </x:c>
      <x:c r="B22" t="n">
        <x:v>2</x:v>
      </x:c>
    </x:row>
    <x:row r="23">
      <x:c r="A23" t="str">
        <x:v>机型为空</x:v>
      </x:c>
      <x:c r="B23" t="n">
        <x:v>1</x:v>
      </x:c>
    </x:row>
    <x:row r="24">
      <x:c r="A24" t="str">
        <x:v>AP300</x:v>
      </x:c>
      <x:c r="B24" t="n">
        <x:v>10</x:v>
      </x:c>
    </x:row>
    <x:row r="25">
      <x:c r="A25" t="str">
        <x:v>AC2A</x:v>
      </x:c>
      <x:c r="B25" t="n">
        <x:v>2</x:v>
      </x:c>
    </x:row>
    <x:row r="26">
      <x:c r="A26" t="str">
        <x:v>FRPOWER</x:v>
      </x:c>
      <x:c r="B26" t="n">
        <x:v>4</x:v>
      </x:c>
    </x:row>
    <x:row r="27">
      <x:c r="A27" t="str">
        <x:v>B300K2</x:v>
      </x:c>
      <x:c r="B27" t="n">
        <x:v>1</x:v>
      </x:c>
    </x:row>
    <x:row r="28">
      <x:c r="A28" t="str">
        <x:v>B300S</x:v>
      </x:c>
      <x:c r="B28" t="n">
        <x:v>2</x:v>
      </x:c>
    </x:row>
    <x:row r="29">
      <x:c r="A29" t="str">
        <x:v>Elite 200 V2</x:v>
      </x:c>
      <x:c r="B29" t="n">
        <x:v>3</x:v>
      </x:c>
    </x:row>
    <x:row r="30">
      <x:c r="A30" t="str">
        <x:v>FP2</x:v>
      </x:c>
      <x:c r="B30" t="n">
        <x:v>3</x:v>
      </x:c>
    </x:row>
    <x:row r="31">
      <x:c r="A31" t="str">
        <x:v>SolarX 4K</x:v>
      </x:c>
      <x:c r="B31" t="n">
        <x:v>1</x:v>
      </x:c>
    </x:row>
    <x:row r="32">
      <x:c r="A32" t="str">
        <x:v>EL100V</x:v>
      </x:c>
      <x:c r="B32" t="n">
        <x:v>1</x:v>
      </x:c>
    </x:row>
    <x:row r="33">
      <x:c r="A33" t="str">
        <x:v>B4810</x:v>
      </x:c>
      <x:c r="B33" t="n">
        <x:v>1</x:v>
      </x:c>
    </x:row>
    <x:row r="34">
      <x:c r="A34" t="str">
        <x:v>EL00V2</x:v>
      </x:c>
      <x:c r="B34" t="n">
        <x:v>1</x:v>
      </x:c>
    </x:row>
    <x:row r="35">
      <x:c r="A35" t="str">
        <x:v>EL30V</x:v>
      </x:c>
      <x:c r="B35" t="n">
        <x:v>1</x:v>
      </x:c>
    </x:row>
    <x:row r="36">
      <x:c r="A36" t="str">
        <x:v>B300K</x:v>
      </x:c>
      <x:c r="B36" t="n">
        <x:v>4</x:v>
      </x:c>
    </x:row>
    <x:row r="37">
      <x:c r="A37" t="str">
        <x:v>AC180P</x:v>
      </x:c>
      <x:c r="B37" t="n">
        <x:v>2</x:v>
      </x:c>
    </x:row>
    <x:row r="38">
      <x:c r="A38" t="str">
        <x:v>B500K</x:v>
      </x:c>
      <x:c r="B38" t="n">
        <x:v>1</x:v>
      </x:c>
    </x:row>
    <x:row r="39">
      <x:c r="A39" t="str">
        <x:v>AC500</x:v>
      </x:c>
      <x:c r="B39" t="n">
        <x:v>1</x:v>
      </x:c>
    </x:row>
    <x:row r="40">
      <x:c r="A40" t="str">
        <x:v>背包</x:v>
      </x:c>
      <x:c r="B40" t="n">
        <x:v>1</x:v>
      </x:c>
    </x:row>
    <x:row r="41">
      <x:c r="A41" t="str">
        <x:v>CHARGER2</x:v>
      </x:c>
      <x:c r="B41" t="n">
        <x:v>1</x:v>
      </x:c>
    </x:row>
    <x:row r="42">
      <x:c r="A42" t="str">
        <x:v>已匹配合计</x:v>
      </x:c>
      <x:c r="B42" t="n">
        <x:v>264</x:v>
      </x:c>
    </x:row>
    <x:row r="43">
      <x:c r="A43" t="str">
        <x:v>未匹配</x:v>
      </x:c>
      <x:c r="B43" t="n">
        <x:v>42</x:v>
      </x:c>
    </x:row>
    <x:row r="44">
      <x:c r="A44" t="str">
        <x:v>基础表记录合计</x:v>
      </x:c>
      <x:c r="B44" t="n">
        <x:v>306</x:v>
      </x:c>
    </x:row>
  </x:sheetData>
  <x:pageMargins left="0.7" right="0.7" top="0.75" bottom="0.75" header="0.3" footer="0.3"/>
</x:worksheet>
</file>