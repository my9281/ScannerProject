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Repos\ScannerProject\outputs\aug_rebound\"/>
    </mc:Choice>
  </mc:AlternateContent>
  <xr:revisionPtr revIDLastSave="0" documentId="13_ncr:1_{2E9CC384-F552-4391-A63E-0AD4F6E75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匹配机型汇总" sheetId="2" r:id="rId2"/>
    <sheet name="尺寸重量匹配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8" i="1" l="1"/>
  <c r="B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08" i="1" l="1"/>
</calcChain>
</file>

<file path=xl/sharedStrings.xml><?xml version="1.0" encoding="utf-8"?>
<sst xmlns="http://schemas.openxmlformats.org/spreadsheetml/2006/main" count="3835" uniqueCount="1284">
  <si>
    <t>跟踪号</t>
  </si>
  <si>
    <t>预收</t>
  </si>
  <si>
    <t>实收</t>
  </si>
  <si>
    <t>差额</t>
  </si>
  <si>
    <t>机型（收货记录）</t>
  </si>
  <si>
    <t>匹配状态</t>
  </si>
  <si>
    <t>SN（收货记录）</t>
  </si>
  <si>
    <t>RMA编号</t>
  </si>
  <si>
    <t>873757186200</t>
  </si>
  <si>
    <t>EL200V2</t>
  </si>
  <si>
    <t>已匹配</t>
  </si>
  <si>
    <t>Elite 200 V22543139430611</t>
  </si>
  <si>
    <t>LOG-SRD26070872</t>
  </si>
  <si>
    <t>873755731950</t>
  </si>
  <si>
    <t>AC70</t>
  </si>
  <si>
    <t>AC702540000234211</t>
  </si>
  <si>
    <t>LOG-SRD26070862</t>
  </si>
  <si>
    <t>873750602294</t>
  </si>
  <si>
    <t>AC702540001750146</t>
  </si>
  <si>
    <t>LOG-SRD26063322</t>
  </si>
  <si>
    <t>873749424392</t>
  </si>
  <si>
    <t>AC180</t>
  </si>
  <si>
    <t>AC1802521100705900</t>
  </si>
  <si>
    <t>LOG-SRL26063308</t>
  </si>
  <si>
    <t>873748387608</t>
  </si>
  <si>
    <t>EL100V2</t>
  </si>
  <si>
    <t>EL100V22542003222246</t>
  </si>
  <si>
    <t>LOG-SRL26063289</t>
  </si>
  <si>
    <t>873747943918</t>
  </si>
  <si>
    <t>EL100V22543331262852</t>
  </si>
  <si>
    <t>LOG-SRL26063286</t>
  </si>
  <si>
    <t>873747342683</t>
  </si>
  <si>
    <t>AC1802451000794146</t>
  </si>
  <si>
    <t>LOG-SRL26063282</t>
  </si>
  <si>
    <t>873744716460</t>
  </si>
  <si>
    <t>EL300</t>
  </si>
  <si>
    <t>EL3002613132562620</t>
  </si>
  <si>
    <t>LOG-SRL26063256</t>
  </si>
  <si>
    <t>873743038264</t>
  </si>
  <si>
    <t>PV350</t>
  </si>
  <si>
    <t>DGM2524PV350D00662</t>
  </si>
  <si>
    <t>LOG-SRD26073974</t>
  </si>
  <si>
    <t>873689062051</t>
  </si>
  <si>
    <t>EL100</t>
  </si>
  <si>
    <t>EL100V22525020514468</t>
  </si>
  <si>
    <t>LOG-SRL26063144</t>
  </si>
  <si>
    <t>873686666786</t>
  </si>
  <si>
    <t>EL30V2</t>
  </si>
  <si>
    <t>EL30V22550131226061</t>
  </si>
  <si>
    <t>873685329559</t>
  </si>
  <si>
    <t>AC1802441000095273</t>
  </si>
  <si>
    <t>LOG-SRL26063299</t>
  </si>
  <si>
    <t>873684283590</t>
  </si>
  <si>
    <t>AC1802438001442972</t>
  </si>
  <si>
    <t>LOG-SRL26063100</t>
  </si>
  <si>
    <t>873682371233</t>
  </si>
  <si>
    <t>AC702337000393011</t>
  </si>
  <si>
    <t>LOG-CRP26063084</t>
  </si>
  <si>
    <t>873679799079</t>
  </si>
  <si>
    <t>EL100V22541000218106</t>
  </si>
  <si>
    <t>LOG-SRL26063064</t>
  </si>
  <si>
    <t>873668650078</t>
  </si>
  <si>
    <t>RV5</t>
  </si>
  <si>
    <t>RV52534020622093</t>
  </si>
  <si>
    <t>LOG-SRD26063011</t>
  </si>
  <si>
    <t>873651415340</t>
  </si>
  <si>
    <t>AC200M</t>
  </si>
  <si>
    <t>AC200M2342001617281</t>
  </si>
  <si>
    <t>LOG-CRP26063079</t>
  </si>
  <si>
    <t>873651295526</t>
  </si>
  <si>
    <t>EL3002613132466776</t>
  </si>
  <si>
    <t>LOG-SRD26070406</t>
  </si>
  <si>
    <t>873651184982</t>
  </si>
  <si>
    <t>AC50B</t>
  </si>
  <si>
    <t>AC50B2547131580192</t>
  </si>
  <si>
    <t>LOG-SRD26063067</t>
  </si>
  <si>
    <t>873648195891</t>
  </si>
  <si>
    <t>EL3002613135059172</t>
  </si>
  <si>
    <t>LOG-SRL26062972</t>
  </si>
  <si>
    <t>873602771330</t>
  </si>
  <si>
    <t>AB3A</t>
  </si>
  <si>
    <t>EB3A2438003052560</t>
  </si>
  <si>
    <t>无源头退货已入库</t>
  </si>
  <si>
    <t>873601492219</t>
  </si>
  <si>
    <t>EL100V22539002717051</t>
  </si>
  <si>
    <t>LOG-SRL26062892</t>
  </si>
  <si>
    <t>873601056047</t>
  </si>
  <si>
    <t>EL400</t>
  </si>
  <si>
    <t>EL4002538110028933</t>
  </si>
  <si>
    <t>LOG-SRL26062885</t>
  </si>
  <si>
    <t>873599566482</t>
  </si>
  <si>
    <t>未匹配</t>
  </si>
  <si>
    <t>873598300616</t>
  </si>
  <si>
    <t>EL100V22541020872702</t>
  </si>
  <si>
    <t>LOG-SRL26062855</t>
  </si>
  <si>
    <t>873597902928</t>
  </si>
  <si>
    <t>AC1802435001053047</t>
  </si>
  <si>
    <t>LOG-SRL26062850</t>
  </si>
  <si>
    <t>873595316833</t>
  </si>
  <si>
    <t>AC702549233082734</t>
  </si>
  <si>
    <t>LOG-SRD26062823</t>
  </si>
  <si>
    <t>873591534306</t>
  </si>
  <si>
    <t>AC702424003001484</t>
  </si>
  <si>
    <t>LOG-CRP26062781</t>
  </si>
  <si>
    <t>873551801515</t>
  </si>
  <si>
    <t>AC702539011288995</t>
  </si>
  <si>
    <t>LOG-SRD26062911</t>
  </si>
  <si>
    <t>873550710598</t>
  </si>
  <si>
    <t>EL200</t>
  </si>
  <si>
    <t>Elite 200 V22543137014462</t>
  </si>
  <si>
    <t>LOG-SRD26062910</t>
  </si>
  <si>
    <t>873550060825</t>
  </si>
  <si>
    <t>AC702540000074422</t>
  </si>
  <si>
    <t>LOG-SRD26062908</t>
  </si>
  <si>
    <t>873544383510</t>
  </si>
  <si>
    <t>EL100V22539003607450</t>
  </si>
  <si>
    <t>LOG-SRL26062687</t>
  </si>
  <si>
    <t>873543285720</t>
  </si>
  <si>
    <t>EL100V22545131315498</t>
  </si>
  <si>
    <t>LOG-SRL26062679</t>
  </si>
  <si>
    <t>873543235287</t>
  </si>
  <si>
    <t>AC1802330004071213</t>
  </si>
  <si>
    <t>LOG-CRP26062678</t>
  </si>
  <si>
    <t>873490306183</t>
  </si>
  <si>
    <t>AC702539011591410</t>
  </si>
  <si>
    <t>LOG-SRD26062550</t>
  </si>
  <si>
    <t>873487241521</t>
  </si>
  <si>
    <t>AC1802535025210237</t>
  </si>
  <si>
    <t>LOG-SRD26062549</t>
  </si>
  <si>
    <t>873485268926</t>
  </si>
  <si>
    <t>EL3002613134977908</t>
  </si>
  <si>
    <t>LOG-SRL26062502</t>
  </si>
  <si>
    <t>873481838718</t>
  </si>
  <si>
    <t>EL100V22542132609892</t>
  </si>
  <si>
    <t>LOG-SRL26062464</t>
  </si>
  <si>
    <t>873478624488</t>
  </si>
  <si>
    <t>EL4002604130313330</t>
  </si>
  <si>
    <t>LOG-SRD26062444</t>
  </si>
  <si>
    <t>873476103347</t>
  </si>
  <si>
    <t>BC200</t>
  </si>
  <si>
    <t>BC2002603133742207</t>
  </si>
  <si>
    <t>LOG-SRL26062421</t>
  </si>
  <si>
    <t>873475760387</t>
  </si>
  <si>
    <t>FridgePower</t>
  </si>
  <si>
    <t>FP2604137198368</t>
  </si>
  <si>
    <t>LOG-SRL26062415</t>
  </si>
  <si>
    <t>873469399623</t>
  </si>
  <si>
    <t>AC300</t>
  </si>
  <si>
    <t>AC3002211001587941</t>
  </si>
  <si>
    <t>LOG-CRP26062385</t>
  </si>
  <si>
    <t>873426897860</t>
  </si>
  <si>
    <t>EL100V22540001629856</t>
  </si>
  <si>
    <t>LOG-SRD26062352</t>
  </si>
  <si>
    <t>873425107021</t>
  </si>
  <si>
    <t>AC1802337002296499</t>
  </si>
  <si>
    <t>LOG-CRP26062320</t>
  </si>
  <si>
    <t>873425039388</t>
  </si>
  <si>
    <t>EL100V22539003697873</t>
  </si>
  <si>
    <t>LOG-SRD26062319</t>
  </si>
  <si>
    <t>873424752756</t>
  </si>
  <si>
    <t>EL100V22537006085458</t>
  </si>
  <si>
    <t>LOG-SRL26062317</t>
  </si>
  <si>
    <t>873424570680</t>
  </si>
  <si>
    <t>EL100V22541000465267</t>
  </si>
  <si>
    <t>LOG-SRL26062316</t>
  </si>
  <si>
    <t>873424093974</t>
  </si>
  <si>
    <t>EL100V22540002907523</t>
  </si>
  <si>
    <t>LOG-SRL26062309</t>
  </si>
  <si>
    <t>873423033354</t>
  </si>
  <si>
    <t>873417139073</t>
  </si>
  <si>
    <t>AC1802441003667662</t>
  </si>
  <si>
    <t>LOG-CRP26062258</t>
  </si>
  <si>
    <t>873416411900</t>
  </si>
  <si>
    <t>CHANGER2</t>
  </si>
  <si>
    <t>CHARGER 22544115581684</t>
  </si>
  <si>
    <t>LOG-SRN26062425</t>
  </si>
  <si>
    <t>873371346866</t>
  </si>
  <si>
    <t>AC702540001411677</t>
  </si>
  <si>
    <t>LOG-SRD26070186</t>
  </si>
  <si>
    <t>873364626827</t>
  </si>
  <si>
    <t>AC200L</t>
  </si>
  <si>
    <t>AC200L2424003457898</t>
  </si>
  <si>
    <t>LOG-SRD26062181</t>
  </si>
  <si>
    <t>873363411682</t>
  </si>
  <si>
    <t>873362675888</t>
  </si>
  <si>
    <t>AC3002221001473503</t>
  </si>
  <si>
    <t>LOG-SRL26062173</t>
  </si>
  <si>
    <t>873354707385</t>
  </si>
  <si>
    <t>EL3002613132581421</t>
  </si>
  <si>
    <t>LOG-SRD26062350</t>
  </si>
  <si>
    <t>873354490358</t>
  </si>
  <si>
    <t>AC702540000057568</t>
  </si>
  <si>
    <t>LOG-SRD26062106</t>
  </si>
  <si>
    <t>873342102865</t>
  </si>
  <si>
    <t>EL100V22542130396164</t>
  </si>
  <si>
    <t>LOG-SRD26062057</t>
  </si>
  <si>
    <t>873341905734</t>
  </si>
  <si>
    <t>EL100V22528040699658</t>
  </si>
  <si>
    <t>LOG-SRD26062484</t>
  </si>
  <si>
    <t>873341808833</t>
  </si>
  <si>
    <t>SOLARX 4K</t>
  </si>
  <si>
    <t>SolarX 4K2537110084548</t>
  </si>
  <si>
    <t>LOG-SRL26062052</t>
  </si>
  <si>
    <t>873341053904</t>
  </si>
  <si>
    <t>EL4002604130141003</t>
  </si>
  <si>
    <t>LOG-SRD26062048</t>
  </si>
  <si>
    <t>873246589963</t>
  </si>
  <si>
    <t>RV52534020463834</t>
  </si>
  <si>
    <t>LOG-SRL26062014</t>
  </si>
  <si>
    <t>873244180333</t>
  </si>
  <si>
    <t>Elite 200 V22541002430109</t>
  </si>
  <si>
    <t>LOG-SRD26062194</t>
  </si>
  <si>
    <t>873243819966</t>
  </si>
  <si>
    <t>EL100V22540001070868</t>
  </si>
  <si>
    <t>LOG-SRL26062005</t>
  </si>
  <si>
    <t>873243276841</t>
  </si>
  <si>
    <t>AC1802538000767268</t>
  </si>
  <si>
    <t>LOG-SRD26062002</t>
  </si>
  <si>
    <t>873236800602</t>
  </si>
  <si>
    <t>AC1802411002384297</t>
  </si>
  <si>
    <t>LOG-SRL26061953</t>
  </si>
  <si>
    <t>873236734387</t>
  </si>
  <si>
    <t>EL100V22528040309553</t>
  </si>
  <si>
    <t>LOG-SRL26061952</t>
  </si>
  <si>
    <t>873225513272</t>
  </si>
  <si>
    <t>AC1802451005876659</t>
  </si>
  <si>
    <t>LOG-CRP26061894</t>
  </si>
  <si>
    <t>873223702212</t>
  </si>
  <si>
    <t>AC1802444001000219</t>
  </si>
  <si>
    <t>LOG-CRP26061892</t>
  </si>
  <si>
    <t>873188705179</t>
  </si>
  <si>
    <t>EL100V22542000453127</t>
  </si>
  <si>
    <t>LOG-SRL26061868</t>
  </si>
  <si>
    <t>873185409203</t>
  </si>
  <si>
    <t>AC1802447000956014</t>
  </si>
  <si>
    <t>LOG-SRL26061825</t>
  </si>
  <si>
    <t>873185263260</t>
  </si>
  <si>
    <t>EL100V22542001679458</t>
  </si>
  <si>
    <t>LOG-SRL26070320</t>
  </si>
  <si>
    <t>873180402870</t>
  </si>
  <si>
    <t>B300</t>
  </si>
  <si>
    <t>80446Z22350481</t>
  </si>
  <si>
    <t>LOG-CRP26061779</t>
  </si>
  <si>
    <t>873177517802</t>
  </si>
  <si>
    <t>AC1802411001631567</t>
  </si>
  <si>
    <t>LOG-CRP26061736</t>
  </si>
  <si>
    <t>873169813564</t>
  </si>
  <si>
    <t>873162864479</t>
  </si>
  <si>
    <t>873149110472</t>
  </si>
  <si>
    <t>873133287628</t>
  </si>
  <si>
    <t>AC1802535000107167</t>
  </si>
  <si>
    <t>LOG-SRL26061703</t>
  </si>
  <si>
    <t>873132283590</t>
  </si>
  <si>
    <t>LOG-SRL26061700</t>
  </si>
  <si>
    <t>873129844982</t>
  </si>
  <si>
    <t>EL100V22534008916185</t>
  </si>
  <si>
    <t>LOG-SRD26061668</t>
  </si>
  <si>
    <t>873125800348</t>
  </si>
  <si>
    <t>AC1802339003131620</t>
  </si>
  <si>
    <t>LOG-SRL26061634</t>
  </si>
  <si>
    <t>873124536230</t>
  </si>
  <si>
    <t>EL4002604130341605</t>
  </si>
  <si>
    <t>LOG-SRD26061707</t>
  </si>
  <si>
    <t>873123390590</t>
  </si>
  <si>
    <t>AC1802438000691508</t>
  </si>
  <si>
    <t>LOG-CRP26061613</t>
  </si>
  <si>
    <t>873122402042</t>
  </si>
  <si>
    <t>AC1802419004125947</t>
  </si>
  <si>
    <t>LOG-SRL26061598</t>
  </si>
  <si>
    <t>873114830593</t>
  </si>
  <si>
    <t>873112849706</t>
  </si>
  <si>
    <t>873109425609</t>
  </si>
  <si>
    <t>873109426178</t>
  </si>
  <si>
    <t>873109425778</t>
  </si>
  <si>
    <t>873109426101</t>
  </si>
  <si>
    <t>873109423812</t>
  </si>
  <si>
    <t>873109427862</t>
  </si>
  <si>
    <t>873109425403</t>
  </si>
  <si>
    <t>873109426156</t>
  </si>
  <si>
    <t>873109423503</t>
  </si>
  <si>
    <t>873109426362</t>
  </si>
  <si>
    <t>873109426329</t>
  </si>
  <si>
    <t>873109426400</t>
  </si>
  <si>
    <t>873109426866</t>
  </si>
  <si>
    <t>873109427196</t>
  </si>
  <si>
    <t>873109427428</t>
  </si>
  <si>
    <t>873109424418</t>
  </si>
  <si>
    <t>873109425701</t>
  </si>
  <si>
    <t>873109428001</t>
  </si>
  <si>
    <t>873109426682</t>
  </si>
  <si>
    <t>873109424680</t>
  </si>
  <si>
    <t>873109425642</t>
  </si>
  <si>
    <t>873109425620</t>
  </si>
  <si>
    <t>873109426410</t>
  </si>
  <si>
    <t>873109426796</t>
  </si>
  <si>
    <t>873097759126</t>
  </si>
  <si>
    <t>AC1802452001026857</t>
  </si>
  <si>
    <t>LOG-CRP26061565</t>
  </si>
  <si>
    <t>873067151160</t>
  </si>
  <si>
    <t>EL100V22523010258882</t>
  </si>
  <si>
    <t>LOG-SRL26061514</t>
  </si>
  <si>
    <t>873066802429</t>
  </si>
  <si>
    <t>AC200L2451000987452</t>
  </si>
  <si>
    <t>LOG-SRL26061508</t>
  </si>
  <si>
    <t>873062619570</t>
  </si>
  <si>
    <t>EL100V22537013898576</t>
  </si>
  <si>
    <t>LOG-SRL26061457</t>
  </si>
  <si>
    <t>875147813128</t>
  </si>
  <si>
    <t>875141356162</t>
  </si>
  <si>
    <t>AP300</t>
  </si>
  <si>
    <t>AP3002543130695346</t>
  </si>
  <si>
    <t>LOG-SRL26075085</t>
  </si>
  <si>
    <t>875136838411</t>
  </si>
  <si>
    <t>AC2A</t>
  </si>
  <si>
    <t>AC2A2341000690656</t>
  </si>
  <si>
    <t>LOG-CRP26074611</t>
  </si>
  <si>
    <t>875134297499</t>
  </si>
  <si>
    <t>FRPOWER</t>
  </si>
  <si>
    <t>FP2543112485057</t>
  </si>
  <si>
    <t>LOG-SRL26074999</t>
  </si>
  <si>
    <t>875132753001</t>
  </si>
  <si>
    <t>EL3002609135922544</t>
  </si>
  <si>
    <t>LOG-SRL26074983</t>
  </si>
  <si>
    <t>875130751304</t>
  </si>
  <si>
    <t>FP2542115928489</t>
  </si>
  <si>
    <t>LOG-SRL26074971</t>
  </si>
  <si>
    <t>875130496183</t>
  </si>
  <si>
    <t>B300K2</t>
  </si>
  <si>
    <t>B300K2541003502035</t>
  </si>
  <si>
    <t>LOG-SRL26074970</t>
  </si>
  <si>
    <t>875086683086</t>
  </si>
  <si>
    <t>60300Q22250755</t>
  </si>
  <si>
    <t>LOG-SRL26074883</t>
  </si>
  <si>
    <t>875083885545</t>
  </si>
  <si>
    <t>AC702444001363827</t>
  </si>
  <si>
    <t>LOG-SRL26074856</t>
  </si>
  <si>
    <t>875083140676</t>
  </si>
  <si>
    <t>AC200L2343920386246</t>
  </si>
  <si>
    <t>LOG-CRP26074838</t>
  </si>
  <si>
    <t>875082163177</t>
  </si>
  <si>
    <t>EL100V22539005496313</t>
  </si>
  <si>
    <t>LOG-SRL26074825</t>
  </si>
  <si>
    <t>875079467174</t>
  </si>
  <si>
    <t>AC50B2547231937934</t>
  </si>
  <si>
    <t>LOG-SRD26074792</t>
  </si>
  <si>
    <t>875031214446</t>
  </si>
  <si>
    <t>EL100V22532011413915</t>
  </si>
  <si>
    <t>LOG-SRD26074727</t>
  </si>
  <si>
    <t>875030499683</t>
  </si>
  <si>
    <t>B300S</t>
  </si>
  <si>
    <t>90259Q22390169</t>
  </si>
  <si>
    <t>LOG-CRP26080245</t>
  </si>
  <si>
    <t>875028998897</t>
  </si>
  <si>
    <t>Elite 200 V2</t>
  </si>
  <si>
    <t>Elite 200 V22537022642545</t>
  </si>
  <si>
    <t>LOG-SRD26074726</t>
  </si>
  <si>
    <t>875028961352</t>
  </si>
  <si>
    <t>AC1802413002116772</t>
  </si>
  <si>
    <t>LOG-SRL26074677</t>
  </si>
  <si>
    <t>875028256192</t>
  </si>
  <si>
    <t>AC1802411002562652</t>
  </si>
  <si>
    <t>LOG-CRP26075056</t>
  </si>
  <si>
    <t>875026925112</t>
  </si>
  <si>
    <t>EL100V22528042929301</t>
  </si>
  <si>
    <t>LOG-SRL26074640</t>
  </si>
  <si>
    <t>875025668912</t>
  </si>
  <si>
    <t>EL100V22542000642131</t>
  </si>
  <si>
    <t>LOG-SRL26074615</t>
  </si>
  <si>
    <t>875025544912</t>
  </si>
  <si>
    <t>AP3002543130016795</t>
  </si>
  <si>
    <t>LOG-CRP26074614</t>
  </si>
  <si>
    <t>875025330119</t>
  </si>
  <si>
    <t>EL4002604130362161</t>
  </si>
  <si>
    <t>875025085242</t>
  </si>
  <si>
    <t>EL100V22526091127598</t>
  </si>
  <si>
    <t>LOG-SRD26074607</t>
  </si>
  <si>
    <t>875023902513</t>
  </si>
  <si>
    <t>EL100V22537000934596</t>
  </si>
  <si>
    <t>LOG-SRD26075055</t>
  </si>
  <si>
    <t>875020713663</t>
  </si>
  <si>
    <t>AC3002224000438005</t>
  </si>
  <si>
    <t>LOG-CRP26075025</t>
  </si>
  <si>
    <t>874984443910</t>
  </si>
  <si>
    <t>AC200L2439001643472</t>
  </si>
  <si>
    <t>LOG-SRL26073921</t>
  </si>
  <si>
    <t>874973366473</t>
  </si>
  <si>
    <t>AC1802419003205560</t>
  </si>
  <si>
    <t>LOG-CRP26074531</t>
  </si>
  <si>
    <t>874972476665</t>
  </si>
  <si>
    <t>1120218L287225100421</t>
  </si>
  <si>
    <t>LOG-CRP26074359</t>
  </si>
  <si>
    <t>874970642534</t>
  </si>
  <si>
    <t>874961321496</t>
  </si>
  <si>
    <t>AC50B2547231810566</t>
  </si>
  <si>
    <t>LOG-SRD26074360</t>
  </si>
  <si>
    <t>874909437335</t>
  </si>
  <si>
    <t>EL100V22534009763257</t>
  </si>
  <si>
    <t>LOG-SRL26074265</t>
  </si>
  <si>
    <t>874906233666</t>
  </si>
  <si>
    <t>AC1802339002100985</t>
  </si>
  <si>
    <t>LOG-CRP26074229</t>
  </si>
  <si>
    <t>874897403844</t>
  </si>
  <si>
    <t>EL100V22532031567917</t>
  </si>
  <si>
    <t>LOG-SRL26074148</t>
  </si>
  <si>
    <t>874895163253</t>
  </si>
  <si>
    <t>EL4002604234002484</t>
  </si>
  <si>
    <t>LOG-SRD26074133</t>
  </si>
  <si>
    <t>874871743570</t>
  </si>
  <si>
    <t>EL3002609134370408</t>
  </si>
  <si>
    <t>LOG-SRL26074251</t>
  </si>
  <si>
    <t>874871197059</t>
  </si>
  <si>
    <t>AC702452000303662</t>
  </si>
  <si>
    <t>LOG-SRD26074114</t>
  </si>
  <si>
    <t>874829655122</t>
  </si>
  <si>
    <t>EL100V22532000436611</t>
  </si>
  <si>
    <t>LOG-SRD26074113</t>
  </si>
  <si>
    <t>874825347598</t>
  </si>
  <si>
    <t>FP2</t>
  </si>
  <si>
    <t>FP2604137177596</t>
  </si>
  <si>
    <t>LOG-SRD26074040</t>
  </si>
  <si>
    <t>874820585846</t>
  </si>
  <si>
    <t>EL100V22532000190186</t>
  </si>
  <si>
    <t>LOG-SRL26074058</t>
  </si>
  <si>
    <t>874819305254</t>
  </si>
  <si>
    <t>EL100V22539000267905</t>
  </si>
  <si>
    <t>LOG-SRL26073982</t>
  </si>
  <si>
    <t>874818799127</t>
  </si>
  <si>
    <t>AP3002543130297268</t>
  </si>
  <si>
    <t>LOG-SRN26080381</t>
  </si>
  <si>
    <t>874770576523</t>
  </si>
  <si>
    <t>AC200L2439001729599</t>
  </si>
  <si>
    <t>LOG-SRL26073837</t>
  </si>
  <si>
    <t>874766473687</t>
  </si>
  <si>
    <t>AC702434000348875</t>
  </si>
  <si>
    <t>LOG-SRD26073900</t>
  </si>
  <si>
    <t>874765539780</t>
  </si>
  <si>
    <t>AC200L2439001467611</t>
  </si>
  <si>
    <t>LOG-SRD26073899</t>
  </si>
  <si>
    <t>874764947246</t>
  </si>
  <si>
    <t>874762837228</t>
  </si>
  <si>
    <t>AC1802339002969144</t>
  </si>
  <si>
    <t>LOG-CRP26073709</t>
  </si>
  <si>
    <t>874757565183</t>
  </si>
  <si>
    <t>SolarX 4K</t>
  </si>
  <si>
    <t>SolarX 4K2543111442133</t>
  </si>
  <si>
    <t>LOG-SRL26073684</t>
  </si>
  <si>
    <t>874715484054</t>
  </si>
  <si>
    <t>EL100V22528040811317</t>
  </si>
  <si>
    <t>LOG-SRL26073595</t>
  </si>
  <si>
    <t>874714646339</t>
  </si>
  <si>
    <t>874713748029</t>
  </si>
  <si>
    <t>874712976955</t>
  </si>
  <si>
    <t>Elite 200 V22620130288148</t>
  </si>
  <si>
    <t>LOG-SRD26073661</t>
  </si>
  <si>
    <t>874712418775</t>
  </si>
  <si>
    <t>EL100V</t>
  </si>
  <si>
    <t>EL100V22540000462666</t>
  </si>
  <si>
    <t>LOG-SRL26073559</t>
  </si>
  <si>
    <t>874710843270</t>
  </si>
  <si>
    <t>AC1802411002101493</t>
  </si>
  <si>
    <t>LOG-CRP26073543</t>
  </si>
  <si>
    <t>874660302430</t>
  </si>
  <si>
    <t>874658545575</t>
  </si>
  <si>
    <t>AC200L2450001902634</t>
  </si>
  <si>
    <t>LOG-SRD26073516</t>
  </si>
  <si>
    <t>874657686413</t>
  </si>
  <si>
    <t>AC1802531010160112</t>
  </si>
  <si>
    <t>LOG-SRL26073354</t>
  </si>
  <si>
    <t>874653084452</t>
  </si>
  <si>
    <t>EL100V22541020820909</t>
  </si>
  <si>
    <t>LOG-CRP26073141</t>
  </si>
  <si>
    <t>874652959380</t>
  </si>
  <si>
    <t>AC1802432000825829</t>
  </si>
  <si>
    <t>LOG-CRP26073289</t>
  </si>
  <si>
    <t>874647411990</t>
  </si>
  <si>
    <t>AC3002143000061545</t>
  </si>
  <si>
    <t>LOG-SRL26071959</t>
  </si>
  <si>
    <t>874596029426</t>
  </si>
  <si>
    <t>DMM04-22PV35000376</t>
  </si>
  <si>
    <t>LOG-SRD26073158</t>
  </si>
  <si>
    <t>874595913300</t>
  </si>
  <si>
    <t>AP3002531000582565</t>
  </si>
  <si>
    <t>874595862247</t>
  </si>
  <si>
    <t>AC1802439001089315</t>
  </si>
  <si>
    <t>LOG-CRP26073157</t>
  </si>
  <si>
    <t>874595829270</t>
  </si>
  <si>
    <t>AP3002531000579287</t>
  </si>
  <si>
    <t>874595766890</t>
  </si>
  <si>
    <t>AP3002531000578751</t>
  </si>
  <si>
    <t>874595143529</t>
  </si>
  <si>
    <t>EL100V22523000172308</t>
  </si>
  <si>
    <t>LOG-SRL26073145</t>
  </si>
  <si>
    <t>874592682792</t>
  </si>
  <si>
    <t>B4810</t>
  </si>
  <si>
    <t>B48102539000115601</t>
  </si>
  <si>
    <t>LOG-SRL26073114</t>
  </si>
  <si>
    <t>874591397757</t>
  </si>
  <si>
    <t>874588862256</t>
  </si>
  <si>
    <t>EL4002604232467100</t>
  </si>
  <si>
    <t>LOG-SRD26073064</t>
  </si>
  <si>
    <t>874587829088</t>
  </si>
  <si>
    <t>AC3002233000181346</t>
  </si>
  <si>
    <t>LOG-CRP26073816</t>
  </si>
  <si>
    <t>874587773324</t>
  </si>
  <si>
    <t>AC1802529000731298</t>
  </si>
  <si>
    <t>LOG-SRL26073048</t>
  </si>
  <si>
    <t>874586407410</t>
  </si>
  <si>
    <t>AC1802439000801439</t>
  </si>
  <si>
    <t>LOG-SRL26073027</t>
  </si>
  <si>
    <t>874585659895</t>
  </si>
  <si>
    <t>AC3002142000035526</t>
  </si>
  <si>
    <t>LOG-CRP26073021</t>
  </si>
  <si>
    <t>874563668509</t>
  </si>
  <si>
    <t>AC702447001227239</t>
  </si>
  <si>
    <t>LOG-SRD26073313</t>
  </si>
  <si>
    <t>874517506130</t>
  </si>
  <si>
    <t>RV52534020183909</t>
  </si>
  <si>
    <t>LOG-SRL26072828</t>
  </si>
  <si>
    <t>874516692368</t>
  </si>
  <si>
    <t>FP2543112288908</t>
  </si>
  <si>
    <t>LOG-SRL26072823</t>
  </si>
  <si>
    <t>874515937995</t>
  </si>
  <si>
    <t>874515197234</t>
  </si>
  <si>
    <t>EL3002613131820918</t>
  </si>
  <si>
    <t>LOG-SRL26072799</t>
  </si>
  <si>
    <t>874514671390</t>
  </si>
  <si>
    <t>EL100V22532070150150</t>
  </si>
  <si>
    <t>LOG-SRD26073308</t>
  </si>
  <si>
    <t>874499950834</t>
  </si>
  <si>
    <t>AP3002539000203873</t>
  </si>
  <si>
    <t>LOG-CRP26072673</t>
  </si>
  <si>
    <t>874462330644</t>
  </si>
  <si>
    <t>EL100V22526090401572</t>
  </si>
  <si>
    <t>LOG-SRL26072582</t>
  </si>
  <si>
    <t>874461667390</t>
  </si>
  <si>
    <t>EL3002613132758700</t>
  </si>
  <si>
    <t>LOG-SRL26072858</t>
  </si>
  <si>
    <t>874461107975</t>
  </si>
  <si>
    <t>EL100V22542001499797</t>
  </si>
  <si>
    <t>LOG-SRL26072566</t>
  </si>
  <si>
    <t>874457397667</t>
  </si>
  <si>
    <t>874456457692</t>
  </si>
  <si>
    <t>EL100V22528000660820</t>
  </si>
  <si>
    <t>LOG-CRP26072497</t>
  </si>
  <si>
    <t>874454755548</t>
  </si>
  <si>
    <t>EL100V22528042956425</t>
  </si>
  <si>
    <t>LOG-SRL26074433</t>
  </si>
  <si>
    <t>874454129625</t>
  </si>
  <si>
    <t>EL3002601136729676</t>
  </si>
  <si>
    <t>LOG-SRL26072467</t>
  </si>
  <si>
    <t>874413246789</t>
  </si>
  <si>
    <t>EL100V22532031372968</t>
  </si>
  <si>
    <t>LOG-SRD26072768</t>
  </si>
  <si>
    <t>874409838052</t>
  </si>
  <si>
    <t>EL100V22525020352140</t>
  </si>
  <si>
    <t>LOG-SRL26072383</t>
  </si>
  <si>
    <t>874409571020</t>
  </si>
  <si>
    <t>EL3002613133425247</t>
  </si>
  <si>
    <t>LOG-SRL26072380</t>
  </si>
  <si>
    <t>874406749367</t>
  </si>
  <si>
    <t>EL100V22525511770952</t>
  </si>
  <si>
    <t>LOG-CRP26073734</t>
  </si>
  <si>
    <t>874406439920</t>
  </si>
  <si>
    <t>AC1802448002575233</t>
  </si>
  <si>
    <t>LOG-SRL26072343</t>
  </si>
  <si>
    <t>874405572227</t>
  </si>
  <si>
    <t>EL100V22535000846280</t>
  </si>
  <si>
    <t>LOG-SRL26072327</t>
  </si>
  <si>
    <t>874403929269</t>
  </si>
  <si>
    <t>AC200L2436002069869</t>
  </si>
  <si>
    <t>LOG-SRL26072301</t>
  </si>
  <si>
    <t>874402086860</t>
  </si>
  <si>
    <t>EL00V2</t>
  </si>
  <si>
    <t>EL100V22537005659923</t>
  </si>
  <si>
    <t>LOG-SRD26072404</t>
  </si>
  <si>
    <t>874401213522</t>
  </si>
  <si>
    <t>EL100V22527006402107</t>
  </si>
  <si>
    <t>LOG-SRD26073441</t>
  </si>
  <si>
    <t>874399921537</t>
  </si>
  <si>
    <t>EL100V22532011038355</t>
  </si>
  <si>
    <t>LOG-SRD26073332</t>
  </si>
  <si>
    <t>874399527902</t>
  </si>
  <si>
    <t>AC3002140000807295</t>
  </si>
  <si>
    <t>LOG-CRP26072236</t>
  </si>
  <si>
    <t>874356934394</t>
  </si>
  <si>
    <t>EL100V22542002253087</t>
  </si>
  <si>
    <t>LOG-SRD26072403</t>
  </si>
  <si>
    <t>874354963354</t>
  </si>
  <si>
    <t>EL4002604235362146</t>
  </si>
  <si>
    <t>LOG-SRD26072402</t>
  </si>
  <si>
    <t>874352788599</t>
  </si>
  <si>
    <t>AC1802435001578484</t>
  </si>
  <si>
    <t>LOG-CRP26072140</t>
  </si>
  <si>
    <t>874350386169</t>
  </si>
  <si>
    <t>AC1802442002355773</t>
  </si>
  <si>
    <t>LOG-SRL26072053</t>
  </si>
  <si>
    <t>874349396659</t>
  </si>
  <si>
    <t>FP2604137071496</t>
  </si>
  <si>
    <t>LOG-SRL26072073</t>
  </si>
  <si>
    <t>874350305338</t>
  </si>
  <si>
    <t>EL100V22537012017994</t>
  </si>
  <si>
    <t>LOG-SRL26073611</t>
  </si>
  <si>
    <t>874290703451</t>
  </si>
  <si>
    <t>EL100V22532031490099</t>
  </si>
  <si>
    <t>LOG-SRL26071881</t>
  </si>
  <si>
    <t>874289169525</t>
  </si>
  <si>
    <t>EL100V22537005256355</t>
  </si>
  <si>
    <t>LOG-SRL26071866</t>
  </si>
  <si>
    <t>874288041990</t>
  </si>
  <si>
    <t>AC1802411002158064</t>
  </si>
  <si>
    <t>LOG-CRP26071850</t>
  </si>
  <si>
    <t>874284543204</t>
  </si>
  <si>
    <t>EL30V</t>
  </si>
  <si>
    <t>EL30V22617131159222</t>
  </si>
  <si>
    <t>LOG-SRD26071818</t>
  </si>
  <si>
    <t>874284365236</t>
  </si>
  <si>
    <t>AC3002512000790361</t>
  </si>
  <si>
    <t>LOG-SRI26071814</t>
  </si>
  <si>
    <t>874283142645</t>
  </si>
  <si>
    <t>EL100V22525020071055</t>
  </si>
  <si>
    <t>LOG-SRL26071810</t>
  </si>
  <si>
    <t>874280719368</t>
  </si>
  <si>
    <t>AC200L2441001179415</t>
  </si>
  <si>
    <t>LOG-SRL26071782</t>
  </si>
  <si>
    <t>874276968840</t>
  </si>
  <si>
    <t>EL3002610132713288</t>
  </si>
  <si>
    <t>LOG-SRL26072015</t>
  </si>
  <si>
    <t>874252749187</t>
  </si>
  <si>
    <t>874207551259</t>
  </si>
  <si>
    <t>AC702539011206091</t>
  </si>
  <si>
    <t>LOG-SRD26073438</t>
  </si>
  <si>
    <t>874206828837</t>
  </si>
  <si>
    <t>EL3002613135066933</t>
  </si>
  <si>
    <t>LOG-SRD26071539</t>
  </si>
  <si>
    <t>874206087834</t>
  </si>
  <si>
    <t>EL100V22539001340413</t>
  </si>
  <si>
    <t>LOG-SRL26071531</t>
  </si>
  <si>
    <t>874202849656</t>
  </si>
  <si>
    <t>EL100V22542003581853</t>
  </si>
  <si>
    <t>LOG-SRL26071997</t>
  </si>
  <si>
    <t>874200404197</t>
  </si>
  <si>
    <t>EL100V22532000220296</t>
  </si>
  <si>
    <t>LOG-SRD26072366</t>
  </si>
  <si>
    <t>874199745095</t>
  </si>
  <si>
    <t>EL100V22535000999492</t>
  </si>
  <si>
    <t>LOG-SRL26071465</t>
  </si>
  <si>
    <t>874199056704</t>
  </si>
  <si>
    <t>AC200L2451000880622</t>
  </si>
  <si>
    <t>LOG-SRL26071448</t>
  </si>
  <si>
    <t>874150247998</t>
  </si>
  <si>
    <t>EL100V22532030940566</t>
  </si>
  <si>
    <t>LOG-SRL26071323</t>
  </si>
  <si>
    <t>874148614747</t>
  </si>
  <si>
    <t>BC2002603133775644</t>
  </si>
  <si>
    <t>LOG-SRD26071299</t>
  </si>
  <si>
    <t>874147241971</t>
  </si>
  <si>
    <t>EL100V22522010423113</t>
  </si>
  <si>
    <t>LOG-SRL26071276</t>
  </si>
  <si>
    <t>874146533931</t>
  </si>
  <si>
    <t>EL100V22523100352974</t>
  </si>
  <si>
    <t>LOG-SRL26071262</t>
  </si>
  <si>
    <t>874145467698</t>
  </si>
  <si>
    <t>AC1802452001975363</t>
  </si>
  <si>
    <t>LOG-SRL26071244</t>
  </si>
  <si>
    <t>874145228294</t>
  </si>
  <si>
    <t>EL30V22616130373363</t>
  </si>
  <si>
    <t>LOG-SRD26071242</t>
  </si>
  <si>
    <t>874143420642</t>
  </si>
  <si>
    <t>EL100V22545130139138</t>
  </si>
  <si>
    <t>LOG-SRD26071217</t>
  </si>
  <si>
    <t>874140339270</t>
  </si>
  <si>
    <t>EL100V22541001969167</t>
  </si>
  <si>
    <t>LOG-SRL26071179</t>
  </si>
  <si>
    <t>874095894992</t>
  </si>
  <si>
    <t>B300K</t>
  </si>
  <si>
    <t>B300K2541003524321</t>
  </si>
  <si>
    <t>874095731138</t>
  </si>
  <si>
    <t>B300K2541003517353</t>
  </si>
  <si>
    <t>LOG-SRD26071110</t>
  </si>
  <si>
    <t>874095660326</t>
  </si>
  <si>
    <t>B300K2541004046266</t>
  </si>
  <si>
    <t>874095581056</t>
  </si>
  <si>
    <t>AP3002606132467317</t>
  </si>
  <si>
    <t>874094969130</t>
  </si>
  <si>
    <t>AC180P</t>
  </si>
  <si>
    <t>AC180P2436000672684</t>
  </si>
  <si>
    <t>LOG-SRL26071105</t>
  </si>
  <si>
    <t>874088892027</t>
  </si>
  <si>
    <t>EL3002610133089791</t>
  </si>
  <si>
    <t>LOG-SRL26071019</t>
  </si>
  <si>
    <t>874087725260</t>
  </si>
  <si>
    <t>EL100V22532031082356</t>
  </si>
  <si>
    <t>LOG-SRL26071003</t>
  </si>
  <si>
    <t>874087509761</t>
  </si>
  <si>
    <t>EL100V22532031253432</t>
  </si>
  <si>
    <t>LOG-SRL26070999</t>
  </si>
  <si>
    <t>874086007450</t>
  </si>
  <si>
    <t>EL100V22542001313262</t>
  </si>
  <si>
    <t>LOG-SRL26070971</t>
  </si>
  <si>
    <t>874085878859</t>
  </si>
  <si>
    <t>AC1802534002776785</t>
  </si>
  <si>
    <t>LOG-SRD26070969</t>
  </si>
  <si>
    <t>874085323892</t>
  </si>
  <si>
    <t>AC1802436006185857</t>
  </si>
  <si>
    <t>LOG-SRL26070963</t>
  </si>
  <si>
    <t>874085171465</t>
  </si>
  <si>
    <t>EL100V22542002821789</t>
  </si>
  <si>
    <t>LOG-SRL26070954</t>
  </si>
  <si>
    <t>874085169204</t>
  </si>
  <si>
    <t>EL100V22526090615723</t>
  </si>
  <si>
    <t>LOG-CRP26070960</t>
  </si>
  <si>
    <t>874042653905</t>
  </si>
  <si>
    <t>EL3002613132691982</t>
  </si>
  <si>
    <t>LOG-SRL26070958</t>
  </si>
  <si>
    <t>874039858376</t>
  </si>
  <si>
    <t>AC1802441001023528</t>
  </si>
  <si>
    <t>LOG-SRL26073411</t>
  </si>
  <si>
    <t>874036973093</t>
  </si>
  <si>
    <t>FP2543112120624</t>
  </si>
  <si>
    <t>LOG-SRD26071378</t>
  </si>
  <si>
    <t>874033170005</t>
  </si>
  <si>
    <t>Elite 200 V22541002249456</t>
  </si>
  <si>
    <t>LOG-SRD26070884</t>
  </si>
  <si>
    <t>874031949101</t>
  </si>
  <si>
    <t>EL3002613132055849</t>
  </si>
  <si>
    <t>LOG-SRD26070956</t>
  </si>
  <si>
    <t>874031007832</t>
  </si>
  <si>
    <t>Elite 200 V22522001840521</t>
  </si>
  <si>
    <t>LOG-SRL26070825</t>
  </si>
  <si>
    <t>874028982045</t>
  </si>
  <si>
    <t>EL100V22540003355860</t>
  </si>
  <si>
    <t>LOG-SRL26070789</t>
  </si>
  <si>
    <t>874027781816</t>
  </si>
  <si>
    <t>AC702549233529809</t>
  </si>
  <si>
    <t>LOG-SRD26070770</t>
  </si>
  <si>
    <t>874026150582</t>
  </si>
  <si>
    <t>EL3002609134369156</t>
  </si>
  <si>
    <t>LOG-SRL26070756</t>
  </si>
  <si>
    <t>874009375269</t>
  </si>
  <si>
    <t>BC2002548131905223</t>
  </si>
  <si>
    <t>LOG-SRD26070732</t>
  </si>
  <si>
    <t>873982034526</t>
  </si>
  <si>
    <t>B500K</t>
  </si>
  <si>
    <t>B500K2548131349613</t>
  </si>
  <si>
    <t>LOG-SRD26070955</t>
  </si>
  <si>
    <t>873970977872</t>
  </si>
  <si>
    <t>EL100V22541000391554</t>
  </si>
  <si>
    <t>LOG-SRL26070882</t>
  </si>
  <si>
    <t>873968966408</t>
  </si>
  <si>
    <t>EL100V22525510790109</t>
  </si>
  <si>
    <t>LOG-SRL26070668</t>
  </si>
  <si>
    <t>873967903896</t>
  </si>
  <si>
    <t>EL30V22539000645863</t>
  </si>
  <si>
    <t>LOG-SRL26070651</t>
  </si>
  <si>
    <t>873966246974</t>
  </si>
  <si>
    <t>EL100V22540002578241</t>
  </si>
  <si>
    <t>LOG-SRL26070642</t>
  </si>
  <si>
    <t>873965250992</t>
  </si>
  <si>
    <t>AP3002514008008536</t>
  </si>
  <si>
    <t>LOG-SRL26070632</t>
  </si>
  <si>
    <t>873964145814</t>
  </si>
  <si>
    <t>EL100V22527005746151</t>
  </si>
  <si>
    <t>LOG-SRL26070820</t>
  </si>
  <si>
    <t>873964041286</t>
  </si>
  <si>
    <t>AC1802419000816877</t>
  </si>
  <si>
    <t>LOG-SRL26070623</t>
  </si>
  <si>
    <t>873963892087</t>
  </si>
  <si>
    <t>AC200L2449000953954</t>
  </si>
  <si>
    <t>LOG-SRL26070622</t>
  </si>
  <si>
    <t>873963408616</t>
  </si>
  <si>
    <t>EL100V22532010208560</t>
  </si>
  <si>
    <t>LOG-SRL26070616</t>
  </si>
  <si>
    <t>873956334836</t>
  </si>
  <si>
    <t>AC500</t>
  </si>
  <si>
    <t>AC5002452000245165</t>
  </si>
  <si>
    <t>LOG-SRL26070934</t>
  </si>
  <si>
    <t>873942029979</t>
  </si>
  <si>
    <t>EL100V22532030948697</t>
  </si>
  <si>
    <t>LOG-SRD26070566</t>
  </si>
  <si>
    <t>873941715541</t>
  </si>
  <si>
    <t>AC50B2547231919958</t>
  </si>
  <si>
    <t>LOG-SRD26070878</t>
  </si>
  <si>
    <t>873941111469</t>
  </si>
  <si>
    <t>AC702540002003470</t>
  </si>
  <si>
    <t>LOG-SRD26070649</t>
  </si>
  <si>
    <t>873915271930</t>
  </si>
  <si>
    <t>AC702540000453560</t>
  </si>
  <si>
    <t>LOG-SRD26070567</t>
  </si>
  <si>
    <t>873914785670</t>
  </si>
  <si>
    <t>EL100V22542002250703</t>
  </si>
  <si>
    <t>LOG-SRL26070470</t>
  </si>
  <si>
    <t>873913263995</t>
  </si>
  <si>
    <t>EL100V22541001452990</t>
  </si>
  <si>
    <t>LOG-SRL26070445</t>
  </si>
  <si>
    <t>873910736860</t>
  </si>
  <si>
    <t>EL100V22542003624397</t>
  </si>
  <si>
    <t>873910359390</t>
  </si>
  <si>
    <t>EL100V22532070085748</t>
  </si>
  <si>
    <t>LOG-SRL26070871</t>
  </si>
  <si>
    <t>873909174173</t>
  </si>
  <si>
    <t>EL3002613131868311</t>
  </si>
  <si>
    <t>LOG-CRP26070394</t>
  </si>
  <si>
    <t>873867357360</t>
  </si>
  <si>
    <t>EL4002538211414193</t>
  </si>
  <si>
    <t>LOG-SRL26070337</t>
  </si>
  <si>
    <t>873866458032</t>
  </si>
  <si>
    <t>AC1802451004304094</t>
  </si>
  <si>
    <t>LOG-SRL26070332</t>
  </si>
  <si>
    <t>873861801661</t>
  </si>
  <si>
    <t>AC2A2348000291983</t>
  </si>
  <si>
    <t>LOG-CRP26074175</t>
  </si>
  <si>
    <t>873861658919</t>
  </si>
  <si>
    <t>背包</t>
  </si>
  <si>
    <t>No SN</t>
  </si>
  <si>
    <t>LOG-SRD26070271</t>
  </si>
  <si>
    <t>873857958281</t>
  </si>
  <si>
    <t>EL100V22542130445084</t>
  </si>
  <si>
    <t>LOG-SRL26071212</t>
  </si>
  <si>
    <t>873857594738</t>
  </si>
  <si>
    <t>AC1802520100618684</t>
  </si>
  <si>
    <t>LOG-SRL26070232</t>
  </si>
  <si>
    <t>873857232775</t>
  </si>
  <si>
    <t>CHARGER 22605139779702</t>
  </si>
  <si>
    <t>LOG-SRD26070229</t>
  </si>
  <si>
    <t>873857070792</t>
  </si>
  <si>
    <t>B300K2541004272622</t>
  </si>
  <si>
    <t>LOG-SRD26070227</t>
  </si>
  <si>
    <t>873856999804</t>
  </si>
  <si>
    <t>AP3002606132505012</t>
  </si>
  <si>
    <t>873856906303</t>
  </si>
  <si>
    <t>EL100V22532070070024</t>
  </si>
  <si>
    <t>LOG-SRL26070408</t>
  </si>
  <si>
    <t>873855911898</t>
  </si>
  <si>
    <t>AC180P2547138070371</t>
  </si>
  <si>
    <t>LOG-SRL26070217</t>
  </si>
  <si>
    <t>873814694782</t>
  </si>
  <si>
    <t>AC1802439001099683</t>
  </si>
  <si>
    <t>LOG-CRP26070869</t>
  </si>
  <si>
    <t>873812786100</t>
  </si>
  <si>
    <t>DMM40-252PV35000242</t>
  </si>
  <si>
    <t>873809596522</t>
  </si>
  <si>
    <t>Elite 200 V22543134271597</t>
  </si>
  <si>
    <t>LOG-SRD26070145</t>
  </si>
  <si>
    <t>873808852054</t>
  </si>
  <si>
    <t>FP2604139141537</t>
  </si>
  <si>
    <t>LOG-SRL26070135</t>
  </si>
  <si>
    <t>873807141577</t>
  </si>
  <si>
    <t>EL100V22525511822555</t>
  </si>
  <si>
    <t>LOG-CRP26070116</t>
  </si>
  <si>
    <t>873806431486</t>
  </si>
  <si>
    <t>EL100V22541001516172</t>
  </si>
  <si>
    <t>LOG-SRL26070096</t>
  </si>
  <si>
    <t>873805604665</t>
  </si>
  <si>
    <t>EL100V22540001100382</t>
  </si>
  <si>
    <t>LOG-SRL26070089</t>
  </si>
  <si>
    <t>873804755283</t>
  </si>
  <si>
    <t>FP2604139100585</t>
  </si>
  <si>
    <t>LOG-SRL26070086</t>
  </si>
  <si>
    <t>873804075069</t>
  </si>
  <si>
    <t>AC1802420000351549</t>
  </si>
  <si>
    <t>LOG-SRL26070077</t>
  </si>
  <si>
    <t>873803439087</t>
  </si>
  <si>
    <t>LOG-CRP26070066</t>
  </si>
  <si>
    <t>872732293053</t>
  </si>
  <si>
    <t>AC1802443001422018</t>
  </si>
  <si>
    <t>LOG-CRP26060658</t>
  </si>
  <si>
    <t>872831064790</t>
  </si>
  <si>
    <t>CHARGER2</t>
  </si>
  <si>
    <t>CHARGER22605139113776</t>
  </si>
  <si>
    <t>LOG-SRN26060945</t>
  </si>
  <si>
    <t>机型</t>
  </si>
  <si>
    <t>基础表记录数</t>
  </si>
  <si>
    <t>匹配依据：基础表跟踪号 ↔ 收货记录物流单号；FedEx纯数字长单号取后12位。</t>
  </si>
  <si>
    <t>同单多条记录保留全部不同机型；未匹配记录不推测机型。</t>
  </si>
  <si>
    <t>来源：美国Logistar仓收件登记表-更新版9.02.csv（行号含前两行表头）</t>
  </si>
  <si>
    <t>机型为空</t>
  </si>
  <si>
    <t>已匹配合计</t>
  </si>
  <si>
    <t>基础表记录合计</t>
  </si>
  <si>
    <t>实际重量单位</t>
  </si>
  <si>
    <t>计费重量</t>
  </si>
  <si>
    <t>计费重量单位</t>
  </si>
  <si>
    <t>预估重量</t>
  </si>
  <si>
    <t>预估重量单位</t>
  </si>
  <si>
    <t>寄件人州/省</t>
  </si>
  <si>
    <t>寄件人城市</t>
  </si>
  <si>
    <t>收件人州/省</t>
  </si>
  <si>
    <t>收件人城市</t>
  </si>
  <si>
    <t>成本表匹配状态</t>
  </si>
  <si>
    <t>申报单重（订单导出原值）</t>
  </si>
  <si>
    <t>申报重量单位</t>
  </si>
  <si>
    <t>申报商品及单重明细</t>
  </si>
  <si>
    <t>lbs</t>
  </si>
  <si>
    <t>kgs</t>
  </si>
  <si>
    <t>MD</t>
  </si>
  <si>
    <t>LAUREL</t>
  </si>
  <si>
    <t>NJ</t>
  </si>
  <si>
    <t>NEW BRUNSWICK</t>
  </si>
  <si>
    <t>Elite 200 V2：28.985</t>
  </si>
  <si>
    <t>FL</t>
  </si>
  <si>
    <t>LAKE WORTH</t>
  </si>
  <si>
    <t>AC70：10.433</t>
  </si>
  <si>
    <t>AL</t>
  </si>
  <si>
    <t>MAYLENE</t>
  </si>
  <si>
    <t>商品名称为空：0</t>
  </si>
  <si>
    <t>LA</t>
  </si>
  <si>
    <t>PRAIRIEVILLE</t>
  </si>
  <si>
    <t>AC180：17.237</t>
  </si>
  <si>
    <t>IL</t>
  </si>
  <si>
    <t>ALBION</t>
  </si>
  <si>
    <t>EL100V2：11.34</t>
  </si>
  <si>
    <t>TX</t>
  </si>
  <si>
    <t>HOUSTON</t>
  </si>
  <si>
    <t>AR</t>
  </si>
  <si>
    <t>FRANKLIN</t>
  </si>
  <si>
    <t>EVERGLADES CITY</t>
  </si>
  <si>
    <t>Elite 300：1</t>
  </si>
  <si>
    <t>PV350：1</t>
  </si>
  <si>
    <t>OH</t>
  </si>
  <si>
    <t>LISBON</t>
  </si>
  <si>
    <t>Elite 100 V2：1</t>
  </si>
  <si>
    <t>PUNTA GORDA</t>
  </si>
  <si>
    <t>EB3A：5.897</t>
  </si>
  <si>
    <t>LONGBOAT KEY</t>
  </si>
  <si>
    <t>NC</t>
  </si>
  <si>
    <t>FUQUAY VARINA</t>
  </si>
  <si>
    <t>METAIRIE</t>
  </si>
  <si>
    <t>MI</t>
  </si>
  <si>
    <t>ANN ARBOR</t>
  </si>
  <si>
    <t>CT</t>
  </si>
  <si>
    <t>STERLING</t>
  </si>
  <si>
    <t>NY</t>
  </si>
  <si>
    <t>BROOKLYN</t>
  </si>
  <si>
    <t>AC200MAX：19.504</t>
  </si>
  <si>
    <t>BOCA RATON</t>
  </si>
  <si>
    <t>Elite 300：0</t>
  </si>
  <si>
    <t>KY</t>
  </si>
  <si>
    <t>GEORGETOWN</t>
  </si>
  <si>
    <t>AC50B：5.897</t>
  </si>
  <si>
    <t>NEW SMYRNA BEACH</t>
  </si>
  <si>
    <t>GA</t>
  </si>
  <si>
    <t>NEWNAN</t>
  </si>
  <si>
    <t>EB3A：1</t>
  </si>
  <si>
    <t>MT</t>
  </si>
  <si>
    <t>MISSOULA</t>
  </si>
  <si>
    <t>WI</t>
  </si>
  <si>
    <t>WAUPUN</t>
  </si>
  <si>
    <t>Elite 400：1</t>
  </si>
  <si>
    <t>FREEPORT</t>
  </si>
  <si>
    <t>RIDGEFIELD</t>
  </si>
  <si>
    <t>PV350：18.6</t>
  </si>
  <si>
    <t>WAYCROSS</t>
  </si>
  <si>
    <t>ME</t>
  </si>
  <si>
    <t>WINTHROP</t>
  </si>
  <si>
    <t>ROSEBORO</t>
  </si>
  <si>
    <t>HOPE</t>
  </si>
  <si>
    <t>AC70：1</t>
  </si>
  <si>
    <t>LUTHERVILLE TIMONIUM</t>
  </si>
  <si>
    <t>AC70：0</t>
  </si>
  <si>
    <t>BOERNE</t>
  </si>
  <si>
    <t>ELITE100V2：19.504</t>
  </si>
  <si>
    <t>ORLANDO</t>
  </si>
  <si>
    <t>AC70：7.711</t>
  </si>
  <si>
    <t>TN</t>
  </si>
  <si>
    <t>CAMDEN</t>
  </si>
  <si>
    <t>LARGO</t>
  </si>
  <si>
    <t>MATTHEWS</t>
  </si>
  <si>
    <t>AC180：1</t>
  </si>
  <si>
    <t>MN</t>
  </si>
  <si>
    <t>BEMIDJI</t>
  </si>
  <si>
    <t>WARNER ROBINS</t>
  </si>
  <si>
    <t>AC180：10.433</t>
  </si>
  <si>
    <t>ENFIELD</t>
  </si>
  <si>
    <t>EL300：25.401</t>
  </si>
  <si>
    <t>HEBRON</t>
  </si>
  <si>
    <t>VT</t>
  </si>
  <si>
    <t>BARNARD</t>
  </si>
  <si>
    <t>SC</t>
  </si>
  <si>
    <t>COLUMBIA</t>
  </si>
  <si>
    <t>BlueCell 200：18</t>
  </si>
  <si>
    <t>PA</t>
  </si>
  <si>
    <t>SOUTHAMPTON</t>
  </si>
  <si>
    <t>FridgePower：20</t>
  </si>
  <si>
    <t>VA</t>
  </si>
  <si>
    <t>KENBRIDGE</t>
  </si>
  <si>
    <t>EAST HAMPTON</t>
  </si>
  <si>
    <t>ELITE100V2：10.433</t>
  </si>
  <si>
    <t>LEAGUE CITY</t>
  </si>
  <si>
    <t>SD</t>
  </si>
  <si>
    <t>BOX ELDER</t>
  </si>
  <si>
    <t>CARROLLTON</t>
  </si>
  <si>
    <t>LOUISVILLE</t>
  </si>
  <si>
    <t>MO</t>
  </si>
  <si>
    <t>JEFFERSON CITY</t>
  </si>
  <si>
    <t>CHICAGO</t>
  </si>
  <si>
    <t>GAFFNEY</t>
  </si>
  <si>
    <t>CLOQUET</t>
  </si>
  <si>
    <t>charger2：6</t>
  </si>
  <si>
    <t>SPRING</t>
  </si>
  <si>
    <t>BLUETTI AC70：11.385</t>
  </si>
  <si>
    <t>AC200L：1</t>
  </si>
  <si>
    <t>DELAND</t>
  </si>
  <si>
    <t>backpack：9</t>
  </si>
  <si>
    <t>DEBARY</t>
  </si>
  <si>
    <t>AC300：1</t>
  </si>
  <si>
    <t>BRUNSWICK</t>
  </si>
  <si>
    <t>ELITE300：26.308</t>
  </si>
  <si>
    <t>WENDELL</t>
  </si>
  <si>
    <t>PRAIRIE GROVE</t>
  </si>
  <si>
    <t>WACO</t>
  </si>
  <si>
    <t>ALIQUIPPA</t>
  </si>
  <si>
    <t>SolarX 4K：10.433</t>
  </si>
  <si>
    <t>SAINT LOUIS</t>
  </si>
  <si>
    <t>EL400：39.009</t>
  </si>
  <si>
    <t>WILMINGTON</t>
  </si>
  <si>
    <t>RV5：1</t>
  </si>
  <si>
    <t>HOSCHTON</t>
  </si>
  <si>
    <t>ELITE200V2：19.504</t>
  </si>
  <si>
    <t>MS</t>
  </si>
  <si>
    <t>LANCASTER</t>
  </si>
  <si>
    <t>MEMPHIS</t>
  </si>
  <si>
    <t>AUBURN</t>
  </si>
  <si>
    <t>WA</t>
  </si>
  <si>
    <t>KELSO</t>
  </si>
  <si>
    <t>AC180：7.5</t>
  </si>
  <si>
    <t>NEW ORLEANS</t>
  </si>
  <si>
    <t>HAWLEY</t>
  </si>
  <si>
    <t>CHAMBERSBURG</t>
  </si>
  <si>
    <t>ALTOONA</t>
  </si>
  <si>
    <t>B300：1</t>
  </si>
  <si>
    <t>MA</t>
  </si>
  <si>
    <t>WESTBOROUGH</t>
  </si>
  <si>
    <t>HARRISONBURG</t>
  </si>
  <si>
    <t>MIRAMAR BEACH</t>
  </si>
  <si>
    <t>DECATUR</t>
  </si>
  <si>
    <t>HIALEAH</t>
  </si>
  <si>
    <t>CLINTON TOWNSHIP</t>
  </si>
  <si>
    <t>SUMMERFIELD</t>
  </si>
  <si>
    <t>NH</t>
  </si>
  <si>
    <t>CENTER SANDWICH</t>
  </si>
  <si>
    <t>BOONE</t>
  </si>
  <si>
    <t>ELITE400：27.216</t>
  </si>
  <si>
    <t>AC180：0</t>
  </si>
  <si>
    <t>CONWAY</t>
  </si>
  <si>
    <t>CARLISLE</t>
  </si>
  <si>
    <t>FLORAL CITY</t>
  </si>
  <si>
    <t>CA</t>
  </si>
  <si>
    <t>TULARE</t>
  </si>
  <si>
    <t>ARCADIA</t>
  </si>
  <si>
    <t>SAN BERNARDINO</t>
  </si>
  <si>
    <t>OR</t>
  </si>
  <si>
    <t>ESTACADA</t>
  </si>
  <si>
    <t>CO</t>
  </si>
  <si>
    <t>CORTEZ</t>
  </si>
  <si>
    <t>SEATTLE</t>
  </si>
  <si>
    <t>LAKE STEVENS</t>
  </si>
  <si>
    <t>UT</t>
  </si>
  <si>
    <t>ENTERPRISE</t>
  </si>
  <si>
    <t>NM</t>
  </si>
  <si>
    <t>TAOS</t>
  </si>
  <si>
    <t>DAVIS</t>
  </si>
  <si>
    <t>JOHN DAY</t>
  </si>
  <si>
    <t>Austin</t>
  </si>
  <si>
    <t>NV</t>
  </si>
  <si>
    <t>HENDERSON</t>
  </si>
  <si>
    <t>DRAKE</t>
  </si>
  <si>
    <t>SPRINGFIELD</t>
  </si>
  <si>
    <t>ID</t>
  </si>
  <si>
    <t>BOISE</t>
  </si>
  <si>
    <t>CHANTILLY</t>
  </si>
  <si>
    <t>MADISON</t>
  </si>
  <si>
    <t>EAST LONGMEADOW</t>
  </si>
  <si>
    <t>DURANGO</t>
  </si>
  <si>
    <t>HATTIESBURG</t>
  </si>
  <si>
    <t>FORT LAUDERDALE</t>
  </si>
  <si>
    <t>SHAPLEIGH</t>
  </si>
  <si>
    <t>KS</t>
  </si>
  <si>
    <t>LAWRENCE</t>
  </si>
  <si>
    <t>Charger 1：3.629</t>
  </si>
  <si>
    <t>Apex300：1</t>
  </si>
  <si>
    <t>AC2A：0</t>
  </si>
  <si>
    <t>FridgePower：19.731</t>
  </si>
  <si>
    <t>EL300：26.308</t>
  </si>
  <si>
    <t>Fridge Power：0</t>
  </si>
  <si>
    <t>B300K：0</t>
  </si>
  <si>
    <t>AC200L：25.401</t>
  </si>
  <si>
    <t>AC50B：6.713</t>
  </si>
  <si>
    <t>B300S：29.484</t>
  </si>
  <si>
    <t>ELITE200V2：21.772</t>
  </si>
  <si>
    <t>Apex 300：43</t>
  </si>
  <si>
    <t>BLUETTI Elite 100 V2：13.608</t>
  </si>
  <si>
    <t>B300S：1</t>
  </si>
  <si>
    <t>商品名称为空：1</t>
  </si>
  <si>
    <t>AC50B：6.804</t>
  </si>
  <si>
    <t>SARATOGA SPRINGS</t>
  </si>
  <si>
    <t>AC70P：9.072</t>
  </si>
  <si>
    <t>DENVER</t>
  </si>
  <si>
    <t>LEHIGH ACRES</t>
  </si>
  <si>
    <t>KERNERSVILLE</t>
  </si>
  <si>
    <t>AP300：38.102</t>
  </si>
  <si>
    <t>AC70：8.165</t>
  </si>
  <si>
    <t>AC200L：21.772</t>
  </si>
  <si>
    <t>FRANKLINTON</t>
  </si>
  <si>
    <t>VERO BEACH</t>
  </si>
  <si>
    <t>BOSTON</t>
  </si>
  <si>
    <t>MILL CREEK</t>
  </si>
  <si>
    <t>AVON LAKE</t>
  </si>
  <si>
    <t>HAMDEN</t>
  </si>
  <si>
    <t>AC200L：19.504</t>
  </si>
  <si>
    <t>FREDONIA</t>
  </si>
  <si>
    <t>Elite 100 V2：0</t>
  </si>
  <si>
    <t>STEVENS</t>
  </si>
  <si>
    <t>ORLEANS</t>
  </si>
  <si>
    <t>ALTENBURG</t>
  </si>
  <si>
    <t>B4810：1</t>
  </si>
  <si>
    <t>SAINT CLAIRSVILLE</t>
  </si>
  <si>
    <t>MAMARONECK</t>
  </si>
  <si>
    <t>NUTLEY</t>
  </si>
  <si>
    <t>DE</t>
  </si>
  <si>
    <t>MIDDLETOWN</t>
  </si>
  <si>
    <t>AC300：29.484</t>
  </si>
  <si>
    <t>MIAMI BEACH</t>
  </si>
  <si>
    <t>COOPERSBURG</t>
  </si>
  <si>
    <t>WV</t>
  </si>
  <si>
    <t>ONA</t>
  </si>
  <si>
    <t>CORAL SPRINGS</t>
  </si>
  <si>
    <t>KATHLEEN</t>
  </si>
  <si>
    <t>BALLWIN</t>
  </si>
  <si>
    <t>HINGHAM</t>
  </si>
  <si>
    <t>EL300：27.442</t>
  </si>
  <si>
    <t>WALKER</t>
  </si>
  <si>
    <t>BROWNVILLE</t>
  </si>
  <si>
    <t>EL100V2：0</t>
  </si>
  <si>
    <t>MILTON</t>
  </si>
  <si>
    <t>BOSSIER CITY</t>
  </si>
  <si>
    <t>WEEDSPORT</t>
  </si>
  <si>
    <t>THOMSON</t>
  </si>
  <si>
    <t>TROY</t>
  </si>
  <si>
    <t>SUMTER</t>
  </si>
  <si>
    <t>FAIRFIELD</t>
  </si>
  <si>
    <t>AC200L：24.494</t>
  </si>
  <si>
    <t>WAYNESVILLE</t>
  </si>
  <si>
    <t>FREEDOM</t>
  </si>
  <si>
    <t>CALLAWAY</t>
  </si>
  <si>
    <t>AC300：25</t>
  </si>
  <si>
    <t>GASTONIA</t>
  </si>
  <si>
    <t>NAPLES</t>
  </si>
  <si>
    <t>ELITE400：25.401</t>
  </si>
  <si>
    <t>UNION</t>
  </si>
  <si>
    <t>EASTON</t>
  </si>
  <si>
    <t>IN</t>
  </si>
  <si>
    <t>MARTINSVILLE</t>
  </si>
  <si>
    <t>PITTSBURG</t>
  </si>
  <si>
    <t>LONG BEACH</t>
  </si>
  <si>
    <t>5 / 2</t>
  </si>
  <si>
    <t>elite30v2：5；60w：2</t>
  </si>
  <si>
    <t>JONESBORO</t>
  </si>
  <si>
    <t>CHARLESTON</t>
  </si>
  <si>
    <t>DOYLESTOWN</t>
  </si>
  <si>
    <t>GRANT</t>
  </si>
  <si>
    <t>30 / 30</t>
  </si>
  <si>
    <t>elite300：30；elite300：30</t>
  </si>
  <si>
    <t>WILLOW SPRINGS</t>
  </si>
  <si>
    <t>elite 100v2：13</t>
  </si>
  <si>
    <t>ATLANTA</t>
  </si>
  <si>
    <t>BALDWINSVILLE</t>
  </si>
  <si>
    <t>BLUETTI Elite 100 V2：12.338</t>
  </si>
  <si>
    <t>MERRIMACK</t>
  </si>
  <si>
    <t>LITTLE ELM</t>
  </si>
  <si>
    <t>RALEIGH</t>
  </si>
  <si>
    <t>ACWORTH</t>
  </si>
  <si>
    <t>MCHENRY</t>
  </si>
  <si>
    <t>Elite 30 V2：8</t>
  </si>
  <si>
    <t>PETOSKEY</t>
  </si>
  <si>
    <t>b300K：1</t>
  </si>
  <si>
    <t>B300K：1</t>
  </si>
  <si>
    <t>Apex 300：1</t>
  </si>
  <si>
    <t>INVERNESS</t>
  </si>
  <si>
    <t>AC180P：17.237</t>
  </si>
  <si>
    <t>OK</t>
  </si>
  <si>
    <t>BETHANY</t>
  </si>
  <si>
    <t>STEPHENS CITY</t>
  </si>
  <si>
    <t>LABADIE</t>
  </si>
  <si>
    <t>PALMETTO</t>
  </si>
  <si>
    <t>CHARLOTTE</t>
  </si>
  <si>
    <t>NAPERVILLE</t>
  </si>
  <si>
    <t>PITTSBURGH</t>
  </si>
  <si>
    <t>ELKRIDGE</t>
  </si>
  <si>
    <t>Elite 100 V2：15</t>
  </si>
  <si>
    <t>DUPONT</t>
  </si>
  <si>
    <t>LIMA</t>
  </si>
  <si>
    <t>AC180：5.443</t>
  </si>
  <si>
    <t>FRPOWER：21.5</t>
  </si>
  <si>
    <t>GURNEE</t>
  </si>
  <si>
    <t>BLUETTI Elite 200 V2：29.03</t>
  </si>
  <si>
    <t>MIAMI</t>
  </si>
  <si>
    <t>ELITE300：24.04</t>
  </si>
  <si>
    <t>MINNEAPOLIS</t>
  </si>
  <si>
    <t>EL200V2：25.401</t>
  </si>
  <si>
    <t>NEW RICHMOND</t>
  </si>
  <si>
    <t>Elite 100：1</t>
  </si>
  <si>
    <t>RICHMOND HILL</t>
  </si>
  <si>
    <t>AC70：10.206</t>
  </si>
  <si>
    <t>GREENVILLE</t>
  </si>
  <si>
    <t>OPELIKA</t>
  </si>
  <si>
    <t>WAKE FOREST</t>
  </si>
  <si>
    <t>B500K：48.217</t>
  </si>
  <si>
    <t>TAMPA</t>
  </si>
  <si>
    <t>BLUETTI Elite 100 V2：9.888</t>
  </si>
  <si>
    <t>CHICKASHA</t>
  </si>
  <si>
    <t>WHITE LAKE</t>
  </si>
  <si>
    <t>EL30V2：4.536</t>
  </si>
  <si>
    <t>IA</t>
  </si>
  <si>
    <t>MARION</t>
  </si>
  <si>
    <t>WESTON</t>
  </si>
  <si>
    <t>AP300：0</t>
  </si>
  <si>
    <t>WHITEHOUSE STATION</t>
  </si>
  <si>
    <t>PIEDMONT</t>
  </si>
  <si>
    <t>ATTLEBORO</t>
  </si>
  <si>
    <t>BLOUNTVILLE</t>
  </si>
  <si>
    <t>AUSTIN</t>
  </si>
  <si>
    <t>NE</t>
  </si>
  <si>
    <t>ELKHORN</t>
  </si>
  <si>
    <t>LOXAHATCHEE</t>
  </si>
  <si>
    <t>RIVERTON</t>
  </si>
  <si>
    <t>CULLMAN</t>
  </si>
  <si>
    <t>BLOUNTSVILLE</t>
  </si>
  <si>
    <t>DAYTON</t>
  </si>
  <si>
    <t>ALPHARETTA</t>
  </si>
  <si>
    <t>HOMOSASSA</t>
  </si>
  <si>
    <t>ITHACA</t>
  </si>
  <si>
    <t>LEWISTOWN</t>
  </si>
  <si>
    <t>AC2A：3.629</t>
  </si>
  <si>
    <t>CLAWSON</t>
  </si>
  <si>
    <t>BP：1.361</t>
  </si>
  <si>
    <t>ASHEVILLE</t>
  </si>
  <si>
    <t>TOLEDO</t>
  </si>
  <si>
    <t>charger 2：1</t>
  </si>
  <si>
    <t>SPEARFISH</t>
  </si>
  <si>
    <t>LANDISVILLE</t>
  </si>
  <si>
    <t>NEW CASTLE</t>
  </si>
  <si>
    <t>BALLSTON SPA</t>
  </si>
  <si>
    <t>14 / 14</t>
  </si>
  <si>
    <t>350W：14；350W：14</t>
  </si>
  <si>
    <t>ROCKVILLE</t>
  </si>
  <si>
    <t>Elite 200 v2：0</t>
  </si>
  <si>
    <t>BIRMINGHAM</t>
  </si>
  <si>
    <t>STRONGSVILLE</t>
  </si>
  <si>
    <t>CLERMONT</t>
  </si>
  <si>
    <t>SIOUX FALLS</t>
  </si>
  <si>
    <t>DALLAS</t>
  </si>
  <si>
    <t>Charger 2：1</t>
  </si>
  <si>
    <t>项目</t>
  </si>
  <si>
    <t>说明</t>
  </si>
  <si>
    <t>匹配依据</t>
  </si>
  <si>
    <t>基础表跟踪号与成本表跟踪单号匹配；纯数字长单号取后12位。</t>
  </si>
  <si>
    <t>匹配结果</t>
  </si>
  <si>
    <t>306条：251条已匹配，55条未匹配；成本表无重复匹配单号。</t>
  </si>
  <si>
    <t>尺寸口径</t>
  </si>
  <si>
    <t>成本表只有包裹长度、宽度、高度一组字段，未说明是申报还是实际；不能据此提供两套尺寸。</t>
  </si>
  <si>
    <t>申报尺寸</t>
  </si>
  <si>
    <t>本次两份文件未提供单独的申报长宽高，未推测或填造。</t>
  </si>
  <si>
    <t>重量口径</t>
  </si>
  <si>
    <t>分别保留实际重量、计费重量、预估重量及各自原始单位；预估重量未认定为申报重量。</t>
  </si>
  <si>
    <t>尺寸单位</t>
  </si>
  <si>
    <t>保留成本表原代码 C / I，便于核对。</t>
  </si>
  <si>
    <t>地址字段</t>
  </si>
  <si>
    <t>采用成本表当前寄件人、收件人的州/省和城市字段。</t>
  </si>
  <si>
    <t>来源</t>
  </si>
  <si>
    <t>bluetti 打单成本价_中文表头.xlsx，Data页；来源行号含首行表头。</t>
  </si>
  <si>
    <t>基础表</t>
  </si>
  <si>
    <t>采用本次读取的用户手动修改版本，保留原有8列数据、公式及原机型汇总。</t>
  </si>
  <si>
    <t>申报重量来源</t>
  </si>
  <si>
    <t>副本订单列表导出.xlsx，订单列表页“申报单重”；按服务商单号匹配。</t>
  </si>
  <si>
    <t>源表没有单位字段，本次不推定为kg或lb，不与成本表重量直接作差。</t>
  </si>
  <si>
    <t>多商品单号</t>
  </si>
  <si>
    <t>申报单重按商品分别列出；源表没有数量字段，因此不相加推算整票申报重量。</t>
  </si>
  <si>
    <t>零值</t>
  </si>
  <si>
    <t>源表申报单重为0的保留0，并在匹配状态中标记。</t>
  </si>
  <si>
    <t>重新匹配结果</t>
  </si>
  <si>
    <t>成本表251条匹配；订单导出277条匹配，29条未匹配。</t>
  </si>
  <si>
    <t>包裹长度</t>
    <phoneticPr fontId="5" type="noConversion"/>
  </si>
  <si>
    <t>包裹宽度</t>
    <phoneticPr fontId="5" type="noConversion"/>
  </si>
  <si>
    <t>包裹高度</t>
    <phoneticPr fontId="5" type="noConversion"/>
  </si>
  <si>
    <t>实际重量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</si>
</sst>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6" formatCode="\$#,##0.00_);[Red]\(\$#,##0.00\)"/>
    <numFmt numFmtId="176" formatCode="\$#,##0.00;\-\$#,##0.00"/>
    <numFmt numFmtId="177" formatCode="0.###"/>
  </numFmts>
  <fonts count="6" x14ac:knownFonts="1">
    <font>
      <sz val="11"/>
      <color theme="1"/>
      <name val="等线"/>
      <family val="2"/>
      <scheme val="minor"/>
    </font>
    <font>
      <b/>
      <sz val="14"/>
      <name val="等线"/>
      <family val="3"/>
      <scheme val="minor"/>
    </font>
    <font>
      <b/>
      <sz val="14"/>
      <color theme="1"/>
      <name val="等线"/>
      <family val="3"/>
      <scheme val="minor"/>
    </font>
    <font>
      <b/>
      <sz val="14"/>
      <color indexed="8"/>
      <name val="等线"/>
      <family val="3"/>
      <scheme val="minor"/>
    </font>
    <font>
      <b/>
      <sz val="11"/>
      <color rgb="FFFFFFFF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76" fontId="2" fillId="0" borderId="0" xfId="0" applyNumberFormat="1" applyFont="1" applyAlignment="1">
      <alignment horizontal="center" vertical="center"/>
    </xf>
    <xf numFmtId="26" fontId="1" fillId="2" borderId="1" xfId="0" applyNumberFormat="1" applyFont="1" applyFill="1" applyBorder="1" applyAlignment="1">
      <alignment horizontal="center" vertical="center" wrapText="1"/>
    </xf>
    <xf numFmtId="26" fontId="2" fillId="0" borderId="0" xfId="0" applyNumberFormat="1" applyFont="1" applyAlignment="1">
      <alignment vertical="center"/>
    </xf>
    <xf numFmtId="26" fontId="3" fillId="0" borderId="0" xfId="0" applyNumberFormat="1" applyFont="1" applyAlignment="1">
      <alignment vertical="center"/>
    </xf>
    <xf numFmtId="26" fontId="2" fillId="0" borderId="0" xfId="0" applyNumberFormat="1" applyFont="1" applyAlignment="1">
      <alignment horizontal="center" vertical="center"/>
    </xf>
    <xf numFmtId="26" fontId="0" fillId="0" borderId="0" xfId="0" applyNumberFormat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/>
    <xf numFmtId="0" fontId="4" fillId="4" borderId="0" xfId="0" applyNumberFormat="1" applyFont="1" applyFill="1" applyBorder="1" applyAlignment="1">
      <alignment wrapText="1"/>
    </xf>
    <xf numFmtId="177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</cellXfs>
  <cellStyles count="1">
    <cellStyle name="常规" xfId="0" builtinId="0"/>
  </cellStyles>
  <dxfs count="3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8"/>
  <sheetViews>
    <sheetView tabSelected="1" topLeftCell="C1" workbookViewId="0">
      <pane ySplit="1" topLeftCell="A144" activePane="bottomLeft" state="frozen"/>
      <selection pane="bottomLeft" activeCell="L167" sqref="L167"/>
    </sheetView>
  </sheetViews>
  <sheetFormatPr defaultRowHeight="14.25" x14ac:dyDescent="0.2"/>
  <cols>
    <col min="1" max="1" width="22" customWidth="1"/>
    <col min="2" max="2" width="14.375" customWidth="1"/>
    <col min="3" max="3" width="15.25" style="8" customWidth="1"/>
    <col min="4" max="4" width="13.75" style="8" customWidth="1"/>
    <col min="5" max="6" width="17.25" customWidth="1"/>
    <col min="7" max="7" width="25.625" customWidth="1"/>
    <col min="8" max="8" width="20.375" customWidth="1"/>
    <col min="9" max="12" width="9" bestFit="1" customWidth="1"/>
    <col min="13" max="13" width="13" bestFit="1" customWidth="1"/>
    <col min="14" max="14" width="9" bestFit="1" customWidth="1"/>
    <col min="15" max="15" width="13" bestFit="1" customWidth="1"/>
    <col min="16" max="16" width="9" bestFit="1" customWidth="1"/>
    <col min="17" max="17" width="13" bestFit="1" customWidth="1"/>
    <col min="18" max="18" width="11.75" bestFit="1" customWidth="1"/>
    <col min="19" max="19" width="23.5" bestFit="1" customWidth="1"/>
    <col min="20" max="20" width="23" customWidth="1"/>
    <col min="21" max="21" width="30" customWidth="1"/>
    <col min="22" max="22" width="23" customWidth="1"/>
    <col min="23" max="23" width="25.5" bestFit="1" customWidth="1"/>
    <col min="24" max="24" width="27" bestFit="1" customWidth="1"/>
  </cols>
  <sheetData>
    <row r="1" spans="1:24" ht="42" customHeight="1" x14ac:dyDescent="0.2">
      <c r="A1" s="11" t="s">
        <v>0</v>
      </c>
      <c r="B1" s="1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5" t="s">
        <v>1280</v>
      </c>
      <c r="J1" s="15" t="s">
        <v>1281</v>
      </c>
      <c r="K1" s="15" t="s">
        <v>1282</v>
      </c>
      <c r="L1" s="15" t="s">
        <v>1283</v>
      </c>
      <c r="M1" s="15" t="s">
        <v>878</v>
      </c>
      <c r="N1" s="15" t="s">
        <v>879</v>
      </c>
      <c r="O1" s="15" t="s">
        <v>880</v>
      </c>
      <c r="P1" s="15" t="s">
        <v>881</v>
      </c>
      <c r="Q1" s="15" t="s">
        <v>882</v>
      </c>
      <c r="R1" s="15" t="s">
        <v>883</v>
      </c>
      <c r="S1" s="15" t="s">
        <v>884</v>
      </c>
      <c r="T1" s="15" t="s">
        <v>885</v>
      </c>
      <c r="U1" s="15" t="s">
        <v>886</v>
      </c>
      <c r="V1" s="15" t="s">
        <v>887</v>
      </c>
      <c r="W1" s="18" t="s">
        <v>888</v>
      </c>
      <c r="X1" s="18" t="s">
        <v>890</v>
      </c>
    </row>
    <row r="2" spans="1:24" ht="18" x14ac:dyDescent="0.2">
      <c r="A2" s="12" t="s">
        <v>8</v>
      </c>
      <c r="B2" s="3">
        <v>59.37</v>
      </c>
      <c r="C2" s="5">
        <v>120.637</v>
      </c>
      <c r="D2" s="5">
        <f t="shared" ref="D2:D65" si="0">C2-B2</f>
        <v>61.267000000000003</v>
      </c>
      <c r="E2" t="s">
        <v>9</v>
      </c>
      <c r="F2" t="s">
        <v>10</v>
      </c>
      <c r="G2" t="s">
        <v>11</v>
      </c>
      <c r="H2" t="s">
        <v>12</v>
      </c>
      <c r="I2" s="16">
        <v>48</v>
      </c>
      <c r="J2" s="16">
        <v>46</v>
      </c>
      <c r="K2" s="16">
        <v>38</v>
      </c>
      <c r="L2" s="16">
        <v>56.8</v>
      </c>
      <c r="M2" t="s">
        <v>891</v>
      </c>
      <c r="N2" s="16">
        <v>57</v>
      </c>
      <c r="O2" t="s">
        <v>891</v>
      </c>
      <c r="P2" s="16">
        <v>28.98</v>
      </c>
      <c r="Q2" t="s">
        <v>892</v>
      </c>
      <c r="R2" t="s">
        <v>893</v>
      </c>
      <c r="S2" t="s">
        <v>894</v>
      </c>
      <c r="T2" t="s">
        <v>895</v>
      </c>
      <c r="U2" t="s">
        <v>896</v>
      </c>
      <c r="V2" t="s">
        <v>10</v>
      </c>
      <c r="W2" s="16">
        <v>28.984999999999999</v>
      </c>
      <c r="X2" s="17" t="s">
        <v>897</v>
      </c>
    </row>
    <row r="3" spans="1:24" ht="18" x14ac:dyDescent="0.2">
      <c r="A3" s="12" t="s">
        <v>13</v>
      </c>
      <c r="B3" s="3">
        <v>24.44</v>
      </c>
      <c r="C3" s="5">
        <v>29.073</v>
      </c>
      <c r="D3" s="5">
        <f t="shared" si="0"/>
        <v>4.6329999999999991</v>
      </c>
      <c r="E3" t="s">
        <v>14</v>
      </c>
      <c r="F3" t="s">
        <v>10</v>
      </c>
      <c r="G3" t="s">
        <v>15</v>
      </c>
      <c r="H3" t="s">
        <v>16</v>
      </c>
      <c r="I3" s="16">
        <v>38</v>
      </c>
      <c r="J3" s="16">
        <v>38</v>
      </c>
      <c r="K3" s="16">
        <v>30</v>
      </c>
      <c r="L3" s="16">
        <v>27.4</v>
      </c>
      <c r="M3" t="s">
        <v>891</v>
      </c>
      <c r="N3" s="16">
        <v>28</v>
      </c>
      <c r="O3" t="s">
        <v>891</v>
      </c>
      <c r="P3" s="16">
        <v>10.43</v>
      </c>
      <c r="Q3" t="s">
        <v>892</v>
      </c>
      <c r="R3" t="s">
        <v>898</v>
      </c>
      <c r="S3" t="s">
        <v>899</v>
      </c>
      <c r="T3" t="s">
        <v>895</v>
      </c>
      <c r="U3" t="s">
        <v>896</v>
      </c>
      <c r="V3" t="s">
        <v>10</v>
      </c>
      <c r="W3" s="16">
        <v>10.433</v>
      </c>
      <c r="X3" s="17" t="s">
        <v>900</v>
      </c>
    </row>
    <row r="4" spans="1:24" ht="18" x14ac:dyDescent="0.2">
      <c r="A4" s="12" t="s">
        <v>17</v>
      </c>
      <c r="B4" s="3">
        <v>24.44</v>
      </c>
      <c r="C4" s="5">
        <v>29.128</v>
      </c>
      <c r="D4" s="5">
        <f t="shared" si="0"/>
        <v>4.6879999999999988</v>
      </c>
      <c r="E4" t="s">
        <v>14</v>
      </c>
      <c r="F4" t="s">
        <v>10</v>
      </c>
      <c r="G4" t="s">
        <v>18</v>
      </c>
      <c r="H4" t="s">
        <v>19</v>
      </c>
      <c r="I4" s="16">
        <v>16</v>
      </c>
      <c r="J4" s="16">
        <v>16</v>
      </c>
      <c r="K4" s="16">
        <v>12</v>
      </c>
      <c r="L4" s="16">
        <v>27.5</v>
      </c>
      <c r="M4" t="s">
        <v>891</v>
      </c>
      <c r="N4" s="16">
        <v>28</v>
      </c>
      <c r="O4" t="s">
        <v>891</v>
      </c>
      <c r="P4" s="16">
        <v>10.199999999999999</v>
      </c>
      <c r="Q4" t="s">
        <v>892</v>
      </c>
      <c r="R4" t="s">
        <v>901</v>
      </c>
      <c r="S4" t="s">
        <v>902</v>
      </c>
      <c r="T4" t="s">
        <v>895</v>
      </c>
      <c r="U4" t="s">
        <v>896</v>
      </c>
      <c r="V4" t="s">
        <v>10</v>
      </c>
      <c r="W4" s="16">
        <v>0</v>
      </c>
      <c r="X4" s="17" t="s">
        <v>903</v>
      </c>
    </row>
    <row r="5" spans="1:24" ht="18" x14ac:dyDescent="0.2">
      <c r="A5" s="12" t="s">
        <v>20</v>
      </c>
      <c r="B5" s="3">
        <v>45.03</v>
      </c>
      <c r="C5" s="5">
        <v>49.313000000000002</v>
      </c>
      <c r="D5" s="5">
        <f t="shared" si="0"/>
        <v>4.2830000000000013</v>
      </c>
      <c r="E5" t="s">
        <v>21</v>
      </c>
      <c r="F5" t="s">
        <v>10</v>
      </c>
      <c r="G5" t="s">
        <v>22</v>
      </c>
      <c r="H5" t="s">
        <v>23</v>
      </c>
      <c r="I5" s="16">
        <v>19</v>
      </c>
      <c r="J5" s="16">
        <v>16</v>
      </c>
      <c r="K5" s="16">
        <v>13</v>
      </c>
      <c r="L5" s="16">
        <v>41.3</v>
      </c>
      <c r="M5" t="s">
        <v>891</v>
      </c>
      <c r="N5" s="16">
        <v>42</v>
      </c>
      <c r="O5" t="s">
        <v>891</v>
      </c>
      <c r="P5" s="16">
        <v>17.23</v>
      </c>
      <c r="Q5" t="s">
        <v>892</v>
      </c>
      <c r="R5" t="s">
        <v>904</v>
      </c>
      <c r="S5" t="s">
        <v>905</v>
      </c>
      <c r="T5" t="s">
        <v>895</v>
      </c>
      <c r="U5" t="s">
        <v>896</v>
      </c>
      <c r="V5" t="s">
        <v>10</v>
      </c>
      <c r="W5" s="16">
        <v>17.236999999999998</v>
      </c>
      <c r="X5" s="17" t="s">
        <v>906</v>
      </c>
    </row>
    <row r="6" spans="1:24" ht="18" x14ac:dyDescent="0.2">
      <c r="A6" s="12" t="s">
        <v>24</v>
      </c>
      <c r="B6" s="3">
        <v>26.25</v>
      </c>
      <c r="C6" s="5">
        <v>29.073</v>
      </c>
      <c r="D6" s="5">
        <f t="shared" si="0"/>
        <v>2.8230000000000004</v>
      </c>
      <c r="E6" t="s">
        <v>25</v>
      </c>
      <c r="F6" t="s">
        <v>10</v>
      </c>
      <c r="G6" t="s">
        <v>26</v>
      </c>
      <c r="H6" t="s">
        <v>27</v>
      </c>
      <c r="I6" s="16">
        <v>15</v>
      </c>
      <c r="J6" s="16">
        <v>15</v>
      </c>
      <c r="K6" s="16">
        <v>14</v>
      </c>
      <c r="L6" s="16">
        <v>27.7</v>
      </c>
      <c r="M6" t="s">
        <v>891</v>
      </c>
      <c r="N6" s="16">
        <v>28</v>
      </c>
      <c r="O6" t="s">
        <v>891</v>
      </c>
      <c r="P6" s="16">
        <v>11.34</v>
      </c>
      <c r="Q6" t="s">
        <v>892</v>
      </c>
      <c r="R6" t="s">
        <v>907</v>
      </c>
      <c r="S6" t="s">
        <v>908</v>
      </c>
      <c r="T6" t="s">
        <v>895</v>
      </c>
      <c r="U6" t="s">
        <v>896</v>
      </c>
      <c r="V6" t="s">
        <v>10</v>
      </c>
      <c r="W6" s="16">
        <v>11.34</v>
      </c>
      <c r="X6" s="17" t="s">
        <v>909</v>
      </c>
    </row>
    <row r="7" spans="1:24" ht="18" x14ac:dyDescent="0.2">
      <c r="A7" s="12" t="s">
        <v>28</v>
      </c>
      <c r="B7" s="3">
        <v>32.28</v>
      </c>
      <c r="C7" s="5">
        <v>36.509</v>
      </c>
      <c r="D7" s="5">
        <f t="shared" si="0"/>
        <v>4.2289999999999992</v>
      </c>
      <c r="E7" t="s">
        <v>25</v>
      </c>
      <c r="F7" t="s">
        <v>10</v>
      </c>
      <c r="G7" t="s">
        <v>29</v>
      </c>
      <c r="H7" t="s">
        <v>30</v>
      </c>
      <c r="I7" s="16">
        <v>15</v>
      </c>
      <c r="J7" s="16">
        <v>15</v>
      </c>
      <c r="K7" s="16">
        <v>11</v>
      </c>
      <c r="L7" s="16">
        <v>27.6</v>
      </c>
      <c r="M7" t="s">
        <v>891</v>
      </c>
      <c r="N7" s="16">
        <v>28</v>
      </c>
      <c r="O7" t="s">
        <v>891</v>
      </c>
      <c r="P7" s="16">
        <v>11.34</v>
      </c>
      <c r="Q7" t="s">
        <v>892</v>
      </c>
      <c r="R7" t="s">
        <v>910</v>
      </c>
      <c r="S7" t="s">
        <v>911</v>
      </c>
      <c r="T7" t="s">
        <v>895</v>
      </c>
      <c r="U7" t="s">
        <v>896</v>
      </c>
      <c r="V7" t="s">
        <v>10</v>
      </c>
      <c r="W7" s="16">
        <v>11.34</v>
      </c>
      <c r="X7" s="17" t="s">
        <v>909</v>
      </c>
    </row>
    <row r="8" spans="1:24" ht="18" x14ac:dyDescent="0.2">
      <c r="A8" s="12" t="s">
        <v>31</v>
      </c>
      <c r="B8" s="3">
        <v>36.51</v>
      </c>
      <c r="C8" s="5">
        <v>41.106999999999999</v>
      </c>
      <c r="D8" s="5">
        <f t="shared" si="0"/>
        <v>4.5970000000000013</v>
      </c>
      <c r="E8" t="s">
        <v>21</v>
      </c>
      <c r="F8" t="s">
        <v>10</v>
      </c>
      <c r="G8" t="s">
        <v>32</v>
      </c>
      <c r="H8" t="s">
        <v>33</v>
      </c>
      <c r="I8" s="16">
        <v>19</v>
      </c>
      <c r="J8" s="16">
        <v>17</v>
      </c>
      <c r="K8" s="16">
        <v>13</v>
      </c>
      <c r="L8" s="16">
        <v>42.3</v>
      </c>
      <c r="M8" t="s">
        <v>891</v>
      </c>
      <c r="N8" s="16">
        <v>43</v>
      </c>
      <c r="O8" t="s">
        <v>891</v>
      </c>
      <c r="P8" s="16">
        <v>17.23</v>
      </c>
      <c r="Q8" t="s">
        <v>892</v>
      </c>
      <c r="R8" t="s">
        <v>912</v>
      </c>
      <c r="S8" t="s">
        <v>913</v>
      </c>
      <c r="T8" t="s">
        <v>895</v>
      </c>
      <c r="U8" t="s">
        <v>896</v>
      </c>
      <c r="V8" t="s">
        <v>10</v>
      </c>
      <c r="W8" s="16">
        <v>17.236999999999998</v>
      </c>
      <c r="X8" s="17" t="s">
        <v>906</v>
      </c>
    </row>
    <row r="9" spans="1:24" ht="18" x14ac:dyDescent="0.2">
      <c r="A9" s="12" t="s">
        <v>34</v>
      </c>
      <c r="B9" s="3">
        <v>97.4</v>
      </c>
      <c r="C9" s="5">
        <v>99.725999999999999</v>
      </c>
      <c r="D9" s="5">
        <f t="shared" si="0"/>
        <v>2.3259999999999934</v>
      </c>
      <c r="E9" t="s">
        <v>35</v>
      </c>
      <c r="F9" t="s">
        <v>10</v>
      </c>
      <c r="G9" t="s">
        <v>36</v>
      </c>
      <c r="H9" t="s">
        <v>37</v>
      </c>
      <c r="I9" s="16">
        <v>19</v>
      </c>
      <c r="J9" s="16">
        <v>16</v>
      </c>
      <c r="K9" s="16">
        <v>16</v>
      </c>
      <c r="L9" s="16">
        <v>65.599999999999994</v>
      </c>
      <c r="M9" t="s">
        <v>891</v>
      </c>
      <c r="N9" s="16">
        <v>66</v>
      </c>
      <c r="O9" t="s">
        <v>891</v>
      </c>
      <c r="P9" s="16">
        <v>27</v>
      </c>
      <c r="Q9" t="s">
        <v>892</v>
      </c>
      <c r="R9" t="s">
        <v>898</v>
      </c>
      <c r="S9" t="s">
        <v>914</v>
      </c>
      <c r="T9" t="s">
        <v>895</v>
      </c>
      <c r="U9" t="s">
        <v>896</v>
      </c>
      <c r="V9" t="s">
        <v>10</v>
      </c>
      <c r="W9" s="16">
        <v>1</v>
      </c>
      <c r="X9" s="17" t="s">
        <v>915</v>
      </c>
    </row>
    <row r="10" spans="1:24" ht="18" x14ac:dyDescent="0.2">
      <c r="A10" s="12" t="s">
        <v>38</v>
      </c>
      <c r="B10" s="3">
        <v>25.79</v>
      </c>
      <c r="C10" s="5">
        <v>50.423999999999999</v>
      </c>
      <c r="D10" s="5">
        <f t="shared" si="0"/>
        <v>24.634</v>
      </c>
      <c r="E10" t="s">
        <v>39</v>
      </c>
      <c r="F10" t="s">
        <v>10</v>
      </c>
      <c r="G10" t="s">
        <v>40</v>
      </c>
      <c r="H10" t="s">
        <v>41</v>
      </c>
      <c r="I10" s="16"/>
      <c r="J10" s="16"/>
      <c r="K10" s="16"/>
      <c r="L10" s="16"/>
      <c r="N10" s="16"/>
      <c r="P10" s="16"/>
      <c r="V10" t="s">
        <v>91</v>
      </c>
      <c r="W10" s="16">
        <v>1</v>
      </c>
      <c r="X10" s="17" t="s">
        <v>916</v>
      </c>
    </row>
    <row r="11" spans="1:24" ht="18" x14ac:dyDescent="0.2">
      <c r="A11" s="12" t="s">
        <v>42</v>
      </c>
      <c r="B11" s="3">
        <v>23.06</v>
      </c>
      <c r="C11" s="5">
        <v>25.806000000000001</v>
      </c>
      <c r="D11" s="5">
        <f t="shared" si="0"/>
        <v>2.7460000000000022</v>
      </c>
      <c r="E11" t="s">
        <v>43</v>
      </c>
      <c r="F11" t="s">
        <v>10</v>
      </c>
      <c r="G11" t="s">
        <v>44</v>
      </c>
      <c r="H11" t="s">
        <v>45</v>
      </c>
      <c r="I11" s="16">
        <v>22</v>
      </c>
      <c r="J11" s="16">
        <v>18</v>
      </c>
      <c r="K11" s="16">
        <v>13</v>
      </c>
      <c r="L11" s="16">
        <v>30</v>
      </c>
      <c r="M11" t="s">
        <v>891</v>
      </c>
      <c r="N11" s="16">
        <v>32</v>
      </c>
      <c r="O11" t="s">
        <v>891</v>
      </c>
      <c r="P11" s="16">
        <v>12</v>
      </c>
      <c r="Q11" t="s">
        <v>892</v>
      </c>
      <c r="R11" t="s">
        <v>917</v>
      </c>
      <c r="S11" t="s">
        <v>918</v>
      </c>
      <c r="T11" t="s">
        <v>895</v>
      </c>
      <c r="U11" t="s">
        <v>896</v>
      </c>
      <c r="V11" t="s">
        <v>10</v>
      </c>
      <c r="W11" s="16">
        <v>1</v>
      </c>
      <c r="X11" s="17" t="s">
        <v>919</v>
      </c>
    </row>
    <row r="12" spans="1:24" ht="18" x14ac:dyDescent="0.2">
      <c r="A12" s="12" t="s">
        <v>46</v>
      </c>
      <c r="B12" s="3">
        <v>21.27</v>
      </c>
      <c r="C12" s="5">
        <v>23.771000000000001</v>
      </c>
      <c r="D12" s="5">
        <f t="shared" si="0"/>
        <v>2.5010000000000012</v>
      </c>
      <c r="E12" t="s">
        <v>47</v>
      </c>
      <c r="F12" t="s">
        <v>10</v>
      </c>
      <c r="G12" t="s">
        <v>48</v>
      </c>
      <c r="I12" s="16">
        <v>14</v>
      </c>
      <c r="J12" s="16">
        <v>13</v>
      </c>
      <c r="K12" s="16">
        <v>13</v>
      </c>
      <c r="L12" s="16">
        <v>12.6</v>
      </c>
      <c r="M12" t="s">
        <v>891</v>
      </c>
      <c r="N12" s="16">
        <v>15</v>
      </c>
      <c r="O12" t="s">
        <v>891</v>
      </c>
      <c r="P12" s="16">
        <v>5.89</v>
      </c>
      <c r="Q12" t="s">
        <v>892</v>
      </c>
      <c r="R12" t="s">
        <v>898</v>
      </c>
      <c r="S12" t="s">
        <v>920</v>
      </c>
      <c r="T12" t="s">
        <v>895</v>
      </c>
      <c r="U12" t="s">
        <v>896</v>
      </c>
      <c r="V12" t="s">
        <v>10</v>
      </c>
      <c r="W12" s="16">
        <v>5.8970000000000002</v>
      </c>
      <c r="X12" s="17" t="s">
        <v>921</v>
      </c>
    </row>
    <row r="13" spans="1:24" ht="18" x14ac:dyDescent="0.2">
      <c r="A13" s="12" t="s">
        <v>49</v>
      </c>
      <c r="B13" s="3">
        <v>36.51</v>
      </c>
      <c r="C13" s="5">
        <v>55.594000000000001</v>
      </c>
      <c r="D13" s="5">
        <f t="shared" si="0"/>
        <v>19.084000000000003</v>
      </c>
      <c r="E13" t="s">
        <v>21</v>
      </c>
      <c r="F13" t="s">
        <v>10</v>
      </c>
      <c r="G13" t="s">
        <v>50</v>
      </c>
      <c r="H13" t="s">
        <v>51</v>
      </c>
      <c r="I13" s="16">
        <v>17</v>
      </c>
      <c r="J13" s="16">
        <v>17</v>
      </c>
      <c r="K13" s="16">
        <v>16</v>
      </c>
      <c r="L13" s="16">
        <v>39.200000000000003</v>
      </c>
      <c r="M13" t="s">
        <v>891</v>
      </c>
      <c r="N13" s="16">
        <v>40</v>
      </c>
      <c r="O13" t="s">
        <v>891</v>
      </c>
      <c r="P13" s="16">
        <v>17.23</v>
      </c>
      <c r="Q13" t="s">
        <v>892</v>
      </c>
      <c r="R13" t="s">
        <v>898</v>
      </c>
      <c r="S13" t="s">
        <v>922</v>
      </c>
      <c r="T13" t="s">
        <v>895</v>
      </c>
      <c r="U13" t="s">
        <v>896</v>
      </c>
      <c r="V13" t="s">
        <v>10</v>
      </c>
      <c r="W13" s="16">
        <v>17.236999999999998</v>
      </c>
      <c r="X13" s="17" t="s">
        <v>906</v>
      </c>
    </row>
    <row r="14" spans="1:24" ht="18" x14ac:dyDescent="0.2">
      <c r="A14" s="12" t="s">
        <v>52</v>
      </c>
      <c r="B14" s="3">
        <v>30.19</v>
      </c>
      <c r="C14" s="5">
        <v>33.725999999999999</v>
      </c>
      <c r="D14" s="5">
        <f t="shared" si="0"/>
        <v>3.5359999999999978</v>
      </c>
      <c r="E14" t="s">
        <v>21</v>
      </c>
      <c r="F14" t="s">
        <v>10</v>
      </c>
      <c r="G14" t="s">
        <v>53</v>
      </c>
      <c r="H14" t="s">
        <v>54</v>
      </c>
      <c r="I14" s="16">
        <v>19</v>
      </c>
      <c r="J14" s="16">
        <v>18</v>
      </c>
      <c r="K14" s="16">
        <v>15</v>
      </c>
      <c r="L14" s="16">
        <v>42.8</v>
      </c>
      <c r="M14" t="s">
        <v>891</v>
      </c>
      <c r="N14" s="16">
        <v>43</v>
      </c>
      <c r="O14" t="s">
        <v>891</v>
      </c>
      <c r="P14" s="16">
        <v>17.23</v>
      </c>
      <c r="Q14" t="s">
        <v>892</v>
      </c>
      <c r="R14" t="s">
        <v>923</v>
      </c>
      <c r="S14" t="s">
        <v>924</v>
      </c>
      <c r="T14" t="s">
        <v>895</v>
      </c>
      <c r="U14" t="s">
        <v>896</v>
      </c>
      <c r="V14" t="s">
        <v>10</v>
      </c>
      <c r="W14" s="16">
        <v>17.236999999999998</v>
      </c>
      <c r="X14" s="17" t="s">
        <v>906</v>
      </c>
    </row>
    <row r="15" spans="1:24" ht="18" x14ac:dyDescent="0.2">
      <c r="A15" s="12" t="s">
        <v>55</v>
      </c>
      <c r="B15" s="3">
        <v>29.94</v>
      </c>
      <c r="C15" s="5">
        <v>33.384999999999998</v>
      </c>
      <c r="D15" s="5">
        <f t="shared" si="0"/>
        <v>3.4449999999999967</v>
      </c>
      <c r="E15" t="s">
        <v>14</v>
      </c>
      <c r="F15" t="s">
        <v>10</v>
      </c>
      <c r="G15" t="s">
        <v>56</v>
      </c>
      <c r="H15" t="s">
        <v>57</v>
      </c>
      <c r="I15" s="16">
        <v>16</v>
      </c>
      <c r="J15" s="16">
        <v>16</v>
      </c>
      <c r="K15" s="16">
        <v>12</v>
      </c>
      <c r="L15" s="16">
        <v>26.1</v>
      </c>
      <c r="M15" t="s">
        <v>891</v>
      </c>
      <c r="N15" s="16">
        <v>26</v>
      </c>
      <c r="O15" t="s">
        <v>891</v>
      </c>
      <c r="P15" s="16">
        <v>10.43</v>
      </c>
      <c r="Q15" t="s">
        <v>892</v>
      </c>
      <c r="R15" t="s">
        <v>904</v>
      </c>
      <c r="S15" t="s">
        <v>925</v>
      </c>
      <c r="T15" t="s">
        <v>895</v>
      </c>
      <c r="U15" t="s">
        <v>896</v>
      </c>
      <c r="V15" t="s">
        <v>10</v>
      </c>
      <c r="W15" s="16">
        <v>10.433</v>
      </c>
      <c r="X15" s="17" t="s">
        <v>900</v>
      </c>
    </row>
    <row r="16" spans="1:24" ht="18" x14ac:dyDescent="0.2">
      <c r="A16" s="12" t="s">
        <v>58</v>
      </c>
      <c r="B16" s="3">
        <v>22.63</v>
      </c>
      <c r="C16" s="5">
        <v>25.806000000000001</v>
      </c>
      <c r="D16" s="5">
        <f t="shared" si="0"/>
        <v>3.1760000000000019</v>
      </c>
      <c r="E16" t="s">
        <v>25</v>
      </c>
      <c r="F16" t="s">
        <v>10</v>
      </c>
      <c r="G16" t="s">
        <v>59</v>
      </c>
      <c r="H16" t="s">
        <v>60</v>
      </c>
      <c r="I16" s="16">
        <v>21</v>
      </c>
      <c r="J16" s="16">
        <v>14</v>
      </c>
      <c r="K16" s="16">
        <v>11</v>
      </c>
      <c r="L16" s="16">
        <v>31.2</v>
      </c>
      <c r="M16" t="s">
        <v>891</v>
      </c>
      <c r="N16" s="16">
        <v>32</v>
      </c>
      <c r="O16" t="s">
        <v>891</v>
      </c>
      <c r="P16" s="16">
        <v>11.5</v>
      </c>
      <c r="Q16" t="s">
        <v>892</v>
      </c>
      <c r="R16" t="s">
        <v>926</v>
      </c>
      <c r="S16" t="s">
        <v>927</v>
      </c>
      <c r="T16" t="s">
        <v>895</v>
      </c>
      <c r="U16" t="s">
        <v>896</v>
      </c>
      <c r="V16" t="s">
        <v>10</v>
      </c>
      <c r="W16" s="16">
        <v>1</v>
      </c>
      <c r="X16" s="17" t="s">
        <v>919</v>
      </c>
    </row>
    <row r="17" spans="1:24" ht="18" x14ac:dyDescent="0.2">
      <c r="A17" s="12" t="s">
        <v>61</v>
      </c>
      <c r="B17" s="3">
        <v>22.56</v>
      </c>
      <c r="C17" s="5">
        <v>42.030999999999999</v>
      </c>
      <c r="D17" s="5">
        <f t="shared" si="0"/>
        <v>19.471</v>
      </c>
      <c r="E17" t="s">
        <v>62</v>
      </c>
      <c r="F17" t="s">
        <v>10</v>
      </c>
      <c r="G17" t="s">
        <v>63</v>
      </c>
      <c r="H17" t="s">
        <v>64</v>
      </c>
      <c r="I17" s="16">
        <v>64</v>
      </c>
      <c r="J17" s="16">
        <v>56</v>
      </c>
      <c r="K17" s="16">
        <v>28</v>
      </c>
      <c r="L17" s="16">
        <v>43.5</v>
      </c>
      <c r="M17" t="s">
        <v>891</v>
      </c>
      <c r="N17" s="16">
        <v>44</v>
      </c>
      <c r="O17" t="s">
        <v>891</v>
      </c>
      <c r="P17" s="16">
        <v>18.14</v>
      </c>
      <c r="Q17" t="s">
        <v>892</v>
      </c>
      <c r="R17" t="s">
        <v>928</v>
      </c>
      <c r="S17" t="s">
        <v>929</v>
      </c>
      <c r="T17" t="s">
        <v>895</v>
      </c>
      <c r="U17" t="s">
        <v>896</v>
      </c>
      <c r="V17" t="s">
        <v>10</v>
      </c>
      <c r="W17" s="16">
        <v>0</v>
      </c>
      <c r="X17" s="17" t="s">
        <v>903</v>
      </c>
    </row>
    <row r="18" spans="1:24" ht="18" x14ac:dyDescent="0.2">
      <c r="A18" s="12" t="s">
        <v>65</v>
      </c>
      <c r="B18" s="3">
        <v>23.53</v>
      </c>
      <c r="C18" s="5">
        <v>140.66800000000001</v>
      </c>
      <c r="D18" s="5">
        <f t="shared" si="0"/>
        <v>117.13800000000001</v>
      </c>
      <c r="E18" t="s">
        <v>66</v>
      </c>
      <c r="F18" t="s">
        <v>10</v>
      </c>
      <c r="G18" t="s">
        <v>67</v>
      </c>
      <c r="H18" t="s">
        <v>68</v>
      </c>
      <c r="I18" s="16">
        <v>23</v>
      </c>
      <c r="J18" s="16">
        <v>22</v>
      </c>
      <c r="K18" s="16">
        <v>17</v>
      </c>
      <c r="L18" s="16">
        <v>71.3</v>
      </c>
      <c r="M18" t="s">
        <v>891</v>
      </c>
      <c r="N18" s="16">
        <v>72</v>
      </c>
      <c r="O18" t="s">
        <v>891</v>
      </c>
      <c r="P18" s="16">
        <v>19.5</v>
      </c>
      <c r="Q18" t="s">
        <v>892</v>
      </c>
      <c r="R18" t="s">
        <v>930</v>
      </c>
      <c r="S18" t="s">
        <v>931</v>
      </c>
      <c r="T18" t="s">
        <v>895</v>
      </c>
      <c r="U18" t="s">
        <v>896</v>
      </c>
      <c r="V18" t="s">
        <v>10</v>
      </c>
      <c r="W18" s="16">
        <v>19.504000000000001</v>
      </c>
      <c r="X18" s="17" t="s">
        <v>932</v>
      </c>
    </row>
    <row r="19" spans="1:24" ht="18" x14ac:dyDescent="0.2">
      <c r="A19" s="12" t="s">
        <v>69</v>
      </c>
      <c r="B19" s="3">
        <v>85.85</v>
      </c>
      <c r="C19" s="5">
        <v>89.165999999999997</v>
      </c>
      <c r="D19" s="5">
        <f t="shared" si="0"/>
        <v>3.3160000000000025</v>
      </c>
      <c r="E19" t="s">
        <v>35</v>
      </c>
      <c r="F19" t="s">
        <v>10</v>
      </c>
      <c r="G19" t="s">
        <v>70</v>
      </c>
      <c r="H19" t="s">
        <v>71</v>
      </c>
      <c r="I19" s="16">
        <v>20</v>
      </c>
      <c r="J19" s="16">
        <v>16</v>
      </c>
      <c r="K19" s="16">
        <v>16</v>
      </c>
      <c r="L19" s="16">
        <v>66.2</v>
      </c>
      <c r="M19" t="s">
        <v>891</v>
      </c>
      <c r="N19" s="16">
        <v>67</v>
      </c>
      <c r="O19" t="s">
        <v>891</v>
      </c>
      <c r="P19" s="16">
        <v>26.29</v>
      </c>
      <c r="Q19" t="s">
        <v>892</v>
      </c>
      <c r="R19" t="s">
        <v>898</v>
      </c>
      <c r="S19" t="s">
        <v>933</v>
      </c>
      <c r="T19" t="s">
        <v>895</v>
      </c>
      <c r="U19" t="s">
        <v>896</v>
      </c>
      <c r="V19" t="s">
        <v>10</v>
      </c>
      <c r="W19" s="16">
        <v>0</v>
      </c>
      <c r="X19" s="17" t="s">
        <v>934</v>
      </c>
    </row>
    <row r="20" spans="1:24" ht="18" x14ac:dyDescent="0.2">
      <c r="A20" s="12" t="s">
        <v>72</v>
      </c>
      <c r="B20" s="3">
        <v>17.75</v>
      </c>
      <c r="C20" s="5">
        <v>19.931999999999999</v>
      </c>
      <c r="D20" s="5">
        <f t="shared" si="0"/>
        <v>2.1819999999999986</v>
      </c>
      <c r="E20" t="s">
        <v>73</v>
      </c>
      <c r="F20" t="s">
        <v>10</v>
      </c>
      <c r="G20" t="s">
        <v>74</v>
      </c>
      <c r="H20" t="s">
        <v>75</v>
      </c>
      <c r="I20" s="16">
        <v>15</v>
      </c>
      <c r="J20" s="16">
        <v>14</v>
      </c>
      <c r="K20" s="16">
        <v>11</v>
      </c>
      <c r="L20" s="16">
        <v>18.600000000000001</v>
      </c>
      <c r="M20" t="s">
        <v>891</v>
      </c>
      <c r="N20" s="16">
        <v>19</v>
      </c>
      <c r="O20" t="s">
        <v>891</v>
      </c>
      <c r="P20" s="16">
        <v>5.89</v>
      </c>
      <c r="Q20" t="s">
        <v>892</v>
      </c>
      <c r="R20" t="s">
        <v>935</v>
      </c>
      <c r="S20" t="s">
        <v>936</v>
      </c>
      <c r="T20" t="s">
        <v>895</v>
      </c>
      <c r="U20" t="s">
        <v>896</v>
      </c>
      <c r="V20" t="s">
        <v>10</v>
      </c>
      <c r="W20" s="16">
        <v>5.8970000000000002</v>
      </c>
      <c r="X20" s="17" t="s">
        <v>937</v>
      </c>
    </row>
    <row r="21" spans="1:24" ht="18" x14ac:dyDescent="0.2">
      <c r="A21" s="12" t="s">
        <v>76</v>
      </c>
      <c r="B21" s="3">
        <v>85.85</v>
      </c>
      <c r="C21" s="5">
        <v>88.891000000000005</v>
      </c>
      <c r="D21" s="5">
        <f t="shared" si="0"/>
        <v>3.041000000000011</v>
      </c>
      <c r="E21" t="s">
        <v>35</v>
      </c>
      <c r="F21" t="s">
        <v>10</v>
      </c>
      <c r="G21" t="s">
        <v>77</v>
      </c>
      <c r="H21" t="s">
        <v>78</v>
      </c>
      <c r="I21" s="16">
        <v>19</v>
      </c>
      <c r="J21" s="16">
        <v>16</v>
      </c>
      <c r="K21" s="16">
        <v>16</v>
      </c>
      <c r="L21" s="16">
        <v>65.5</v>
      </c>
      <c r="M21" t="s">
        <v>891</v>
      </c>
      <c r="N21" s="16">
        <v>66</v>
      </c>
      <c r="O21" t="s">
        <v>891</v>
      </c>
      <c r="P21" s="16">
        <v>26.29</v>
      </c>
      <c r="Q21" t="s">
        <v>892</v>
      </c>
      <c r="R21" t="s">
        <v>898</v>
      </c>
      <c r="S21" t="s">
        <v>938</v>
      </c>
      <c r="T21" t="s">
        <v>895</v>
      </c>
      <c r="U21" t="s">
        <v>896</v>
      </c>
      <c r="V21" t="s">
        <v>10</v>
      </c>
      <c r="W21" s="16">
        <v>0</v>
      </c>
      <c r="X21" s="17" t="s">
        <v>934</v>
      </c>
    </row>
    <row r="22" spans="1:24" ht="18" x14ac:dyDescent="0.2">
      <c r="A22" s="12" t="s">
        <v>79</v>
      </c>
      <c r="B22" s="3">
        <v>18.829999999999998</v>
      </c>
      <c r="C22" s="5">
        <v>33.176000000000002</v>
      </c>
      <c r="D22" s="5">
        <f t="shared" si="0"/>
        <v>14.346000000000004</v>
      </c>
      <c r="E22" t="s">
        <v>80</v>
      </c>
      <c r="F22" t="s">
        <v>10</v>
      </c>
      <c r="G22" t="s">
        <v>81</v>
      </c>
      <c r="H22" t="s">
        <v>82</v>
      </c>
      <c r="I22" s="16">
        <v>22</v>
      </c>
      <c r="J22" s="16">
        <v>16</v>
      </c>
      <c r="K22" s="16">
        <v>16</v>
      </c>
      <c r="L22" s="16">
        <v>18.100000000000001</v>
      </c>
      <c r="M22" t="s">
        <v>891</v>
      </c>
      <c r="N22" s="16">
        <v>34</v>
      </c>
      <c r="O22" t="s">
        <v>891</v>
      </c>
      <c r="P22" s="16">
        <v>4.5999999999999996</v>
      </c>
      <c r="Q22" t="s">
        <v>892</v>
      </c>
      <c r="R22" t="s">
        <v>939</v>
      </c>
      <c r="S22" t="s">
        <v>940</v>
      </c>
      <c r="T22" t="s">
        <v>895</v>
      </c>
      <c r="U22" t="s">
        <v>896</v>
      </c>
      <c r="V22" t="s">
        <v>10</v>
      </c>
      <c r="W22" s="16">
        <v>1</v>
      </c>
      <c r="X22" s="17" t="s">
        <v>941</v>
      </c>
    </row>
    <row r="23" spans="1:24" ht="18" x14ac:dyDescent="0.2">
      <c r="A23" s="12" t="s">
        <v>83</v>
      </c>
      <c r="B23" s="3">
        <v>46.88</v>
      </c>
      <c r="C23" s="5">
        <v>49.115000000000002</v>
      </c>
      <c r="D23" s="5">
        <f t="shared" si="0"/>
        <v>2.2349999999999994</v>
      </c>
      <c r="E23" t="s">
        <v>25</v>
      </c>
      <c r="F23" t="s">
        <v>10</v>
      </c>
      <c r="G23" t="s">
        <v>84</v>
      </c>
      <c r="H23" t="s">
        <v>85</v>
      </c>
      <c r="I23" s="16">
        <v>16</v>
      </c>
      <c r="J23" s="16">
        <v>12</v>
      </c>
      <c r="K23" s="16">
        <v>12</v>
      </c>
      <c r="L23" s="16">
        <v>27.9</v>
      </c>
      <c r="M23" t="s">
        <v>891</v>
      </c>
      <c r="N23" s="16">
        <v>28</v>
      </c>
      <c r="O23" t="s">
        <v>891</v>
      </c>
      <c r="P23" s="16">
        <v>12</v>
      </c>
      <c r="Q23" t="s">
        <v>892</v>
      </c>
      <c r="R23" t="s">
        <v>942</v>
      </c>
      <c r="S23" t="s">
        <v>943</v>
      </c>
      <c r="T23" t="s">
        <v>895</v>
      </c>
      <c r="U23" t="s">
        <v>896</v>
      </c>
      <c r="V23" t="s">
        <v>10</v>
      </c>
      <c r="W23" s="16">
        <v>1</v>
      </c>
      <c r="X23" s="17" t="s">
        <v>919</v>
      </c>
    </row>
    <row r="24" spans="1:24" ht="18" x14ac:dyDescent="0.2">
      <c r="A24" s="12" t="s">
        <v>86</v>
      </c>
      <c r="B24" s="3">
        <v>103.18</v>
      </c>
      <c r="C24" s="5">
        <v>112.31</v>
      </c>
      <c r="D24" s="5">
        <f t="shared" si="0"/>
        <v>9.1299999999999955</v>
      </c>
      <c r="E24" t="s">
        <v>87</v>
      </c>
      <c r="F24" t="s">
        <v>10</v>
      </c>
      <c r="G24" t="s">
        <v>88</v>
      </c>
      <c r="H24" t="s">
        <v>89</v>
      </c>
      <c r="I24" s="16">
        <v>27</v>
      </c>
      <c r="J24" s="16">
        <v>22</v>
      </c>
      <c r="K24" s="16">
        <v>16</v>
      </c>
      <c r="L24" s="16">
        <v>97.9</v>
      </c>
      <c r="M24" t="s">
        <v>891</v>
      </c>
      <c r="N24" s="16">
        <v>98</v>
      </c>
      <c r="O24" t="s">
        <v>891</v>
      </c>
      <c r="P24" s="16">
        <v>39</v>
      </c>
      <c r="Q24" t="s">
        <v>892</v>
      </c>
      <c r="R24" t="s">
        <v>944</v>
      </c>
      <c r="S24" t="s">
        <v>945</v>
      </c>
      <c r="T24" t="s">
        <v>895</v>
      </c>
      <c r="U24" t="s">
        <v>896</v>
      </c>
      <c r="V24" t="s">
        <v>10</v>
      </c>
      <c r="W24" s="16">
        <v>1</v>
      </c>
      <c r="X24" s="17" t="s">
        <v>946</v>
      </c>
    </row>
    <row r="25" spans="1:24" ht="18" x14ac:dyDescent="0.2">
      <c r="A25" s="12" t="s">
        <v>90</v>
      </c>
      <c r="B25" s="3">
        <v>52.56</v>
      </c>
      <c r="C25" s="5">
        <v>78.968999999999994</v>
      </c>
      <c r="D25" s="5">
        <f t="shared" si="0"/>
        <v>26.408999999999992</v>
      </c>
      <c r="F25" t="s">
        <v>91</v>
      </c>
      <c r="I25" s="16">
        <v>35</v>
      </c>
      <c r="J25" s="16">
        <v>33</v>
      </c>
      <c r="K25" s="16">
        <v>5</v>
      </c>
      <c r="L25" s="16"/>
      <c r="N25" s="16">
        <v>41</v>
      </c>
      <c r="O25" t="s">
        <v>891</v>
      </c>
      <c r="P25" s="16">
        <v>18.600000000000001</v>
      </c>
      <c r="Q25" t="s">
        <v>892</v>
      </c>
      <c r="R25" t="s">
        <v>898</v>
      </c>
      <c r="S25" t="s">
        <v>947</v>
      </c>
      <c r="T25" t="s">
        <v>928</v>
      </c>
      <c r="U25" t="s">
        <v>948</v>
      </c>
      <c r="V25" t="s">
        <v>10</v>
      </c>
      <c r="W25" s="16">
        <v>18.600000000000001</v>
      </c>
      <c r="X25" s="17" t="s">
        <v>949</v>
      </c>
    </row>
    <row r="26" spans="1:24" ht="18" x14ac:dyDescent="0.2">
      <c r="A26" s="12" t="s">
        <v>92</v>
      </c>
      <c r="B26" s="3">
        <v>26.31</v>
      </c>
      <c r="C26" s="5">
        <v>30.338000000000001</v>
      </c>
      <c r="D26" s="5">
        <f t="shared" si="0"/>
        <v>4.0280000000000022</v>
      </c>
      <c r="E26" t="s">
        <v>25</v>
      </c>
      <c r="F26" t="s">
        <v>10</v>
      </c>
      <c r="G26" t="s">
        <v>93</v>
      </c>
      <c r="H26" t="s">
        <v>94</v>
      </c>
      <c r="I26" s="16">
        <v>16</v>
      </c>
      <c r="J26" s="16">
        <v>16</v>
      </c>
      <c r="K26" s="16">
        <v>12</v>
      </c>
      <c r="L26" s="16">
        <v>29.7</v>
      </c>
      <c r="M26" t="s">
        <v>891</v>
      </c>
      <c r="N26" s="16">
        <v>30</v>
      </c>
      <c r="O26" t="s">
        <v>891</v>
      </c>
      <c r="P26" s="16">
        <v>11.34</v>
      </c>
      <c r="Q26" t="s">
        <v>892</v>
      </c>
      <c r="R26" t="s">
        <v>939</v>
      </c>
      <c r="S26" t="s">
        <v>950</v>
      </c>
      <c r="T26" t="s">
        <v>895</v>
      </c>
      <c r="U26" t="s">
        <v>896</v>
      </c>
      <c r="V26" t="s">
        <v>10</v>
      </c>
      <c r="W26" s="16">
        <v>11.34</v>
      </c>
      <c r="X26" s="17" t="s">
        <v>909</v>
      </c>
    </row>
    <row r="27" spans="1:24" ht="18" x14ac:dyDescent="0.2">
      <c r="A27" s="12" t="s">
        <v>95</v>
      </c>
      <c r="B27" s="3">
        <v>30.26</v>
      </c>
      <c r="C27" s="5">
        <v>33.670999999999999</v>
      </c>
      <c r="D27" s="5">
        <f t="shared" si="0"/>
        <v>3.4109999999999978</v>
      </c>
      <c r="E27" t="s">
        <v>21</v>
      </c>
      <c r="F27" t="s">
        <v>10</v>
      </c>
      <c r="G27" t="s">
        <v>96</v>
      </c>
      <c r="H27" t="s">
        <v>97</v>
      </c>
      <c r="I27" s="16">
        <v>19</v>
      </c>
      <c r="J27" s="16">
        <v>17</v>
      </c>
      <c r="K27" s="16">
        <v>13</v>
      </c>
      <c r="L27" s="16">
        <v>41.9</v>
      </c>
      <c r="M27" t="s">
        <v>891</v>
      </c>
      <c r="N27" s="16">
        <v>42</v>
      </c>
      <c r="O27" t="s">
        <v>891</v>
      </c>
      <c r="P27" s="16">
        <v>17.23</v>
      </c>
      <c r="Q27" t="s">
        <v>892</v>
      </c>
      <c r="R27" t="s">
        <v>951</v>
      </c>
      <c r="S27" t="s">
        <v>952</v>
      </c>
      <c r="T27" t="s">
        <v>895</v>
      </c>
      <c r="U27" t="s">
        <v>896</v>
      </c>
      <c r="V27" t="s">
        <v>10</v>
      </c>
      <c r="W27" s="16">
        <v>17.236999999999998</v>
      </c>
      <c r="X27" s="17" t="s">
        <v>906</v>
      </c>
    </row>
    <row r="28" spans="1:24" ht="18" x14ac:dyDescent="0.2">
      <c r="A28" s="12" t="s">
        <v>98</v>
      </c>
      <c r="B28" s="3">
        <v>20.78</v>
      </c>
      <c r="C28" s="5">
        <v>25.751000000000001</v>
      </c>
      <c r="D28" s="5">
        <f t="shared" si="0"/>
        <v>4.9710000000000001</v>
      </c>
      <c r="E28" t="s">
        <v>14</v>
      </c>
      <c r="F28" t="s">
        <v>10</v>
      </c>
      <c r="G28" t="s">
        <v>99</v>
      </c>
      <c r="H28" t="s">
        <v>100</v>
      </c>
      <c r="I28" s="16">
        <v>23</v>
      </c>
      <c r="J28" s="16">
        <v>16</v>
      </c>
      <c r="K28" s="16">
        <v>14</v>
      </c>
      <c r="L28" s="16">
        <v>26.1</v>
      </c>
      <c r="M28" t="s">
        <v>891</v>
      </c>
      <c r="N28" s="16">
        <v>32</v>
      </c>
      <c r="O28" t="s">
        <v>891</v>
      </c>
      <c r="P28" s="16">
        <v>10.43</v>
      </c>
      <c r="Q28" t="s">
        <v>892</v>
      </c>
      <c r="R28" t="s">
        <v>923</v>
      </c>
      <c r="S28" t="s">
        <v>953</v>
      </c>
      <c r="T28" t="s">
        <v>895</v>
      </c>
      <c r="U28" t="s">
        <v>896</v>
      </c>
      <c r="V28" t="s">
        <v>10</v>
      </c>
      <c r="W28" s="16">
        <v>10.433</v>
      </c>
      <c r="X28" s="17" t="s">
        <v>900</v>
      </c>
    </row>
    <row r="29" spans="1:24" ht="18" x14ac:dyDescent="0.2">
      <c r="A29" s="12" t="s">
        <v>101</v>
      </c>
      <c r="B29" s="3">
        <v>29.99</v>
      </c>
      <c r="C29" s="5">
        <v>32.284999999999997</v>
      </c>
      <c r="D29" s="5">
        <f t="shared" si="0"/>
        <v>2.2949999999999982</v>
      </c>
      <c r="E29" t="s">
        <v>14</v>
      </c>
      <c r="F29" t="s">
        <v>10</v>
      </c>
      <c r="G29" t="s">
        <v>102</v>
      </c>
      <c r="H29" t="s">
        <v>103</v>
      </c>
      <c r="I29" s="16">
        <v>19</v>
      </c>
      <c r="J29" s="16">
        <v>14</v>
      </c>
      <c r="K29" s="16">
        <v>11</v>
      </c>
      <c r="L29" s="16">
        <v>24.5</v>
      </c>
      <c r="M29" t="s">
        <v>891</v>
      </c>
      <c r="N29" s="16">
        <v>25</v>
      </c>
      <c r="O29" t="s">
        <v>891</v>
      </c>
      <c r="P29" s="16">
        <v>10.199999999999999</v>
      </c>
      <c r="Q29" t="s">
        <v>892</v>
      </c>
      <c r="R29" t="s">
        <v>912</v>
      </c>
      <c r="S29" t="s">
        <v>954</v>
      </c>
      <c r="T29" t="s">
        <v>895</v>
      </c>
      <c r="U29" t="s">
        <v>896</v>
      </c>
      <c r="V29" t="s">
        <v>10</v>
      </c>
      <c r="W29" s="16">
        <v>1</v>
      </c>
      <c r="X29" s="17" t="s">
        <v>955</v>
      </c>
    </row>
    <row r="30" spans="1:24" ht="18" x14ac:dyDescent="0.2">
      <c r="A30" s="12" t="s">
        <v>104</v>
      </c>
      <c r="B30" s="3">
        <v>16.62</v>
      </c>
      <c r="C30" s="5">
        <v>19.151</v>
      </c>
      <c r="D30" s="5">
        <f t="shared" si="0"/>
        <v>2.5309999999999988</v>
      </c>
      <c r="E30" t="s">
        <v>14</v>
      </c>
      <c r="F30" t="s">
        <v>10</v>
      </c>
      <c r="G30" t="s">
        <v>105</v>
      </c>
      <c r="H30" t="s">
        <v>106</v>
      </c>
      <c r="I30" s="16">
        <v>16</v>
      </c>
      <c r="J30" s="16">
        <v>16</v>
      </c>
      <c r="K30" s="16">
        <v>12</v>
      </c>
      <c r="L30" s="16">
        <v>27.2</v>
      </c>
      <c r="M30" t="s">
        <v>891</v>
      </c>
      <c r="N30" s="16">
        <v>28</v>
      </c>
      <c r="O30" t="s">
        <v>891</v>
      </c>
      <c r="P30" s="16">
        <v>7.25</v>
      </c>
      <c r="Q30" t="s">
        <v>892</v>
      </c>
      <c r="R30" t="s">
        <v>893</v>
      </c>
      <c r="S30" t="s">
        <v>956</v>
      </c>
      <c r="T30" t="s">
        <v>895</v>
      </c>
      <c r="U30" t="s">
        <v>896</v>
      </c>
      <c r="V30" t="s">
        <v>10</v>
      </c>
      <c r="W30" s="16">
        <v>0</v>
      </c>
      <c r="X30" s="17" t="s">
        <v>957</v>
      </c>
    </row>
    <row r="31" spans="1:24" ht="18" x14ac:dyDescent="0.2">
      <c r="A31" s="12" t="s">
        <v>107</v>
      </c>
      <c r="B31" s="3">
        <v>60.52</v>
      </c>
      <c r="C31" s="5">
        <v>111.79300000000001</v>
      </c>
      <c r="D31" s="5">
        <f t="shared" si="0"/>
        <v>51.273000000000003</v>
      </c>
      <c r="E31" t="s">
        <v>108</v>
      </c>
      <c r="F31" t="s">
        <v>10</v>
      </c>
      <c r="G31" t="s">
        <v>109</v>
      </c>
      <c r="H31" t="s">
        <v>110</v>
      </c>
      <c r="I31" s="16">
        <v>19</v>
      </c>
      <c r="J31" s="16">
        <v>19</v>
      </c>
      <c r="K31" s="16">
        <v>15</v>
      </c>
      <c r="L31" s="16">
        <v>63.1</v>
      </c>
      <c r="M31" t="s">
        <v>891</v>
      </c>
      <c r="N31" s="16">
        <v>64</v>
      </c>
      <c r="O31" t="s">
        <v>891</v>
      </c>
      <c r="P31" s="16">
        <v>19.5</v>
      </c>
      <c r="Q31" t="s">
        <v>892</v>
      </c>
      <c r="R31" t="s">
        <v>910</v>
      </c>
      <c r="S31" t="s">
        <v>958</v>
      </c>
      <c r="T31" t="s">
        <v>895</v>
      </c>
      <c r="U31" t="s">
        <v>896</v>
      </c>
      <c r="V31" t="s">
        <v>10</v>
      </c>
      <c r="W31" s="16">
        <v>19.504000000000001</v>
      </c>
      <c r="X31" s="17" t="s">
        <v>959</v>
      </c>
    </row>
    <row r="32" spans="1:24" ht="18" x14ac:dyDescent="0.2">
      <c r="A32" s="12" t="s">
        <v>111</v>
      </c>
      <c r="B32" s="3">
        <v>21.61</v>
      </c>
      <c r="C32" s="5">
        <v>29.128</v>
      </c>
      <c r="D32" s="5">
        <f t="shared" si="0"/>
        <v>7.5180000000000007</v>
      </c>
      <c r="E32" t="s">
        <v>14</v>
      </c>
      <c r="F32" t="s">
        <v>10</v>
      </c>
      <c r="G32" t="s">
        <v>112</v>
      </c>
      <c r="H32" t="s">
        <v>113</v>
      </c>
      <c r="I32" s="16">
        <v>16</v>
      </c>
      <c r="J32" s="16">
        <v>15</v>
      </c>
      <c r="K32" s="16">
        <v>12</v>
      </c>
      <c r="L32" s="16">
        <v>27.5</v>
      </c>
      <c r="M32" t="s">
        <v>891</v>
      </c>
      <c r="N32" s="16">
        <v>28</v>
      </c>
      <c r="O32" t="s">
        <v>891</v>
      </c>
      <c r="P32" s="16">
        <v>7.71</v>
      </c>
      <c r="Q32" t="s">
        <v>892</v>
      </c>
      <c r="R32" t="s">
        <v>898</v>
      </c>
      <c r="S32" t="s">
        <v>960</v>
      </c>
      <c r="T32" t="s">
        <v>895</v>
      </c>
      <c r="U32" t="s">
        <v>896</v>
      </c>
      <c r="V32" t="s">
        <v>10</v>
      </c>
      <c r="W32" s="16">
        <v>7.7110000000000003</v>
      </c>
      <c r="X32" s="17" t="s">
        <v>961</v>
      </c>
    </row>
    <row r="33" spans="1:24" ht="18" x14ac:dyDescent="0.2">
      <c r="A33" s="12" t="s">
        <v>114</v>
      </c>
      <c r="B33" s="3">
        <v>26.31</v>
      </c>
      <c r="C33" s="5">
        <v>30.338000000000001</v>
      </c>
      <c r="D33" s="5">
        <f t="shared" si="0"/>
        <v>4.0280000000000022</v>
      </c>
      <c r="E33" t="s">
        <v>25</v>
      </c>
      <c r="F33" t="s">
        <v>10</v>
      </c>
      <c r="G33" t="s">
        <v>115</v>
      </c>
      <c r="H33" t="s">
        <v>116</v>
      </c>
      <c r="I33" s="16">
        <v>16</v>
      </c>
      <c r="J33" s="16">
        <v>16</v>
      </c>
      <c r="K33" s="16">
        <v>12</v>
      </c>
      <c r="L33" s="16">
        <v>29.5</v>
      </c>
      <c r="M33" t="s">
        <v>891</v>
      </c>
      <c r="N33" s="16">
        <v>30</v>
      </c>
      <c r="O33" t="s">
        <v>891</v>
      </c>
      <c r="P33" s="16">
        <v>11.34</v>
      </c>
      <c r="Q33" t="s">
        <v>892</v>
      </c>
      <c r="R33" t="s">
        <v>962</v>
      </c>
      <c r="S33" t="s">
        <v>963</v>
      </c>
      <c r="T33" t="s">
        <v>895</v>
      </c>
      <c r="U33" t="s">
        <v>896</v>
      </c>
      <c r="V33" t="s">
        <v>10</v>
      </c>
      <c r="W33" s="16">
        <v>11.34</v>
      </c>
      <c r="X33" s="17" t="s">
        <v>909</v>
      </c>
    </row>
    <row r="34" spans="1:24" ht="18" x14ac:dyDescent="0.2">
      <c r="A34" s="12" t="s">
        <v>117</v>
      </c>
      <c r="B34" s="3">
        <v>26.31</v>
      </c>
      <c r="C34" s="5">
        <v>29.073</v>
      </c>
      <c r="D34" s="5">
        <f t="shared" si="0"/>
        <v>2.7630000000000017</v>
      </c>
      <c r="E34" t="s">
        <v>25</v>
      </c>
      <c r="F34" t="s">
        <v>10</v>
      </c>
      <c r="G34" t="s">
        <v>118</v>
      </c>
      <c r="H34" t="s">
        <v>119</v>
      </c>
      <c r="I34" s="16">
        <v>15</v>
      </c>
      <c r="J34" s="16">
        <v>15</v>
      </c>
      <c r="K34" s="16">
        <v>11</v>
      </c>
      <c r="L34" s="16">
        <v>27.7</v>
      </c>
      <c r="M34" t="s">
        <v>891</v>
      </c>
      <c r="N34" s="16">
        <v>28</v>
      </c>
      <c r="O34" t="s">
        <v>891</v>
      </c>
      <c r="P34" s="16">
        <v>11.34</v>
      </c>
      <c r="Q34" t="s">
        <v>892</v>
      </c>
      <c r="R34" t="s">
        <v>898</v>
      </c>
      <c r="S34" t="s">
        <v>964</v>
      </c>
      <c r="T34" t="s">
        <v>895</v>
      </c>
      <c r="U34" t="s">
        <v>896</v>
      </c>
      <c r="V34" t="s">
        <v>10</v>
      </c>
      <c r="W34" s="16">
        <v>11.34</v>
      </c>
      <c r="X34" s="17" t="s">
        <v>909</v>
      </c>
    </row>
    <row r="35" spans="1:24" ht="18" x14ac:dyDescent="0.2">
      <c r="A35" s="12" t="s">
        <v>120</v>
      </c>
      <c r="B35" s="3">
        <v>29.02</v>
      </c>
      <c r="C35" s="5">
        <v>31.559000000000001</v>
      </c>
      <c r="D35" s="5">
        <f t="shared" si="0"/>
        <v>2.5390000000000015</v>
      </c>
      <c r="E35" t="s">
        <v>21</v>
      </c>
      <c r="F35" t="s">
        <v>10</v>
      </c>
      <c r="G35" t="s">
        <v>121</v>
      </c>
      <c r="H35" t="s">
        <v>122</v>
      </c>
      <c r="I35" s="16">
        <v>18</v>
      </c>
      <c r="J35" s="16">
        <v>16</v>
      </c>
      <c r="K35" s="16">
        <v>16</v>
      </c>
      <c r="L35" s="16">
        <v>39.200000000000003</v>
      </c>
      <c r="M35" t="s">
        <v>891</v>
      </c>
      <c r="N35" s="16">
        <v>40</v>
      </c>
      <c r="O35" t="s">
        <v>891</v>
      </c>
      <c r="P35" s="16">
        <v>16</v>
      </c>
      <c r="Q35" t="s">
        <v>892</v>
      </c>
      <c r="R35" t="s">
        <v>923</v>
      </c>
      <c r="S35" t="s">
        <v>965</v>
      </c>
      <c r="T35" t="s">
        <v>895</v>
      </c>
      <c r="U35" t="s">
        <v>896</v>
      </c>
      <c r="V35" t="s">
        <v>10</v>
      </c>
      <c r="W35" s="16">
        <v>1</v>
      </c>
      <c r="X35" s="17" t="s">
        <v>966</v>
      </c>
    </row>
    <row r="36" spans="1:24" ht="18" x14ac:dyDescent="0.2">
      <c r="A36" s="12" t="s">
        <v>123</v>
      </c>
      <c r="B36" s="3">
        <v>25.62</v>
      </c>
      <c r="C36" s="5">
        <v>36.585999999999999</v>
      </c>
      <c r="D36" s="5">
        <f t="shared" si="0"/>
        <v>10.965999999999998</v>
      </c>
      <c r="E36" t="s">
        <v>14</v>
      </c>
      <c r="F36" t="s">
        <v>10</v>
      </c>
      <c r="G36" t="s">
        <v>124</v>
      </c>
      <c r="H36" t="s">
        <v>125</v>
      </c>
      <c r="I36" s="16">
        <v>16</v>
      </c>
      <c r="J36" s="16">
        <v>16</v>
      </c>
      <c r="K36" s="16">
        <v>12</v>
      </c>
      <c r="L36" s="16">
        <v>27.3</v>
      </c>
      <c r="M36" t="s">
        <v>891</v>
      </c>
      <c r="N36" s="16">
        <v>28</v>
      </c>
      <c r="O36" t="s">
        <v>891</v>
      </c>
      <c r="P36" s="16">
        <v>7.71</v>
      </c>
      <c r="Q36" t="s">
        <v>892</v>
      </c>
      <c r="R36" t="s">
        <v>967</v>
      </c>
      <c r="S36" t="s">
        <v>968</v>
      </c>
      <c r="T36" t="s">
        <v>895</v>
      </c>
      <c r="U36" t="s">
        <v>896</v>
      </c>
      <c r="V36" t="s">
        <v>10</v>
      </c>
      <c r="W36" s="16">
        <v>10.433</v>
      </c>
      <c r="X36" s="17" t="s">
        <v>900</v>
      </c>
    </row>
    <row r="37" spans="1:24" ht="18" x14ac:dyDescent="0.2">
      <c r="A37" s="12" t="s">
        <v>126</v>
      </c>
      <c r="B37" s="3">
        <v>24.48</v>
      </c>
      <c r="C37" s="5">
        <v>41.03</v>
      </c>
      <c r="D37" s="5">
        <f t="shared" si="0"/>
        <v>16.55</v>
      </c>
      <c r="E37" t="s">
        <v>21</v>
      </c>
      <c r="F37" t="s">
        <v>10</v>
      </c>
      <c r="G37" t="s">
        <v>127</v>
      </c>
      <c r="H37" t="s">
        <v>128</v>
      </c>
      <c r="I37" s="16">
        <v>19</v>
      </c>
      <c r="J37" s="16">
        <v>17</v>
      </c>
      <c r="K37" s="16">
        <v>13</v>
      </c>
      <c r="L37" s="16">
        <v>42.1</v>
      </c>
      <c r="M37" t="s">
        <v>891</v>
      </c>
      <c r="N37" s="16">
        <v>43</v>
      </c>
      <c r="O37" t="s">
        <v>891</v>
      </c>
      <c r="P37" s="16">
        <v>10.43</v>
      </c>
      <c r="Q37" t="s">
        <v>892</v>
      </c>
      <c r="R37" t="s">
        <v>939</v>
      </c>
      <c r="S37" t="s">
        <v>969</v>
      </c>
      <c r="T37" t="s">
        <v>895</v>
      </c>
      <c r="U37" t="s">
        <v>896</v>
      </c>
      <c r="V37" t="s">
        <v>10</v>
      </c>
      <c r="W37" s="16">
        <v>10.433</v>
      </c>
      <c r="X37" s="17" t="s">
        <v>970</v>
      </c>
    </row>
    <row r="38" spans="1:24" ht="18" x14ac:dyDescent="0.2">
      <c r="A38" s="12" t="s">
        <v>129</v>
      </c>
      <c r="B38" s="3">
        <v>71.94</v>
      </c>
      <c r="C38" s="5">
        <v>74.756</v>
      </c>
      <c r="D38" s="5">
        <f t="shared" si="0"/>
        <v>2.8160000000000025</v>
      </c>
      <c r="E38" t="s">
        <v>35</v>
      </c>
      <c r="F38" t="s">
        <v>10</v>
      </c>
      <c r="G38" t="s">
        <v>130</v>
      </c>
      <c r="H38" t="s">
        <v>131</v>
      </c>
      <c r="I38" s="16">
        <v>19</v>
      </c>
      <c r="J38" s="16">
        <v>16</v>
      </c>
      <c r="K38" s="16">
        <v>16</v>
      </c>
      <c r="L38" s="16">
        <v>65.599999999999994</v>
      </c>
      <c r="M38" t="s">
        <v>891</v>
      </c>
      <c r="N38" s="16">
        <v>66</v>
      </c>
      <c r="O38" t="s">
        <v>891</v>
      </c>
      <c r="P38" s="16">
        <v>25.4</v>
      </c>
      <c r="Q38" t="s">
        <v>892</v>
      </c>
      <c r="R38" t="s">
        <v>923</v>
      </c>
      <c r="S38" t="s">
        <v>971</v>
      </c>
      <c r="T38" t="s">
        <v>895</v>
      </c>
      <c r="U38" t="s">
        <v>896</v>
      </c>
      <c r="V38" t="s">
        <v>10</v>
      </c>
      <c r="W38" s="16">
        <v>25.401</v>
      </c>
      <c r="X38" s="17" t="s">
        <v>972</v>
      </c>
    </row>
    <row r="39" spans="1:24" ht="18" x14ac:dyDescent="0.2">
      <c r="A39" s="12" t="s">
        <v>132</v>
      </c>
      <c r="B39" s="3">
        <v>21.76</v>
      </c>
      <c r="C39" s="5">
        <v>24.408999999999999</v>
      </c>
      <c r="D39" s="5">
        <f t="shared" si="0"/>
        <v>2.6489999999999974</v>
      </c>
      <c r="E39" t="s">
        <v>25</v>
      </c>
      <c r="F39" t="s">
        <v>10</v>
      </c>
      <c r="G39" t="s">
        <v>133</v>
      </c>
      <c r="H39" t="s">
        <v>134</v>
      </c>
      <c r="I39" s="16">
        <v>16</v>
      </c>
      <c r="J39" s="16">
        <v>16</v>
      </c>
      <c r="K39" s="16">
        <v>12</v>
      </c>
      <c r="L39" s="16">
        <v>28.9</v>
      </c>
      <c r="M39" t="s">
        <v>891</v>
      </c>
      <c r="N39" s="16">
        <v>29</v>
      </c>
      <c r="O39" t="s">
        <v>891</v>
      </c>
      <c r="P39" s="16">
        <v>11.34</v>
      </c>
      <c r="Q39" t="s">
        <v>892</v>
      </c>
      <c r="R39" t="s">
        <v>935</v>
      </c>
      <c r="S39" t="s">
        <v>973</v>
      </c>
      <c r="T39" t="s">
        <v>895</v>
      </c>
      <c r="U39" t="s">
        <v>896</v>
      </c>
      <c r="V39" t="s">
        <v>10</v>
      </c>
      <c r="W39" s="16">
        <v>11.34</v>
      </c>
      <c r="X39" s="17" t="s">
        <v>909</v>
      </c>
    </row>
    <row r="40" spans="1:24" ht="18" x14ac:dyDescent="0.2">
      <c r="A40" s="12" t="s">
        <v>135</v>
      </c>
      <c r="B40" s="3">
        <v>85.53</v>
      </c>
      <c r="C40" s="5">
        <v>98.691999999999993</v>
      </c>
      <c r="D40" s="5">
        <f t="shared" si="0"/>
        <v>13.161999999999992</v>
      </c>
      <c r="E40" t="s">
        <v>87</v>
      </c>
      <c r="F40" t="s">
        <v>10</v>
      </c>
      <c r="G40" t="s">
        <v>136</v>
      </c>
      <c r="H40" t="s">
        <v>137</v>
      </c>
      <c r="I40" s="16">
        <v>27</v>
      </c>
      <c r="J40" s="16">
        <v>22</v>
      </c>
      <c r="K40" s="16">
        <v>16</v>
      </c>
      <c r="L40" s="16">
        <v>100.5</v>
      </c>
      <c r="M40" t="s">
        <v>891</v>
      </c>
      <c r="N40" s="16">
        <v>101</v>
      </c>
      <c r="O40" t="s">
        <v>891</v>
      </c>
      <c r="P40" s="16">
        <v>39</v>
      </c>
      <c r="Q40" t="s">
        <v>892</v>
      </c>
      <c r="R40" t="s">
        <v>974</v>
      </c>
      <c r="S40" t="s">
        <v>975</v>
      </c>
      <c r="T40" t="s">
        <v>895</v>
      </c>
      <c r="U40" t="s">
        <v>896</v>
      </c>
      <c r="V40" t="s">
        <v>10</v>
      </c>
      <c r="W40" s="16">
        <v>1</v>
      </c>
      <c r="X40" s="17" t="s">
        <v>946</v>
      </c>
    </row>
    <row r="41" spans="1:24" ht="18" x14ac:dyDescent="0.2">
      <c r="A41" s="12" t="s">
        <v>138</v>
      </c>
      <c r="B41" s="3">
        <v>31.56</v>
      </c>
      <c r="C41" s="5">
        <v>34.661000000000001</v>
      </c>
      <c r="D41" s="5">
        <f t="shared" si="0"/>
        <v>3.1010000000000026</v>
      </c>
      <c r="E41" t="s">
        <v>139</v>
      </c>
      <c r="F41" t="s">
        <v>10</v>
      </c>
      <c r="G41" t="s">
        <v>140</v>
      </c>
      <c r="H41" t="s">
        <v>141</v>
      </c>
      <c r="I41" s="16">
        <v>29</v>
      </c>
      <c r="J41" s="16">
        <v>19</v>
      </c>
      <c r="K41" s="16">
        <v>7</v>
      </c>
      <c r="L41" s="16">
        <v>43.1</v>
      </c>
      <c r="M41" t="s">
        <v>891</v>
      </c>
      <c r="N41" s="16">
        <v>44</v>
      </c>
      <c r="O41" t="s">
        <v>891</v>
      </c>
      <c r="P41" s="16">
        <v>18</v>
      </c>
      <c r="Q41" t="s">
        <v>892</v>
      </c>
      <c r="R41" t="s">
        <v>976</v>
      </c>
      <c r="S41" t="s">
        <v>977</v>
      </c>
      <c r="T41" t="s">
        <v>895</v>
      </c>
      <c r="U41" t="s">
        <v>896</v>
      </c>
      <c r="V41" t="s">
        <v>10</v>
      </c>
      <c r="W41" s="16">
        <v>18</v>
      </c>
      <c r="X41" s="17" t="s">
        <v>978</v>
      </c>
    </row>
    <row r="42" spans="1:24" ht="18" x14ac:dyDescent="0.2">
      <c r="A42" s="12" t="s">
        <v>142</v>
      </c>
      <c r="B42" s="3">
        <v>23.88</v>
      </c>
      <c r="C42" s="5">
        <v>56.243000000000002</v>
      </c>
      <c r="D42" s="5">
        <f t="shared" si="0"/>
        <v>32.363</v>
      </c>
      <c r="E42" t="s">
        <v>143</v>
      </c>
      <c r="F42" t="s">
        <v>10</v>
      </c>
      <c r="G42" t="s">
        <v>144</v>
      </c>
      <c r="H42" t="s">
        <v>145</v>
      </c>
      <c r="I42" s="16">
        <v>31</v>
      </c>
      <c r="J42" s="16">
        <v>19</v>
      </c>
      <c r="K42" s="16">
        <v>8</v>
      </c>
      <c r="L42" s="16">
        <v>51.3</v>
      </c>
      <c r="M42" t="s">
        <v>891</v>
      </c>
      <c r="N42" s="16">
        <v>52</v>
      </c>
      <c r="O42" t="s">
        <v>891</v>
      </c>
      <c r="P42" s="16">
        <v>20</v>
      </c>
      <c r="Q42" t="s">
        <v>892</v>
      </c>
      <c r="R42" t="s">
        <v>979</v>
      </c>
      <c r="S42" t="s">
        <v>980</v>
      </c>
      <c r="T42" t="s">
        <v>895</v>
      </c>
      <c r="U42" t="s">
        <v>896</v>
      </c>
      <c r="V42" t="s">
        <v>10</v>
      </c>
      <c r="W42" s="16">
        <v>20</v>
      </c>
      <c r="X42" s="17" t="s">
        <v>981</v>
      </c>
    </row>
    <row r="43" spans="1:24" ht="18" x14ac:dyDescent="0.2">
      <c r="A43" s="12" t="s">
        <v>146</v>
      </c>
      <c r="B43" s="3">
        <v>69.45</v>
      </c>
      <c r="C43" s="5">
        <v>82.863</v>
      </c>
      <c r="D43" s="5">
        <f t="shared" si="0"/>
        <v>13.412999999999997</v>
      </c>
      <c r="E43" t="s">
        <v>147</v>
      </c>
      <c r="F43" t="s">
        <v>10</v>
      </c>
      <c r="G43" t="s">
        <v>148</v>
      </c>
      <c r="H43" t="s">
        <v>149</v>
      </c>
      <c r="I43" s="16">
        <v>28</v>
      </c>
      <c r="J43" s="16">
        <v>25</v>
      </c>
      <c r="K43" s="16">
        <v>20</v>
      </c>
      <c r="L43" s="16">
        <v>61.3</v>
      </c>
      <c r="M43" t="s">
        <v>891</v>
      </c>
      <c r="N43" s="16">
        <v>85</v>
      </c>
      <c r="O43" t="s">
        <v>891</v>
      </c>
      <c r="P43" s="16">
        <v>27.66</v>
      </c>
      <c r="Q43" t="s">
        <v>892</v>
      </c>
      <c r="R43" t="s">
        <v>982</v>
      </c>
      <c r="S43" t="s">
        <v>983</v>
      </c>
      <c r="T43" t="s">
        <v>895</v>
      </c>
      <c r="U43" t="s">
        <v>896</v>
      </c>
      <c r="V43" t="s">
        <v>10</v>
      </c>
      <c r="W43" s="16">
        <v>0</v>
      </c>
      <c r="X43" s="17" t="s">
        <v>903</v>
      </c>
    </row>
    <row r="44" spans="1:24" ht="18" x14ac:dyDescent="0.2">
      <c r="A44" s="12" t="s">
        <v>150</v>
      </c>
      <c r="B44" s="3">
        <v>17</v>
      </c>
      <c r="C44" s="5">
        <v>19.382000000000001</v>
      </c>
      <c r="D44" s="5">
        <f t="shared" si="0"/>
        <v>2.3820000000000014</v>
      </c>
      <c r="E44" t="s">
        <v>25</v>
      </c>
      <c r="F44" t="s">
        <v>10</v>
      </c>
      <c r="G44" t="s">
        <v>151</v>
      </c>
      <c r="H44" t="s">
        <v>152</v>
      </c>
      <c r="I44" s="16">
        <v>16</v>
      </c>
      <c r="J44" s="16">
        <v>16</v>
      </c>
      <c r="K44" s="16">
        <v>12</v>
      </c>
      <c r="L44" s="16">
        <v>29.4</v>
      </c>
      <c r="M44" t="s">
        <v>891</v>
      </c>
      <c r="N44" s="16">
        <v>30</v>
      </c>
      <c r="O44" t="s">
        <v>891</v>
      </c>
      <c r="P44" s="16">
        <v>10.43</v>
      </c>
      <c r="Q44" t="s">
        <v>892</v>
      </c>
      <c r="R44" t="s">
        <v>930</v>
      </c>
      <c r="S44" t="s">
        <v>984</v>
      </c>
      <c r="T44" t="s">
        <v>895</v>
      </c>
      <c r="U44" t="s">
        <v>896</v>
      </c>
      <c r="V44" t="s">
        <v>10</v>
      </c>
      <c r="W44" s="16">
        <v>10.433</v>
      </c>
      <c r="X44" s="17" t="s">
        <v>985</v>
      </c>
    </row>
    <row r="45" spans="1:24" ht="18" x14ac:dyDescent="0.2">
      <c r="A45" s="12" t="s">
        <v>153</v>
      </c>
      <c r="B45" s="3">
        <v>43.92</v>
      </c>
      <c r="C45" s="5">
        <v>56.243000000000002</v>
      </c>
      <c r="D45" s="5">
        <f t="shared" si="0"/>
        <v>12.323</v>
      </c>
      <c r="E45" t="s">
        <v>21</v>
      </c>
      <c r="F45" t="s">
        <v>10</v>
      </c>
      <c r="G45" t="s">
        <v>154</v>
      </c>
      <c r="H45" t="s">
        <v>155</v>
      </c>
      <c r="I45" s="16">
        <v>26</v>
      </c>
      <c r="J45" s="16">
        <v>19</v>
      </c>
      <c r="K45" s="16">
        <v>14</v>
      </c>
      <c r="L45" s="16">
        <v>49.2</v>
      </c>
      <c r="M45" t="s">
        <v>891</v>
      </c>
      <c r="N45" s="16">
        <v>50</v>
      </c>
      <c r="O45" t="s">
        <v>891</v>
      </c>
      <c r="P45" s="16">
        <v>16</v>
      </c>
      <c r="Q45" t="s">
        <v>892</v>
      </c>
      <c r="R45" t="s">
        <v>910</v>
      </c>
      <c r="S45" t="s">
        <v>986</v>
      </c>
      <c r="T45" t="s">
        <v>895</v>
      </c>
      <c r="U45" t="s">
        <v>896</v>
      </c>
      <c r="V45" t="s">
        <v>10</v>
      </c>
      <c r="W45" s="16">
        <v>1</v>
      </c>
      <c r="X45" s="17" t="s">
        <v>966</v>
      </c>
    </row>
    <row r="46" spans="1:24" ht="18" x14ac:dyDescent="0.2">
      <c r="A46" s="12" t="s">
        <v>156</v>
      </c>
      <c r="B46" s="3">
        <v>39.159999999999997</v>
      </c>
      <c r="C46" s="5">
        <v>44.604999999999997</v>
      </c>
      <c r="D46" s="5">
        <f t="shared" si="0"/>
        <v>5.4450000000000003</v>
      </c>
      <c r="E46" t="s">
        <v>25</v>
      </c>
      <c r="F46" t="s">
        <v>10</v>
      </c>
      <c r="G46" t="s">
        <v>157</v>
      </c>
      <c r="H46" t="s">
        <v>158</v>
      </c>
      <c r="I46" s="16">
        <v>16</v>
      </c>
      <c r="J46" s="16">
        <v>16</v>
      </c>
      <c r="K46" s="16">
        <v>12</v>
      </c>
      <c r="L46" s="16">
        <v>29.4</v>
      </c>
      <c r="M46" t="s">
        <v>891</v>
      </c>
      <c r="N46" s="16">
        <v>30</v>
      </c>
      <c r="O46" t="s">
        <v>891</v>
      </c>
      <c r="P46" s="16">
        <v>11.34</v>
      </c>
      <c r="Q46" t="s">
        <v>892</v>
      </c>
      <c r="R46" t="s">
        <v>987</v>
      </c>
      <c r="S46" t="s">
        <v>988</v>
      </c>
      <c r="T46" t="s">
        <v>895</v>
      </c>
      <c r="U46" t="s">
        <v>896</v>
      </c>
      <c r="V46" t="s">
        <v>10</v>
      </c>
      <c r="W46" s="16">
        <v>11.34</v>
      </c>
      <c r="X46" s="17" t="s">
        <v>909</v>
      </c>
    </row>
    <row r="47" spans="1:24" ht="18" x14ac:dyDescent="0.2">
      <c r="A47" s="12" t="s">
        <v>159</v>
      </c>
      <c r="B47" s="3">
        <v>32.340000000000003</v>
      </c>
      <c r="C47" s="5">
        <v>36.509</v>
      </c>
      <c r="D47" s="5">
        <f t="shared" si="0"/>
        <v>4.1689999999999969</v>
      </c>
      <c r="E47" t="s">
        <v>25</v>
      </c>
      <c r="F47" t="s">
        <v>10</v>
      </c>
      <c r="G47" t="s">
        <v>160</v>
      </c>
      <c r="H47" t="s">
        <v>161</v>
      </c>
      <c r="I47" s="16">
        <v>15</v>
      </c>
      <c r="J47" s="16">
        <v>15</v>
      </c>
      <c r="K47" s="16">
        <v>11</v>
      </c>
      <c r="L47" s="16">
        <v>27.7</v>
      </c>
      <c r="M47" t="s">
        <v>891</v>
      </c>
      <c r="N47" s="16">
        <v>28</v>
      </c>
      <c r="O47" t="s">
        <v>891</v>
      </c>
      <c r="P47" s="16">
        <v>11.34</v>
      </c>
      <c r="Q47" t="s">
        <v>892</v>
      </c>
      <c r="R47" t="s">
        <v>910</v>
      </c>
      <c r="S47" t="s">
        <v>989</v>
      </c>
      <c r="T47" t="s">
        <v>895</v>
      </c>
      <c r="U47" t="s">
        <v>896</v>
      </c>
      <c r="V47" t="s">
        <v>10</v>
      </c>
      <c r="W47" s="16">
        <v>11.34</v>
      </c>
      <c r="X47" s="17" t="s">
        <v>909</v>
      </c>
    </row>
    <row r="48" spans="1:24" ht="18" x14ac:dyDescent="0.2">
      <c r="A48" s="12" t="s">
        <v>162</v>
      </c>
      <c r="B48" s="3">
        <v>26.31</v>
      </c>
      <c r="C48" s="5">
        <v>30.734000000000002</v>
      </c>
      <c r="D48" s="5">
        <f t="shared" si="0"/>
        <v>4.424000000000003</v>
      </c>
      <c r="E48" t="s">
        <v>25</v>
      </c>
      <c r="F48" t="s">
        <v>10</v>
      </c>
      <c r="G48" t="s">
        <v>163</v>
      </c>
      <c r="H48" t="s">
        <v>164</v>
      </c>
      <c r="I48" s="16">
        <v>17</v>
      </c>
      <c r="J48" s="16">
        <v>17</v>
      </c>
      <c r="K48" s="16">
        <v>17</v>
      </c>
      <c r="L48" s="16">
        <v>30.6</v>
      </c>
      <c r="M48" t="s">
        <v>891</v>
      </c>
      <c r="N48" s="16">
        <v>31</v>
      </c>
      <c r="O48" t="s">
        <v>891</v>
      </c>
      <c r="P48" s="16">
        <v>11.34</v>
      </c>
      <c r="Q48" t="s">
        <v>892</v>
      </c>
      <c r="R48" t="s">
        <v>935</v>
      </c>
      <c r="S48" t="s">
        <v>990</v>
      </c>
      <c r="T48" t="s">
        <v>895</v>
      </c>
      <c r="U48" t="s">
        <v>896</v>
      </c>
      <c r="V48" t="s">
        <v>10</v>
      </c>
      <c r="W48" s="16">
        <v>11.34</v>
      </c>
      <c r="X48" s="17" t="s">
        <v>909</v>
      </c>
    </row>
    <row r="49" spans="1:24" ht="18" x14ac:dyDescent="0.2">
      <c r="A49" s="12" t="s">
        <v>165</v>
      </c>
      <c r="B49" s="3">
        <v>26.31</v>
      </c>
      <c r="C49" s="5">
        <v>29.128</v>
      </c>
      <c r="D49" s="5">
        <f t="shared" si="0"/>
        <v>2.8180000000000014</v>
      </c>
      <c r="E49" t="s">
        <v>25</v>
      </c>
      <c r="F49" t="s">
        <v>10</v>
      </c>
      <c r="G49" t="s">
        <v>166</v>
      </c>
      <c r="H49" t="s">
        <v>167</v>
      </c>
      <c r="I49" s="16">
        <v>15</v>
      </c>
      <c r="J49" s="16">
        <v>15</v>
      </c>
      <c r="K49" s="16">
        <v>11</v>
      </c>
      <c r="L49" s="16">
        <v>28</v>
      </c>
      <c r="M49" t="s">
        <v>891</v>
      </c>
      <c r="N49" s="16">
        <v>28</v>
      </c>
      <c r="O49" t="s">
        <v>891</v>
      </c>
      <c r="P49" s="16">
        <v>11.34</v>
      </c>
      <c r="Q49" t="s">
        <v>892</v>
      </c>
      <c r="R49" t="s">
        <v>991</v>
      </c>
      <c r="S49" t="s">
        <v>992</v>
      </c>
      <c r="T49" t="s">
        <v>895</v>
      </c>
      <c r="U49" t="s">
        <v>896</v>
      </c>
      <c r="V49" t="s">
        <v>10</v>
      </c>
      <c r="W49" s="16">
        <v>11.34</v>
      </c>
      <c r="X49" s="17" t="s">
        <v>909</v>
      </c>
    </row>
    <row r="50" spans="1:24" ht="18" x14ac:dyDescent="0.2">
      <c r="A50" s="12" t="s">
        <v>168</v>
      </c>
      <c r="B50" s="3">
        <v>24.48</v>
      </c>
      <c r="C50" s="5">
        <v>30.228000000000002</v>
      </c>
      <c r="D50" s="5">
        <f t="shared" si="0"/>
        <v>5.7480000000000011</v>
      </c>
      <c r="F50" t="s">
        <v>91</v>
      </c>
      <c r="I50" s="16">
        <v>16</v>
      </c>
      <c r="J50" s="16">
        <v>16</v>
      </c>
      <c r="K50" s="16">
        <v>12</v>
      </c>
      <c r="L50" s="16">
        <v>29.6</v>
      </c>
      <c r="M50" t="s">
        <v>891</v>
      </c>
      <c r="N50" s="16">
        <v>30</v>
      </c>
      <c r="O50" t="s">
        <v>891</v>
      </c>
      <c r="P50" s="16">
        <v>10.43</v>
      </c>
      <c r="Q50" t="s">
        <v>892</v>
      </c>
      <c r="R50" t="s">
        <v>907</v>
      </c>
      <c r="S50" t="s">
        <v>993</v>
      </c>
      <c r="T50" t="s">
        <v>895</v>
      </c>
      <c r="U50" t="s">
        <v>896</v>
      </c>
      <c r="V50" t="s">
        <v>10</v>
      </c>
      <c r="W50" s="16">
        <v>10.433</v>
      </c>
      <c r="X50" s="17" t="s">
        <v>985</v>
      </c>
    </row>
    <row r="51" spans="1:24" ht="18" x14ac:dyDescent="0.2">
      <c r="A51" s="12" t="s">
        <v>169</v>
      </c>
      <c r="B51" s="3">
        <v>29.02</v>
      </c>
      <c r="C51" s="5">
        <v>31.559000000000001</v>
      </c>
      <c r="D51" s="5">
        <f t="shared" si="0"/>
        <v>2.5390000000000015</v>
      </c>
      <c r="E51" t="s">
        <v>21</v>
      </c>
      <c r="F51" t="s">
        <v>10</v>
      </c>
      <c r="G51" t="s">
        <v>170</v>
      </c>
      <c r="H51" t="s">
        <v>171</v>
      </c>
      <c r="I51" s="16">
        <v>18</v>
      </c>
      <c r="J51" s="16">
        <v>15</v>
      </c>
      <c r="K51" s="16">
        <v>13</v>
      </c>
      <c r="L51" s="16">
        <v>38.5</v>
      </c>
      <c r="M51" t="s">
        <v>891</v>
      </c>
      <c r="N51" s="16">
        <v>39</v>
      </c>
      <c r="O51" t="s">
        <v>891</v>
      </c>
      <c r="P51" s="16">
        <v>16</v>
      </c>
      <c r="Q51" t="s">
        <v>892</v>
      </c>
      <c r="R51" t="s">
        <v>976</v>
      </c>
      <c r="S51" t="s">
        <v>994</v>
      </c>
      <c r="T51" t="s">
        <v>895</v>
      </c>
      <c r="U51" t="s">
        <v>896</v>
      </c>
      <c r="V51" t="s">
        <v>10</v>
      </c>
      <c r="W51" s="16">
        <v>1</v>
      </c>
      <c r="X51" s="17" t="s">
        <v>966</v>
      </c>
    </row>
    <row r="52" spans="1:24" ht="18" x14ac:dyDescent="0.2">
      <c r="A52" s="12" t="s">
        <v>172</v>
      </c>
      <c r="B52" s="3">
        <v>19.95</v>
      </c>
      <c r="C52" s="5">
        <v>27.456</v>
      </c>
      <c r="D52" s="5">
        <f t="shared" si="0"/>
        <v>7.5060000000000002</v>
      </c>
      <c r="E52" t="s">
        <v>173</v>
      </c>
      <c r="F52" t="s">
        <v>10</v>
      </c>
      <c r="G52" t="s">
        <v>174</v>
      </c>
      <c r="H52" t="s">
        <v>175</v>
      </c>
      <c r="I52" s="16">
        <v>19</v>
      </c>
      <c r="J52" s="16">
        <v>18</v>
      </c>
      <c r="K52" s="16">
        <v>13</v>
      </c>
      <c r="L52" s="16">
        <v>20.7</v>
      </c>
      <c r="M52" t="s">
        <v>891</v>
      </c>
      <c r="N52" s="16">
        <v>27</v>
      </c>
      <c r="O52" t="s">
        <v>891</v>
      </c>
      <c r="P52" s="16">
        <v>6</v>
      </c>
      <c r="Q52" t="s">
        <v>892</v>
      </c>
      <c r="R52" t="s">
        <v>967</v>
      </c>
      <c r="S52" t="s">
        <v>995</v>
      </c>
      <c r="T52" t="s">
        <v>895</v>
      </c>
      <c r="U52" t="s">
        <v>896</v>
      </c>
      <c r="V52" t="s">
        <v>10</v>
      </c>
      <c r="W52" s="16">
        <v>6</v>
      </c>
      <c r="X52" s="17" t="s">
        <v>996</v>
      </c>
    </row>
    <row r="53" spans="1:24" ht="18" x14ac:dyDescent="0.2">
      <c r="A53" s="12" t="s">
        <v>176</v>
      </c>
      <c r="B53" s="3">
        <v>33.520000000000003</v>
      </c>
      <c r="C53" s="5">
        <v>36.585999999999999</v>
      </c>
      <c r="D53" s="5">
        <f t="shared" si="0"/>
        <v>3.0659999999999954</v>
      </c>
      <c r="E53" t="s">
        <v>14</v>
      </c>
      <c r="F53" t="s">
        <v>10</v>
      </c>
      <c r="G53" t="s">
        <v>177</v>
      </c>
      <c r="H53" t="s">
        <v>178</v>
      </c>
      <c r="I53" s="16">
        <v>41</v>
      </c>
      <c r="J53" s="16">
        <v>38</v>
      </c>
      <c r="K53" s="16">
        <v>30</v>
      </c>
      <c r="L53" s="16">
        <v>27.1</v>
      </c>
      <c r="M53" t="s">
        <v>891</v>
      </c>
      <c r="N53" s="16">
        <v>28</v>
      </c>
      <c r="O53" t="s">
        <v>891</v>
      </c>
      <c r="P53" s="16">
        <v>11.38</v>
      </c>
      <c r="Q53" t="s">
        <v>892</v>
      </c>
      <c r="R53" t="s">
        <v>910</v>
      </c>
      <c r="S53" t="s">
        <v>997</v>
      </c>
      <c r="T53" t="s">
        <v>895</v>
      </c>
      <c r="U53" t="s">
        <v>896</v>
      </c>
      <c r="V53" t="s">
        <v>10</v>
      </c>
      <c r="W53" s="16">
        <v>11.385</v>
      </c>
      <c r="X53" s="17" t="s">
        <v>998</v>
      </c>
    </row>
    <row r="54" spans="1:24" ht="18" x14ac:dyDescent="0.2">
      <c r="A54" s="12" t="s">
        <v>179</v>
      </c>
      <c r="B54" s="3">
        <v>58.76</v>
      </c>
      <c r="C54" s="5">
        <v>61.798000000000002</v>
      </c>
      <c r="D54" s="5">
        <f t="shared" si="0"/>
        <v>3.0380000000000038</v>
      </c>
      <c r="E54" t="s">
        <v>180</v>
      </c>
      <c r="F54" t="s">
        <v>10</v>
      </c>
      <c r="G54" t="s">
        <v>181</v>
      </c>
      <c r="H54" t="s">
        <v>182</v>
      </c>
      <c r="I54" s="16">
        <v>20</v>
      </c>
      <c r="J54" s="16">
        <v>19</v>
      </c>
      <c r="K54" s="16">
        <v>19</v>
      </c>
      <c r="L54" s="16">
        <v>72.2</v>
      </c>
      <c r="M54" t="s">
        <v>891</v>
      </c>
      <c r="N54" s="16">
        <v>73</v>
      </c>
      <c r="O54" t="s">
        <v>891</v>
      </c>
      <c r="P54" s="16">
        <v>28</v>
      </c>
      <c r="Q54" t="s">
        <v>892</v>
      </c>
      <c r="R54" t="s">
        <v>893</v>
      </c>
      <c r="S54" t="s">
        <v>977</v>
      </c>
      <c r="T54" t="s">
        <v>895</v>
      </c>
      <c r="U54" t="s">
        <v>896</v>
      </c>
      <c r="V54" t="s">
        <v>10</v>
      </c>
      <c r="W54" s="16">
        <v>1</v>
      </c>
      <c r="X54" s="17" t="s">
        <v>999</v>
      </c>
    </row>
    <row r="55" spans="1:24" ht="18" x14ac:dyDescent="0.2">
      <c r="A55" s="12" t="s">
        <v>183</v>
      </c>
      <c r="B55" s="3">
        <v>43.04</v>
      </c>
      <c r="C55" s="5">
        <v>50.435000000000002</v>
      </c>
      <c r="D55" s="5">
        <f t="shared" si="0"/>
        <v>7.3950000000000031</v>
      </c>
      <c r="F55" t="s">
        <v>91</v>
      </c>
      <c r="I55" s="16">
        <v>24</v>
      </c>
      <c r="J55" s="16">
        <v>14</v>
      </c>
      <c r="K55" s="16">
        <v>14</v>
      </c>
      <c r="L55" s="16">
        <v>8.3000000000000007</v>
      </c>
      <c r="M55" t="s">
        <v>891</v>
      </c>
      <c r="N55" s="16">
        <v>29</v>
      </c>
      <c r="O55" t="s">
        <v>891</v>
      </c>
      <c r="P55" s="16">
        <v>21</v>
      </c>
      <c r="Q55" t="s">
        <v>892</v>
      </c>
      <c r="R55" t="s">
        <v>898</v>
      </c>
      <c r="S55" t="s">
        <v>1000</v>
      </c>
      <c r="T55" t="s">
        <v>895</v>
      </c>
      <c r="U55" t="s">
        <v>896</v>
      </c>
      <c r="V55" t="s">
        <v>10</v>
      </c>
      <c r="W55" s="16">
        <v>9</v>
      </c>
      <c r="X55" s="17" t="s">
        <v>1001</v>
      </c>
    </row>
    <row r="56" spans="1:24" ht="18" x14ac:dyDescent="0.2">
      <c r="A56" s="12" t="s">
        <v>184</v>
      </c>
      <c r="B56" s="3">
        <v>44.6</v>
      </c>
      <c r="C56" s="5">
        <v>84.347999999999999</v>
      </c>
      <c r="D56" s="5">
        <f t="shared" si="0"/>
        <v>39.747999999999998</v>
      </c>
      <c r="E56" t="s">
        <v>147</v>
      </c>
      <c r="F56" t="s">
        <v>10</v>
      </c>
      <c r="G56" t="s">
        <v>185</v>
      </c>
      <c r="H56" t="s">
        <v>186</v>
      </c>
      <c r="I56" s="16">
        <v>23</v>
      </c>
      <c r="J56" s="16">
        <v>19</v>
      </c>
      <c r="K56" s="16">
        <v>18</v>
      </c>
      <c r="L56" s="16">
        <v>52.5</v>
      </c>
      <c r="M56" t="s">
        <v>891</v>
      </c>
      <c r="N56" s="16">
        <v>53</v>
      </c>
      <c r="O56" t="s">
        <v>891</v>
      </c>
      <c r="P56" s="16">
        <v>22</v>
      </c>
      <c r="Q56" t="s">
        <v>892</v>
      </c>
      <c r="R56" t="s">
        <v>898</v>
      </c>
      <c r="S56" t="s">
        <v>1002</v>
      </c>
      <c r="T56" t="s">
        <v>895</v>
      </c>
      <c r="U56" t="s">
        <v>896</v>
      </c>
      <c r="V56" t="s">
        <v>10</v>
      </c>
      <c r="W56" s="16">
        <v>1</v>
      </c>
      <c r="X56" s="17" t="s">
        <v>1003</v>
      </c>
    </row>
    <row r="57" spans="1:24" ht="18" x14ac:dyDescent="0.2">
      <c r="A57" s="12" t="s">
        <v>187</v>
      </c>
      <c r="B57" s="3">
        <v>85.85</v>
      </c>
      <c r="C57" s="5">
        <v>89.045000000000002</v>
      </c>
      <c r="D57" s="5">
        <f t="shared" si="0"/>
        <v>3.1950000000000074</v>
      </c>
      <c r="E57" t="s">
        <v>35</v>
      </c>
      <c r="F57" t="s">
        <v>10</v>
      </c>
      <c r="G57" t="s">
        <v>188</v>
      </c>
      <c r="H57" t="s">
        <v>189</v>
      </c>
      <c r="I57" s="16">
        <v>20</v>
      </c>
      <c r="J57" s="16">
        <v>19</v>
      </c>
      <c r="K57" s="16">
        <v>17</v>
      </c>
      <c r="L57" s="16">
        <v>62.3</v>
      </c>
      <c r="M57" t="s">
        <v>891</v>
      </c>
      <c r="N57" s="16">
        <v>63</v>
      </c>
      <c r="O57" t="s">
        <v>891</v>
      </c>
      <c r="P57" s="16">
        <v>26.3</v>
      </c>
      <c r="Q57" t="s">
        <v>892</v>
      </c>
      <c r="R57" t="s">
        <v>939</v>
      </c>
      <c r="S57" t="s">
        <v>1004</v>
      </c>
      <c r="T57" t="s">
        <v>895</v>
      </c>
      <c r="U57" t="s">
        <v>896</v>
      </c>
      <c r="V57" t="s">
        <v>10</v>
      </c>
      <c r="W57" s="16">
        <v>26.308</v>
      </c>
      <c r="X57" s="17" t="s">
        <v>1005</v>
      </c>
    </row>
    <row r="58" spans="1:24" ht="18" x14ac:dyDescent="0.2">
      <c r="A58" s="12" t="s">
        <v>190</v>
      </c>
      <c r="B58" s="3">
        <v>20.78</v>
      </c>
      <c r="C58" s="5">
        <v>24.134</v>
      </c>
      <c r="D58" s="5">
        <f t="shared" si="0"/>
        <v>3.3539999999999992</v>
      </c>
      <c r="E58" t="s">
        <v>14</v>
      </c>
      <c r="F58" t="s">
        <v>10</v>
      </c>
      <c r="G58" t="s">
        <v>191</v>
      </c>
      <c r="H58" t="s">
        <v>192</v>
      </c>
      <c r="I58" s="16">
        <v>16</v>
      </c>
      <c r="J58" s="16">
        <v>15</v>
      </c>
      <c r="K58" s="16">
        <v>12</v>
      </c>
      <c r="L58" s="16">
        <v>27.1</v>
      </c>
      <c r="M58" t="s">
        <v>891</v>
      </c>
      <c r="N58" s="16">
        <v>28</v>
      </c>
      <c r="O58" t="s">
        <v>891</v>
      </c>
      <c r="P58" s="16">
        <v>10.199999999999999</v>
      </c>
      <c r="Q58" t="s">
        <v>892</v>
      </c>
      <c r="R58" t="s">
        <v>923</v>
      </c>
      <c r="S58" t="s">
        <v>1006</v>
      </c>
      <c r="T58" t="s">
        <v>895</v>
      </c>
      <c r="U58" t="s">
        <v>896</v>
      </c>
      <c r="V58" t="s">
        <v>10</v>
      </c>
      <c r="W58" s="16">
        <v>1</v>
      </c>
      <c r="X58" s="17" t="s">
        <v>955</v>
      </c>
    </row>
    <row r="59" spans="1:24" ht="18" x14ac:dyDescent="0.2">
      <c r="A59" s="12" t="s">
        <v>193</v>
      </c>
      <c r="B59" s="3">
        <v>32.47</v>
      </c>
      <c r="C59" s="5">
        <v>36.585999999999999</v>
      </c>
      <c r="D59" s="5">
        <f t="shared" si="0"/>
        <v>4.1159999999999997</v>
      </c>
      <c r="E59" t="s">
        <v>25</v>
      </c>
      <c r="F59" t="s">
        <v>10</v>
      </c>
      <c r="G59" t="s">
        <v>194</v>
      </c>
      <c r="H59" t="s">
        <v>195</v>
      </c>
      <c r="I59" s="16">
        <v>17</v>
      </c>
      <c r="J59" s="16">
        <v>13</v>
      </c>
      <c r="K59" s="16">
        <v>11</v>
      </c>
      <c r="L59" s="16">
        <v>27.1</v>
      </c>
      <c r="M59" t="s">
        <v>891</v>
      </c>
      <c r="N59" s="16">
        <v>28</v>
      </c>
      <c r="O59" t="s">
        <v>891</v>
      </c>
      <c r="P59" s="16">
        <v>11.34</v>
      </c>
      <c r="Q59" t="s">
        <v>892</v>
      </c>
      <c r="R59" t="s">
        <v>912</v>
      </c>
      <c r="S59" t="s">
        <v>1007</v>
      </c>
      <c r="T59" t="s">
        <v>895</v>
      </c>
      <c r="U59" t="s">
        <v>896</v>
      </c>
      <c r="V59" t="s">
        <v>10</v>
      </c>
      <c r="W59" s="16">
        <v>11.34</v>
      </c>
      <c r="X59" s="17" t="s">
        <v>909</v>
      </c>
    </row>
    <row r="60" spans="1:24" ht="18" x14ac:dyDescent="0.2">
      <c r="A60" s="12" t="s">
        <v>196</v>
      </c>
      <c r="B60" s="3">
        <v>32.47</v>
      </c>
      <c r="C60" s="5">
        <v>36.585999999999999</v>
      </c>
      <c r="D60" s="5">
        <f t="shared" si="0"/>
        <v>4.1159999999999997</v>
      </c>
      <c r="E60" t="s">
        <v>25</v>
      </c>
      <c r="F60" t="s">
        <v>10</v>
      </c>
      <c r="G60" t="s">
        <v>197</v>
      </c>
      <c r="H60" t="s">
        <v>198</v>
      </c>
      <c r="I60" s="16">
        <v>15</v>
      </c>
      <c r="J60" s="16">
        <v>15</v>
      </c>
      <c r="K60" s="16">
        <v>15</v>
      </c>
      <c r="L60" s="16">
        <v>27.4</v>
      </c>
      <c r="M60" t="s">
        <v>891</v>
      </c>
      <c r="N60" s="16">
        <v>28</v>
      </c>
      <c r="O60" t="s">
        <v>891</v>
      </c>
      <c r="P60" s="16">
        <v>11.34</v>
      </c>
      <c r="Q60" t="s">
        <v>892</v>
      </c>
      <c r="R60" t="s">
        <v>910</v>
      </c>
      <c r="S60" t="s">
        <v>1008</v>
      </c>
      <c r="T60" t="s">
        <v>895</v>
      </c>
      <c r="U60" t="s">
        <v>896</v>
      </c>
      <c r="V60" t="s">
        <v>10</v>
      </c>
      <c r="W60" s="16">
        <v>11.34</v>
      </c>
      <c r="X60" s="17" t="s">
        <v>909</v>
      </c>
    </row>
    <row r="61" spans="1:24" ht="18" x14ac:dyDescent="0.2">
      <c r="A61" s="12" t="s">
        <v>199</v>
      </c>
      <c r="B61" s="3">
        <v>20.86</v>
      </c>
      <c r="C61" s="5">
        <v>37.18</v>
      </c>
      <c r="D61" s="5">
        <f t="shared" si="0"/>
        <v>16.32</v>
      </c>
      <c r="E61" t="s">
        <v>200</v>
      </c>
      <c r="F61" t="s">
        <v>10</v>
      </c>
      <c r="G61" t="s">
        <v>201</v>
      </c>
      <c r="H61" t="s">
        <v>202</v>
      </c>
      <c r="I61" s="16">
        <v>27</v>
      </c>
      <c r="J61" s="16">
        <v>20</v>
      </c>
      <c r="K61" s="16">
        <v>16</v>
      </c>
      <c r="L61" s="16"/>
      <c r="N61" s="16">
        <v>52</v>
      </c>
      <c r="O61" t="s">
        <v>891</v>
      </c>
      <c r="P61" s="16">
        <v>10.43</v>
      </c>
      <c r="Q61" t="s">
        <v>892</v>
      </c>
      <c r="R61" t="s">
        <v>979</v>
      </c>
      <c r="S61" t="s">
        <v>1009</v>
      </c>
      <c r="T61" t="s">
        <v>895</v>
      </c>
      <c r="U61" t="s">
        <v>896</v>
      </c>
      <c r="V61" t="s">
        <v>10</v>
      </c>
      <c r="W61" s="16">
        <v>10.433</v>
      </c>
      <c r="X61" s="17" t="s">
        <v>1010</v>
      </c>
    </row>
    <row r="62" spans="1:24" ht="18" x14ac:dyDescent="0.2">
      <c r="A62" s="12" t="s">
        <v>203</v>
      </c>
      <c r="B62" s="3">
        <v>103.58</v>
      </c>
      <c r="C62" s="5">
        <v>113.696</v>
      </c>
      <c r="D62" s="5">
        <f t="shared" si="0"/>
        <v>10.116</v>
      </c>
      <c r="E62" t="s">
        <v>87</v>
      </c>
      <c r="F62" t="s">
        <v>10</v>
      </c>
      <c r="G62" t="s">
        <v>204</v>
      </c>
      <c r="H62" t="s">
        <v>205</v>
      </c>
      <c r="I62" s="16">
        <v>26</v>
      </c>
      <c r="J62" s="16">
        <v>21</v>
      </c>
      <c r="K62" s="16">
        <v>16</v>
      </c>
      <c r="L62" s="16">
        <v>98.9</v>
      </c>
      <c r="M62" t="s">
        <v>891</v>
      </c>
      <c r="N62" s="16">
        <v>99</v>
      </c>
      <c r="O62" t="s">
        <v>891</v>
      </c>
      <c r="P62" s="16">
        <v>39</v>
      </c>
      <c r="Q62" t="s">
        <v>892</v>
      </c>
      <c r="R62" t="s">
        <v>991</v>
      </c>
      <c r="S62" t="s">
        <v>1011</v>
      </c>
      <c r="T62" t="s">
        <v>895</v>
      </c>
      <c r="U62" t="s">
        <v>896</v>
      </c>
      <c r="V62" t="s">
        <v>10</v>
      </c>
      <c r="W62" s="16">
        <v>39.009</v>
      </c>
      <c r="X62" s="17" t="s">
        <v>1012</v>
      </c>
    </row>
    <row r="63" spans="1:24" ht="18" x14ac:dyDescent="0.2">
      <c r="A63" s="12" t="s">
        <v>206</v>
      </c>
      <c r="B63" s="3">
        <v>29.14</v>
      </c>
      <c r="C63" s="5">
        <v>31.68</v>
      </c>
      <c r="D63" s="5">
        <f t="shared" si="0"/>
        <v>2.5399999999999991</v>
      </c>
      <c r="E63" t="s">
        <v>62</v>
      </c>
      <c r="F63" t="s">
        <v>10</v>
      </c>
      <c r="G63" t="s">
        <v>207</v>
      </c>
      <c r="H63" t="s">
        <v>208</v>
      </c>
      <c r="I63" s="16">
        <v>24</v>
      </c>
      <c r="J63" s="16">
        <v>21</v>
      </c>
      <c r="K63" s="16">
        <v>10</v>
      </c>
      <c r="L63" s="16">
        <v>38.299999999999997</v>
      </c>
      <c r="M63" t="s">
        <v>891</v>
      </c>
      <c r="N63" s="16">
        <v>39</v>
      </c>
      <c r="O63" t="s">
        <v>891</v>
      </c>
      <c r="P63" s="16">
        <v>16</v>
      </c>
      <c r="Q63" t="s">
        <v>892</v>
      </c>
      <c r="R63" t="s">
        <v>923</v>
      </c>
      <c r="S63" t="s">
        <v>1013</v>
      </c>
      <c r="T63" t="s">
        <v>895</v>
      </c>
      <c r="U63" t="s">
        <v>896</v>
      </c>
      <c r="V63" t="s">
        <v>10</v>
      </c>
      <c r="W63" s="16">
        <v>1</v>
      </c>
      <c r="X63" s="17" t="s">
        <v>1014</v>
      </c>
    </row>
    <row r="64" spans="1:24" ht="18" x14ac:dyDescent="0.2">
      <c r="A64" s="12" t="s">
        <v>209</v>
      </c>
      <c r="B64" s="3">
        <v>41.36</v>
      </c>
      <c r="C64" s="5">
        <v>88.869</v>
      </c>
      <c r="D64" s="5">
        <f t="shared" si="0"/>
        <v>47.509</v>
      </c>
      <c r="E64" t="s">
        <v>108</v>
      </c>
      <c r="F64" t="s">
        <v>10</v>
      </c>
      <c r="G64" t="s">
        <v>210</v>
      </c>
      <c r="H64" t="s">
        <v>211</v>
      </c>
      <c r="I64" s="16">
        <v>19</v>
      </c>
      <c r="J64" s="16">
        <v>19</v>
      </c>
      <c r="K64" s="16">
        <v>15</v>
      </c>
      <c r="L64" s="16">
        <v>62.6</v>
      </c>
      <c r="M64" t="s">
        <v>891</v>
      </c>
      <c r="N64" s="16">
        <v>63</v>
      </c>
      <c r="O64" t="s">
        <v>891</v>
      </c>
      <c r="P64" s="16">
        <v>19.5</v>
      </c>
      <c r="Q64" t="s">
        <v>892</v>
      </c>
      <c r="R64" t="s">
        <v>939</v>
      </c>
      <c r="S64" t="s">
        <v>1015</v>
      </c>
      <c r="T64" t="s">
        <v>895</v>
      </c>
      <c r="U64" t="s">
        <v>896</v>
      </c>
      <c r="V64" t="s">
        <v>10</v>
      </c>
      <c r="W64" s="16">
        <v>19.504000000000001</v>
      </c>
      <c r="X64" s="17" t="s">
        <v>1016</v>
      </c>
    </row>
    <row r="65" spans="1:24" ht="18" x14ac:dyDescent="0.2">
      <c r="A65" s="12" t="s">
        <v>212</v>
      </c>
      <c r="B65" s="3">
        <v>32.47</v>
      </c>
      <c r="C65" s="5">
        <v>37.774000000000001</v>
      </c>
      <c r="D65" s="5">
        <f t="shared" si="0"/>
        <v>5.304000000000002</v>
      </c>
      <c r="E65" t="s">
        <v>25</v>
      </c>
      <c r="F65" t="s">
        <v>10</v>
      </c>
      <c r="G65" t="s">
        <v>213</v>
      </c>
      <c r="H65" t="s">
        <v>214</v>
      </c>
      <c r="I65" s="16">
        <v>16</v>
      </c>
      <c r="J65" s="16">
        <v>16</v>
      </c>
      <c r="K65" s="16">
        <v>12</v>
      </c>
      <c r="L65" s="16">
        <v>28.7</v>
      </c>
      <c r="M65" t="s">
        <v>891</v>
      </c>
      <c r="N65" s="16">
        <v>29</v>
      </c>
      <c r="O65" t="s">
        <v>891</v>
      </c>
      <c r="P65" s="16">
        <v>11.34</v>
      </c>
      <c r="Q65" t="s">
        <v>892</v>
      </c>
      <c r="R65" t="s">
        <v>1017</v>
      </c>
      <c r="S65" t="s">
        <v>894</v>
      </c>
      <c r="T65" t="s">
        <v>895</v>
      </c>
      <c r="U65" t="s">
        <v>896</v>
      </c>
      <c r="V65" t="s">
        <v>10</v>
      </c>
      <c r="W65" s="16">
        <v>11.34</v>
      </c>
      <c r="X65" s="17" t="s">
        <v>909</v>
      </c>
    </row>
    <row r="66" spans="1:24" ht="18" x14ac:dyDescent="0.2">
      <c r="A66" s="12" t="s">
        <v>215</v>
      </c>
      <c r="B66" s="3">
        <v>29.14</v>
      </c>
      <c r="C66" s="5">
        <v>32.482999999999997</v>
      </c>
      <c r="D66" s="5">
        <f t="shared" ref="D66:D129" si="1">C66-B66</f>
        <v>3.3429999999999964</v>
      </c>
      <c r="E66" t="s">
        <v>21</v>
      </c>
      <c r="F66" t="s">
        <v>10</v>
      </c>
      <c r="G66" t="s">
        <v>216</v>
      </c>
      <c r="H66" t="s">
        <v>217</v>
      </c>
      <c r="I66" s="16">
        <v>24</v>
      </c>
      <c r="J66" s="16">
        <v>16</v>
      </c>
      <c r="K66" s="16">
        <v>16</v>
      </c>
      <c r="L66" s="16">
        <v>40.6</v>
      </c>
      <c r="M66" t="s">
        <v>891</v>
      </c>
      <c r="N66" s="16">
        <v>41</v>
      </c>
      <c r="O66" t="s">
        <v>891</v>
      </c>
      <c r="P66" s="16">
        <v>16</v>
      </c>
      <c r="Q66" t="s">
        <v>892</v>
      </c>
      <c r="R66" t="s">
        <v>917</v>
      </c>
      <c r="S66" t="s">
        <v>1018</v>
      </c>
      <c r="T66" t="s">
        <v>895</v>
      </c>
      <c r="U66" t="s">
        <v>896</v>
      </c>
      <c r="V66" t="s">
        <v>10</v>
      </c>
      <c r="W66" s="16">
        <v>1</v>
      </c>
      <c r="X66" s="17" t="s">
        <v>966</v>
      </c>
    </row>
    <row r="67" spans="1:24" ht="18" x14ac:dyDescent="0.2">
      <c r="A67" s="12" t="s">
        <v>218</v>
      </c>
      <c r="B67" s="3">
        <v>36.729999999999997</v>
      </c>
      <c r="C67" s="5">
        <v>38.994999999999997</v>
      </c>
      <c r="D67" s="5">
        <f t="shared" si="1"/>
        <v>2.2650000000000006</v>
      </c>
      <c r="E67" t="s">
        <v>21</v>
      </c>
      <c r="F67" t="s">
        <v>10</v>
      </c>
      <c r="G67" t="s">
        <v>219</v>
      </c>
      <c r="H67" t="s">
        <v>220</v>
      </c>
      <c r="I67" s="16">
        <v>22</v>
      </c>
      <c r="J67" s="16">
        <v>17</v>
      </c>
      <c r="K67" s="16">
        <v>15</v>
      </c>
      <c r="L67" s="16">
        <v>40.5</v>
      </c>
      <c r="M67" t="s">
        <v>891</v>
      </c>
      <c r="N67" s="16">
        <v>41</v>
      </c>
      <c r="O67" t="s">
        <v>891</v>
      </c>
      <c r="P67" s="16">
        <v>17.23</v>
      </c>
      <c r="Q67" t="s">
        <v>892</v>
      </c>
      <c r="R67" t="s">
        <v>962</v>
      </c>
      <c r="S67" t="s">
        <v>1019</v>
      </c>
      <c r="T67" t="s">
        <v>895</v>
      </c>
      <c r="U67" t="s">
        <v>896</v>
      </c>
      <c r="V67" t="s">
        <v>10</v>
      </c>
      <c r="W67" s="16">
        <v>17.236999999999998</v>
      </c>
      <c r="X67" s="17" t="s">
        <v>906</v>
      </c>
    </row>
    <row r="68" spans="1:24" ht="18" x14ac:dyDescent="0.2">
      <c r="A68" s="12" t="s">
        <v>221</v>
      </c>
      <c r="B68" s="3">
        <v>26.41</v>
      </c>
      <c r="C68" s="5">
        <v>29.359000000000002</v>
      </c>
      <c r="D68" s="5">
        <f t="shared" si="1"/>
        <v>2.9490000000000016</v>
      </c>
      <c r="E68" t="s">
        <v>25</v>
      </c>
      <c r="F68" t="s">
        <v>10</v>
      </c>
      <c r="G68" t="s">
        <v>222</v>
      </c>
      <c r="H68" t="s">
        <v>223</v>
      </c>
      <c r="I68" s="16"/>
      <c r="J68" s="16"/>
      <c r="K68" s="16"/>
      <c r="L68" s="16"/>
      <c r="N68" s="16"/>
      <c r="P68" s="16"/>
      <c r="V68" t="s">
        <v>91</v>
      </c>
      <c r="W68" s="16">
        <v>11.34</v>
      </c>
      <c r="X68" s="17" t="s">
        <v>909</v>
      </c>
    </row>
    <row r="69" spans="1:24" ht="18" x14ac:dyDescent="0.2">
      <c r="A69" s="12" t="s">
        <v>224</v>
      </c>
      <c r="B69" s="3">
        <v>35.08</v>
      </c>
      <c r="C69" s="5">
        <v>37.564999999999998</v>
      </c>
      <c r="D69" s="5">
        <f t="shared" si="1"/>
        <v>2.4849999999999994</v>
      </c>
      <c r="E69" t="s">
        <v>21</v>
      </c>
      <c r="F69" t="s">
        <v>10</v>
      </c>
      <c r="G69" t="s">
        <v>225</v>
      </c>
      <c r="H69" t="s">
        <v>226</v>
      </c>
      <c r="I69" s="16">
        <v>18</v>
      </c>
      <c r="J69" s="16">
        <v>16</v>
      </c>
      <c r="K69" s="16">
        <v>11</v>
      </c>
      <c r="L69" s="16">
        <v>38.299999999999997</v>
      </c>
      <c r="M69" t="s">
        <v>891</v>
      </c>
      <c r="N69" s="16">
        <v>39</v>
      </c>
      <c r="O69" t="s">
        <v>891</v>
      </c>
      <c r="P69" s="16">
        <v>15.87</v>
      </c>
      <c r="Q69" t="s">
        <v>892</v>
      </c>
      <c r="R69" t="s">
        <v>901</v>
      </c>
      <c r="S69" t="s">
        <v>1020</v>
      </c>
      <c r="T69" t="s">
        <v>895</v>
      </c>
      <c r="U69" t="s">
        <v>896</v>
      </c>
      <c r="V69" t="s">
        <v>10</v>
      </c>
      <c r="W69" s="16">
        <v>0</v>
      </c>
      <c r="X69" s="17" t="s">
        <v>903</v>
      </c>
    </row>
    <row r="70" spans="1:24" ht="18" x14ac:dyDescent="0.2">
      <c r="A70" s="12" t="s">
        <v>227</v>
      </c>
      <c r="B70" s="3">
        <v>46.71</v>
      </c>
      <c r="C70" s="5">
        <v>64.174000000000007</v>
      </c>
      <c r="D70" s="5">
        <f t="shared" si="1"/>
        <v>17.464000000000006</v>
      </c>
      <c r="E70" t="s">
        <v>21</v>
      </c>
      <c r="F70" t="s">
        <v>10</v>
      </c>
      <c r="G70" t="s">
        <v>228</v>
      </c>
      <c r="H70" t="s">
        <v>229</v>
      </c>
      <c r="I70" s="16">
        <v>46</v>
      </c>
      <c r="J70" s="16">
        <v>45</v>
      </c>
      <c r="K70" s="16">
        <v>34</v>
      </c>
      <c r="L70" s="16">
        <v>38.799999999999997</v>
      </c>
      <c r="M70" t="s">
        <v>891</v>
      </c>
      <c r="N70" s="16">
        <v>39</v>
      </c>
      <c r="O70" t="s">
        <v>891</v>
      </c>
      <c r="P70" s="16">
        <v>7.5</v>
      </c>
      <c r="Q70" t="s">
        <v>892</v>
      </c>
      <c r="R70" t="s">
        <v>1021</v>
      </c>
      <c r="S70" t="s">
        <v>1022</v>
      </c>
      <c r="T70" t="s">
        <v>895</v>
      </c>
      <c r="U70" t="s">
        <v>896</v>
      </c>
      <c r="V70" t="s">
        <v>10</v>
      </c>
      <c r="W70" s="16">
        <v>7.5</v>
      </c>
      <c r="X70" s="17" t="s">
        <v>1023</v>
      </c>
    </row>
    <row r="71" spans="1:24" ht="18" x14ac:dyDescent="0.2">
      <c r="A71" s="12" t="s">
        <v>230</v>
      </c>
      <c r="B71" s="3">
        <v>32.47</v>
      </c>
      <c r="C71" s="5">
        <v>36.728999999999999</v>
      </c>
      <c r="D71" s="5">
        <f t="shared" si="1"/>
        <v>4.2590000000000003</v>
      </c>
      <c r="E71" t="s">
        <v>43</v>
      </c>
      <c r="F71" t="s">
        <v>10</v>
      </c>
      <c r="G71" t="s">
        <v>231</v>
      </c>
      <c r="H71" t="s">
        <v>232</v>
      </c>
      <c r="I71" s="16">
        <v>17</v>
      </c>
      <c r="J71" s="16">
        <v>13</v>
      </c>
      <c r="K71" s="16">
        <v>12</v>
      </c>
      <c r="L71" s="16">
        <v>27.9</v>
      </c>
      <c r="M71" t="s">
        <v>891</v>
      </c>
      <c r="N71" s="16">
        <v>28</v>
      </c>
      <c r="O71" t="s">
        <v>891</v>
      </c>
      <c r="P71" s="16">
        <v>11.34</v>
      </c>
      <c r="Q71" t="s">
        <v>892</v>
      </c>
      <c r="R71" t="s">
        <v>904</v>
      </c>
      <c r="S71" t="s">
        <v>1024</v>
      </c>
      <c r="T71" t="s">
        <v>895</v>
      </c>
      <c r="U71" t="s">
        <v>896</v>
      </c>
      <c r="V71" t="s">
        <v>10</v>
      </c>
      <c r="W71" s="16">
        <v>11.34</v>
      </c>
      <c r="X71" s="17" t="s">
        <v>909</v>
      </c>
    </row>
    <row r="72" spans="1:24" ht="18" x14ac:dyDescent="0.2">
      <c r="A72" s="12" t="s">
        <v>233</v>
      </c>
      <c r="B72" s="3">
        <v>53.79</v>
      </c>
      <c r="C72" s="5">
        <v>63.613</v>
      </c>
      <c r="D72" s="5">
        <f t="shared" si="1"/>
        <v>9.8230000000000004</v>
      </c>
      <c r="E72" t="s">
        <v>21</v>
      </c>
      <c r="F72" t="s">
        <v>10</v>
      </c>
      <c r="G72" t="s">
        <v>234</v>
      </c>
      <c r="H72" t="s">
        <v>235</v>
      </c>
      <c r="I72" s="16">
        <v>23</v>
      </c>
      <c r="J72" s="16">
        <v>16</v>
      </c>
      <c r="K72" s="16">
        <v>14</v>
      </c>
      <c r="L72" s="16">
        <v>44.9</v>
      </c>
      <c r="M72" t="s">
        <v>891</v>
      </c>
      <c r="N72" s="16">
        <v>45</v>
      </c>
      <c r="O72" t="s">
        <v>891</v>
      </c>
      <c r="P72" s="16">
        <v>17.23</v>
      </c>
      <c r="Q72" t="s">
        <v>892</v>
      </c>
      <c r="R72" t="s">
        <v>910</v>
      </c>
      <c r="S72" t="s">
        <v>1025</v>
      </c>
      <c r="T72" t="s">
        <v>895</v>
      </c>
      <c r="U72" t="s">
        <v>896</v>
      </c>
      <c r="V72" t="s">
        <v>10</v>
      </c>
      <c r="W72" s="16">
        <v>17.236999999999998</v>
      </c>
      <c r="X72" s="17" t="s">
        <v>906</v>
      </c>
    </row>
    <row r="73" spans="1:24" ht="18" x14ac:dyDescent="0.2">
      <c r="A73" s="12" t="s">
        <v>236</v>
      </c>
      <c r="B73" s="3">
        <v>18.28</v>
      </c>
      <c r="C73" s="5">
        <v>23.550999999999998</v>
      </c>
      <c r="D73" s="5">
        <f t="shared" si="1"/>
        <v>5.2709999999999972</v>
      </c>
      <c r="E73" t="s">
        <v>25</v>
      </c>
      <c r="F73" t="s">
        <v>10</v>
      </c>
      <c r="G73" t="s">
        <v>237</v>
      </c>
      <c r="H73" t="s">
        <v>238</v>
      </c>
      <c r="I73" s="16">
        <v>16</v>
      </c>
      <c r="J73" s="16">
        <v>16</v>
      </c>
      <c r="K73" s="16">
        <v>12</v>
      </c>
      <c r="L73" s="16">
        <v>30.1</v>
      </c>
      <c r="M73" t="s">
        <v>891</v>
      </c>
      <c r="N73" s="16">
        <v>31</v>
      </c>
      <c r="O73" t="s">
        <v>891</v>
      </c>
      <c r="P73" s="16">
        <v>11.5</v>
      </c>
      <c r="Q73" t="s">
        <v>892</v>
      </c>
      <c r="R73" t="s">
        <v>979</v>
      </c>
      <c r="S73" t="s">
        <v>1026</v>
      </c>
      <c r="T73" t="s">
        <v>895</v>
      </c>
      <c r="U73" t="s">
        <v>896</v>
      </c>
      <c r="V73" t="s">
        <v>10</v>
      </c>
      <c r="W73" s="16">
        <v>1</v>
      </c>
      <c r="X73" s="17" t="s">
        <v>919</v>
      </c>
    </row>
    <row r="74" spans="1:24" ht="18" x14ac:dyDescent="0.2">
      <c r="A74" s="12" t="s">
        <v>239</v>
      </c>
      <c r="B74" s="3">
        <v>98.83</v>
      </c>
      <c r="C74" s="5">
        <v>105.27</v>
      </c>
      <c r="D74" s="5">
        <f t="shared" si="1"/>
        <v>6.4399999999999977</v>
      </c>
      <c r="E74" t="s">
        <v>240</v>
      </c>
      <c r="F74" t="s">
        <v>10</v>
      </c>
      <c r="G74" t="s">
        <v>241</v>
      </c>
      <c r="H74" t="s">
        <v>242</v>
      </c>
      <c r="I74" s="16">
        <v>26</v>
      </c>
      <c r="J74" s="16">
        <v>23</v>
      </c>
      <c r="K74" s="16">
        <v>17</v>
      </c>
      <c r="L74" s="16">
        <v>88.1</v>
      </c>
      <c r="M74" t="s">
        <v>891</v>
      </c>
      <c r="N74" s="16">
        <v>89</v>
      </c>
      <c r="O74" t="s">
        <v>891</v>
      </c>
      <c r="P74" s="16">
        <v>36.1</v>
      </c>
      <c r="Q74" t="s">
        <v>892</v>
      </c>
      <c r="R74" t="s">
        <v>901</v>
      </c>
      <c r="S74" t="s">
        <v>1027</v>
      </c>
      <c r="T74" t="s">
        <v>895</v>
      </c>
      <c r="U74" t="s">
        <v>896</v>
      </c>
      <c r="V74" t="s">
        <v>10</v>
      </c>
      <c r="W74" s="16">
        <v>1</v>
      </c>
      <c r="X74" s="17" t="s">
        <v>1028</v>
      </c>
    </row>
    <row r="75" spans="1:24" ht="18" x14ac:dyDescent="0.2">
      <c r="A75" s="12" t="s">
        <v>243</v>
      </c>
      <c r="B75" s="3">
        <v>26.5</v>
      </c>
      <c r="C75" s="5">
        <v>28.831</v>
      </c>
      <c r="D75" s="5">
        <f t="shared" si="1"/>
        <v>2.3309999999999995</v>
      </c>
      <c r="E75" t="s">
        <v>21</v>
      </c>
      <c r="F75" t="s">
        <v>10</v>
      </c>
      <c r="G75" t="s">
        <v>244</v>
      </c>
      <c r="H75" t="s">
        <v>245</v>
      </c>
      <c r="I75" s="16">
        <v>19</v>
      </c>
      <c r="J75" s="16">
        <v>17</v>
      </c>
      <c r="K75" s="16">
        <v>13</v>
      </c>
      <c r="L75" s="16">
        <v>40.700000000000003</v>
      </c>
      <c r="M75" t="s">
        <v>891</v>
      </c>
      <c r="N75" s="16">
        <v>41</v>
      </c>
      <c r="O75" t="s">
        <v>891</v>
      </c>
      <c r="P75" s="16">
        <v>17.23</v>
      </c>
      <c r="Q75" t="s">
        <v>892</v>
      </c>
      <c r="R75" t="s">
        <v>1029</v>
      </c>
      <c r="S75" t="s">
        <v>1030</v>
      </c>
      <c r="T75" t="s">
        <v>895</v>
      </c>
      <c r="U75" t="s">
        <v>896</v>
      </c>
      <c r="V75" t="s">
        <v>10</v>
      </c>
      <c r="W75" s="16">
        <v>17.236999999999998</v>
      </c>
      <c r="X75" s="17" t="s">
        <v>906</v>
      </c>
    </row>
    <row r="76" spans="1:24" ht="18" x14ac:dyDescent="0.2">
      <c r="A76" s="12" t="s">
        <v>246</v>
      </c>
      <c r="B76" s="3">
        <v>63.63</v>
      </c>
      <c r="C76" s="5">
        <v>76.872</v>
      </c>
      <c r="D76" s="5">
        <f t="shared" si="1"/>
        <v>13.241999999999997</v>
      </c>
      <c r="F76" t="s">
        <v>91</v>
      </c>
      <c r="I76" s="16">
        <v>64</v>
      </c>
      <c r="J76" s="16">
        <v>56</v>
      </c>
      <c r="K76" s="16">
        <v>46</v>
      </c>
      <c r="L76" s="16">
        <v>56.2</v>
      </c>
      <c r="M76" t="s">
        <v>891</v>
      </c>
      <c r="N76" s="16">
        <v>61</v>
      </c>
      <c r="O76" t="s">
        <v>891</v>
      </c>
      <c r="P76" s="16">
        <v>17.23</v>
      </c>
      <c r="Q76" t="s">
        <v>892</v>
      </c>
      <c r="R76" t="s">
        <v>895</v>
      </c>
      <c r="S76" t="s">
        <v>896</v>
      </c>
      <c r="T76" t="s">
        <v>982</v>
      </c>
      <c r="U76" t="s">
        <v>1031</v>
      </c>
      <c r="V76" t="s">
        <v>10</v>
      </c>
      <c r="W76" s="16"/>
      <c r="X76" s="17"/>
    </row>
    <row r="77" spans="1:24" ht="18" x14ac:dyDescent="0.2">
      <c r="A77" s="12" t="s">
        <v>247</v>
      </c>
      <c r="B77" s="3">
        <v>102.43</v>
      </c>
      <c r="C77" s="5">
        <v>113.748</v>
      </c>
      <c r="D77" s="5">
        <f t="shared" si="1"/>
        <v>11.317999999999998</v>
      </c>
      <c r="F77" t="s">
        <v>91</v>
      </c>
      <c r="I77" s="16">
        <v>58</v>
      </c>
      <c r="J77" s="16">
        <v>56</v>
      </c>
      <c r="K77" s="16">
        <v>43</v>
      </c>
      <c r="L77" s="16">
        <v>69.599999999999994</v>
      </c>
      <c r="M77" t="s">
        <v>891</v>
      </c>
      <c r="N77" s="16">
        <v>70</v>
      </c>
      <c r="O77" t="s">
        <v>891</v>
      </c>
      <c r="P77" s="16">
        <v>23.13</v>
      </c>
      <c r="Q77" t="s">
        <v>892</v>
      </c>
      <c r="R77" t="s">
        <v>895</v>
      </c>
      <c r="S77" t="s">
        <v>896</v>
      </c>
      <c r="T77" t="s">
        <v>898</v>
      </c>
      <c r="U77" t="s">
        <v>1032</v>
      </c>
      <c r="V77" t="s">
        <v>10</v>
      </c>
      <c r="W77" s="16"/>
      <c r="X77" s="17"/>
    </row>
    <row r="78" spans="1:24" ht="18" x14ac:dyDescent="0.2">
      <c r="A78" s="12" t="s">
        <v>248</v>
      </c>
      <c r="B78" s="3">
        <v>113.73</v>
      </c>
      <c r="C78" s="5">
        <v>142.64400000000001</v>
      </c>
      <c r="D78" s="5">
        <f t="shared" si="1"/>
        <v>28.914000000000001</v>
      </c>
      <c r="F78" t="s">
        <v>91</v>
      </c>
      <c r="I78" s="16">
        <v>69</v>
      </c>
      <c r="J78" s="16">
        <v>51</v>
      </c>
      <c r="K78" s="16">
        <v>51</v>
      </c>
      <c r="L78" s="16">
        <v>97.7</v>
      </c>
      <c r="M78" t="s">
        <v>891</v>
      </c>
      <c r="N78" s="16">
        <v>98</v>
      </c>
      <c r="O78" t="s">
        <v>891</v>
      </c>
      <c r="P78" s="16">
        <v>29.93</v>
      </c>
      <c r="Q78" t="s">
        <v>892</v>
      </c>
      <c r="R78" t="s">
        <v>895</v>
      </c>
      <c r="S78" t="s">
        <v>896</v>
      </c>
      <c r="T78" t="s">
        <v>907</v>
      </c>
      <c r="U78" t="s">
        <v>1033</v>
      </c>
      <c r="V78" t="s">
        <v>10</v>
      </c>
      <c r="W78" s="16"/>
      <c r="X78" s="17"/>
    </row>
    <row r="79" spans="1:24" ht="18" x14ac:dyDescent="0.2">
      <c r="A79" s="12" t="s">
        <v>249</v>
      </c>
      <c r="B79" s="3">
        <v>45.3</v>
      </c>
      <c r="C79" s="5">
        <v>49.61</v>
      </c>
      <c r="D79" s="5">
        <f t="shared" si="1"/>
        <v>4.3100000000000023</v>
      </c>
      <c r="E79" t="s">
        <v>21</v>
      </c>
      <c r="F79" t="s">
        <v>10</v>
      </c>
      <c r="G79" t="s">
        <v>250</v>
      </c>
      <c r="H79" t="s">
        <v>251</v>
      </c>
      <c r="I79" s="16">
        <v>19</v>
      </c>
      <c r="J79" s="16">
        <v>17</v>
      </c>
      <c r="K79" s="16">
        <v>13</v>
      </c>
      <c r="L79" s="16">
        <v>41.9</v>
      </c>
      <c r="M79" t="s">
        <v>891</v>
      </c>
      <c r="N79" s="16">
        <v>42</v>
      </c>
      <c r="O79" t="s">
        <v>891</v>
      </c>
      <c r="P79" s="16">
        <v>17.23</v>
      </c>
      <c r="Q79" t="s">
        <v>892</v>
      </c>
      <c r="R79" t="s">
        <v>898</v>
      </c>
      <c r="S79" t="s">
        <v>1034</v>
      </c>
      <c r="T79" t="s">
        <v>895</v>
      </c>
      <c r="U79" t="s">
        <v>896</v>
      </c>
      <c r="V79" t="s">
        <v>10</v>
      </c>
      <c r="W79" s="16">
        <v>17.236999999999998</v>
      </c>
      <c r="X79" s="17" t="s">
        <v>906</v>
      </c>
    </row>
    <row r="80" spans="1:24" ht="18" x14ac:dyDescent="0.2">
      <c r="A80" s="12" t="s">
        <v>252</v>
      </c>
      <c r="B80" s="3">
        <v>37.69</v>
      </c>
      <c r="C80" s="5">
        <v>72.138000000000005</v>
      </c>
      <c r="D80" s="5">
        <f t="shared" si="1"/>
        <v>34.448000000000008</v>
      </c>
      <c r="F80" t="s">
        <v>10</v>
      </c>
      <c r="H80" t="s">
        <v>253</v>
      </c>
      <c r="I80" s="16">
        <v>30</v>
      </c>
      <c r="J80" s="16">
        <v>19</v>
      </c>
      <c r="K80" s="16">
        <v>8</v>
      </c>
      <c r="L80" s="16">
        <v>51.1</v>
      </c>
      <c r="M80" t="s">
        <v>891</v>
      </c>
      <c r="N80" s="16">
        <v>52</v>
      </c>
      <c r="O80" t="s">
        <v>891</v>
      </c>
      <c r="P80" s="16">
        <v>20</v>
      </c>
      <c r="Q80" t="s">
        <v>892</v>
      </c>
      <c r="R80" t="s">
        <v>926</v>
      </c>
      <c r="S80" t="s">
        <v>1035</v>
      </c>
      <c r="T80" t="s">
        <v>895</v>
      </c>
      <c r="U80" t="s">
        <v>896</v>
      </c>
      <c r="V80" t="s">
        <v>10</v>
      </c>
      <c r="W80" s="16">
        <v>20</v>
      </c>
      <c r="X80" s="17" t="s">
        <v>981</v>
      </c>
    </row>
    <row r="81" spans="1:24" ht="18" x14ac:dyDescent="0.2">
      <c r="A81" s="12" t="s">
        <v>254</v>
      </c>
      <c r="B81" s="3">
        <v>26.41</v>
      </c>
      <c r="C81" s="5">
        <v>30.459</v>
      </c>
      <c r="D81" s="5">
        <f t="shared" si="1"/>
        <v>4.0489999999999995</v>
      </c>
      <c r="E81" t="s">
        <v>25</v>
      </c>
      <c r="F81" t="s">
        <v>10</v>
      </c>
      <c r="G81" t="s">
        <v>255</v>
      </c>
      <c r="H81" t="s">
        <v>256</v>
      </c>
      <c r="I81" s="16">
        <v>16</v>
      </c>
      <c r="J81" s="16">
        <v>16</v>
      </c>
      <c r="K81" s="16">
        <v>12</v>
      </c>
      <c r="L81" s="16">
        <v>30</v>
      </c>
      <c r="M81" t="s">
        <v>891</v>
      </c>
      <c r="N81" s="16">
        <v>30</v>
      </c>
      <c r="O81" t="s">
        <v>891</v>
      </c>
      <c r="P81" s="16">
        <v>11.34</v>
      </c>
      <c r="Q81" t="s">
        <v>892</v>
      </c>
      <c r="R81" t="s">
        <v>898</v>
      </c>
      <c r="S81" t="s">
        <v>1036</v>
      </c>
      <c r="T81" t="s">
        <v>895</v>
      </c>
      <c r="U81" t="s">
        <v>896</v>
      </c>
      <c r="V81" t="s">
        <v>10</v>
      </c>
      <c r="W81" s="16">
        <v>11.34</v>
      </c>
      <c r="X81" s="17" t="s">
        <v>909</v>
      </c>
    </row>
    <row r="82" spans="1:24" ht="18" x14ac:dyDescent="0.2">
      <c r="A82" s="12" t="s">
        <v>257</v>
      </c>
      <c r="B82" s="3">
        <v>26.5</v>
      </c>
      <c r="C82" s="5">
        <v>29.227</v>
      </c>
      <c r="D82" s="5">
        <f t="shared" si="1"/>
        <v>2.7270000000000003</v>
      </c>
      <c r="E82" t="s">
        <v>21</v>
      </c>
      <c r="F82" t="s">
        <v>10</v>
      </c>
      <c r="G82" t="s">
        <v>258</v>
      </c>
      <c r="H82" t="s">
        <v>259</v>
      </c>
      <c r="I82" s="16">
        <v>19</v>
      </c>
      <c r="J82" s="16">
        <v>17</v>
      </c>
      <c r="K82" s="16">
        <v>13</v>
      </c>
      <c r="L82" s="16">
        <v>42.7</v>
      </c>
      <c r="M82" t="s">
        <v>891</v>
      </c>
      <c r="N82" s="16">
        <v>43</v>
      </c>
      <c r="O82" t="s">
        <v>891</v>
      </c>
      <c r="P82" s="16">
        <v>17.23</v>
      </c>
      <c r="Q82" t="s">
        <v>892</v>
      </c>
      <c r="R82" t="s">
        <v>1037</v>
      </c>
      <c r="S82" t="s">
        <v>1038</v>
      </c>
      <c r="T82" t="s">
        <v>895</v>
      </c>
      <c r="U82" t="s">
        <v>896</v>
      </c>
      <c r="V82" t="s">
        <v>10</v>
      </c>
      <c r="W82" s="16">
        <v>17.236999999999998</v>
      </c>
      <c r="X82" s="17" t="s">
        <v>906</v>
      </c>
    </row>
    <row r="83" spans="1:24" ht="18" x14ac:dyDescent="0.2">
      <c r="A83" s="12" t="s">
        <v>260</v>
      </c>
      <c r="B83" s="3">
        <v>73.150000000000006</v>
      </c>
      <c r="C83" s="5">
        <v>104.544</v>
      </c>
      <c r="D83" s="5">
        <f t="shared" si="1"/>
        <v>31.393999999999991</v>
      </c>
      <c r="E83" t="s">
        <v>87</v>
      </c>
      <c r="F83" t="s">
        <v>10</v>
      </c>
      <c r="G83" t="s">
        <v>261</v>
      </c>
      <c r="H83" t="s">
        <v>262</v>
      </c>
      <c r="I83" s="16">
        <v>27</v>
      </c>
      <c r="J83" s="16">
        <v>22</v>
      </c>
      <c r="K83" s="16">
        <v>17</v>
      </c>
      <c r="L83" s="16">
        <v>99.9</v>
      </c>
      <c r="M83" t="s">
        <v>891</v>
      </c>
      <c r="N83" s="16">
        <v>100</v>
      </c>
      <c r="O83" t="s">
        <v>891</v>
      </c>
      <c r="P83" s="16">
        <v>27.21</v>
      </c>
      <c r="Q83" t="s">
        <v>892</v>
      </c>
      <c r="R83" t="s">
        <v>923</v>
      </c>
      <c r="S83" t="s">
        <v>1039</v>
      </c>
      <c r="T83" t="s">
        <v>895</v>
      </c>
      <c r="U83" t="s">
        <v>896</v>
      </c>
      <c r="V83" t="s">
        <v>10</v>
      </c>
      <c r="W83" s="16">
        <v>27.216000000000001</v>
      </c>
      <c r="X83" s="17" t="s">
        <v>1040</v>
      </c>
    </row>
    <row r="84" spans="1:24" ht="18" x14ac:dyDescent="0.2">
      <c r="A84" s="12" t="s">
        <v>263</v>
      </c>
      <c r="B84" s="3">
        <v>36.729999999999997</v>
      </c>
      <c r="C84" s="5">
        <v>39.347000000000001</v>
      </c>
      <c r="D84" s="5">
        <f t="shared" si="1"/>
        <v>2.6170000000000044</v>
      </c>
      <c r="E84" t="s">
        <v>21</v>
      </c>
      <c r="F84" t="s">
        <v>10</v>
      </c>
      <c r="G84" t="s">
        <v>264</v>
      </c>
      <c r="H84" t="s">
        <v>265</v>
      </c>
      <c r="I84" s="16">
        <v>18</v>
      </c>
      <c r="J84" s="16">
        <v>18</v>
      </c>
      <c r="K84" s="16">
        <v>17</v>
      </c>
      <c r="L84" s="16">
        <v>41.6</v>
      </c>
      <c r="M84" t="s">
        <v>891</v>
      </c>
      <c r="N84" s="16">
        <v>42</v>
      </c>
      <c r="O84" t="s">
        <v>891</v>
      </c>
      <c r="P84" s="16">
        <v>17.23</v>
      </c>
      <c r="Q84" t="s">
        <v>892</v>
      </c>
      <c r="R84" t="s">
        <v>991</v>
      </c>
      <c r="S84" t="s">
        <v>1011</v>
      </c>
      <c r="T84" t="s">
        <v>895</v>
      </c>
      <c r="U84" t="s">
        <v>896</v>
      </c>
      <c r="V84" t="s">
        <v>10</v>
      </c>
      <c r="W84" s="16">
        <v>0</v>
      </c>
      <c r="X84" s="17" t="s">
        <v>1041</v>
      </c>
    </row>
    <row r="85" spans="1:24" ht="18" x14ac:dyDescent="0.2">
      <c r="A85" s="12" t="s">
        <v>266</v>
      </c>
      <c r="B85" s="3">
        <v>45.3</v>
      </c>
      <c r="C85" s="5">
        <v>49.401000000000003</v>
      </c>
      <c r="D85" s="5">
        <f t="shared" si="1"/>
        <v>4.1010000000000062</v>
      </c>
      <c r="E85" t="s">
        <v>21</v>
      </c>
      <c r="F85" t="s">
        <v>10</v>
      </c>
      <c r="G85" t="s">
        <v>267</v>
      </c>
      <c r="H85" t="s">
        <v>268</v>
      </c>
      <c r="I85" s="16">
        <v>19</v>
      </c>
      <c r="J85" s="16">
        <v>18</v>
      </c>
      <c r="K85" s="16">
        <v>17</v>
      </c>
      <c r="L85" s="16">
        <v>41</v>
      </c>
      <c r="M85" t="s">
        <v>891</v>
      </c>
      <c r="N85" s="16">
        <v>41</v>
      </c>
      <c r="O85" t="s">
        <v>891</v>
      </c>
      <c r="P85" s="16">
        <v>17.23</v>
      </c>
      <c r="Q85" t="s">
        <v>892</v>
      </c>
      <c r="R85" t="s">
        <v>912</v>
      </c>
      <c r="S85" t="s">
        <v>1042</v>
      </c>
      <c r="T85" t="s">
        <v>895</v>
      </c>
      <c r="U85" t="s">
        <v>896</v>
      </c>
      <c r="V85" t="s">
        <v>10</v>
      </c>
      <c r="W85" s="16">
        <v>17.236999999999998</v>
      </c>
      <c r="X85" s="17" t="s">
        <v>906</v>
      </c>
    </row>
    <row r="86" spans="1:24" ht="18" x14ac:dyDescent="0.2">
      <c r="A86" s="12" t="s">
        <v>269</v>
      </c>
      <c r="B86" s="3">
        <v>29.56</v>
      </c>
      <c r="C86" s="5">
        <v>32.387999999999998</v>
      </c>
      <c r="D86" s="5">
        <f t="shared" si="1"/>
        <v>2.8279999999999994</v>
      </c>
      <c r="F86" t="s">
        <v>91</v>
      </c>
      <c r="I86" s="16">
        <v>46</v>
      </c>
      <c r="J86" s="16">
        <v>43</v>
      </c>
      <c r="K86" s="16">
        <v>33</v>
      </c>
      <c r="L86" s="16">
        <v>38.9</v>
      </c>
      <c r="M86" t="s">
        <v>891</v>
      </c>
      <c r="N86" s="16">
        <v>39</v>
      </c>
      <c r="O86" t="s">
        <v>891</v>
      </c>
      <c r="P86" s="16">
        <v>14.51</v>
      </c>
      <c r="Q86" t="s">
        <v>892</v>
      </c>
      <c r="R86" t="s">
        <v>895</v>
      </c>
      <c r="S86" t="s">
        <v>896</v>
      </c>
      <c r="T86" t="s">
        <v>979</v>
      </c>
      <c r="U86" t="s">
        <v>1043</v>
      </c>
      <c r="V86" t="s">
        <v>10</v>
      </c>
      <c r="W86" s="16"/>
      <c r="X86" s="17"/>
    </row>
    <row r="87" spans="1:24" ht="18" x14ac:dyDescent="0.2">
      <c r="A87" s="12" t="s">
        <v>270</v>
      </c>
      <c r="B87" s="3">
        <v>49.04</v>
      </c>
      <c r="C87" s="5">
        <v>61.811999999999998</v>
      </c>
      <c r="D87" s="5">
        <f t="shared" si="1"/>
        <v>12.771999999999998</v>
      </c>
      <c r="F87" t="s">
        <v>91</v>
      </c>
      <c r="I87" s="16">
        <v>46</v>
      </c>
      <c r="J87" s="16">
        <v>43</v>
      </c>
      <c r="K87" s="16">
        <v>33</v>
      </c>
      <c r="L87" s="16">
        <v>42.1</v>
      </c>
      <c r="M87" t="s">
        <v>891</v>
      </c>
      <c r="N87" s="16">
        <v>43</v>
      </c>
      <c r="O87" t="s">
        <v>891</v>
      </c>
      <c r="P87" s="16">
        <v>14.51</v>
      </c>
      <c r="Q87" t="s">
        <v>892</v>
      </c>
      <c r="R87" t="s">
        <v>895</v>
      </c>
      <c r="S87" t="s">
        <v>896</v>
      </c>
      <c r="T87" t="s">
        <v>898</v>
      </c>
      <c r="U87" t="s">
        <v>1044</v>
      </c>
      <c r="V87" t="s">
        <v>10</v>
      </c>
      <c r="W87" s="16"/>
      <c r="X87" s="17"/>
    </row>
    <row r="88" spans="1:24" ht="18" x14ac:dyDescent="0.2">
      <c r="A88" s="12" t="s">
        <v>271</v>
      </c>
      <c r="B88" s="3">
        <v>39.03</v>
      </c>
      <c r="C88" s="5">
        <v>44.375999999999998</v>
      </c>
      <c r="D88" s="5">
        <f t="shared" si="1"/>
        <v>5.3459999999999965</v>
      </c>
      <c r="F88" t="s">
        <v>91</v>
      </c>
      <c r="I88" s="16">
        <v>33</v>
      </c>
      <c r="J88" s="16">
        <v>30</v>
      </c>
      <c r="K88" s="16">
        <v>25</v>
      </c>
      <c r="L88" s="16">
        <v>12.6</v>
      </c>
      <c r="M88" t="s">
        <v>891</v>
      </c>
      <c r="N88" s="16">
        <v>13</v>
      </c>
      <c r="O88" t="s">
        <v>891</v>
      </c>
      <c r="P88" s="16">
        <v>3.17</v>
      </c>
      <c r="Q88" t="s">
        <v>892</v>
      </c>
      <c r="R88" t="s">
        <v>895</v>
      </c>
      <c r="S88" t="s">
        <v>896</v>
      </c>
      <c r="T88" t="s">
        <v>1045</v>
      </c>
      <c r="U88" t="s">
        <v>1046</v>
      </c>
      <c r="V88" t="s">
        <v>10</v>
      </c>
      <c r="W88" s="16"/>
      <c r="X88" s="17"/>
    </row>
    <row r="89" spans="1:24" ht="18" x14ac:dyDescent="0.2">
      <c r="A89" s="12" t="s">
        <v>272</v>
      </c>
      <c r="B89" s="3">
        <v>34.049999999999997</v>
      </c>
      <c r="C89" s="5">
        <v>39.384</v>
      </c>
      <c r="D89" s="5">
        <f t="shared" si="1"/>
        <v>5.3340000000000032</v>
      </c>
      <c r="F89" t="s">
        <v>91</v>
      </c>
      <c r="I89" s="16">
        <v>33</v>
      </c>
      <c r="J89" s="16">
        <v>30</v>
      </c>
      <c r="K89" s="16">
        <v>25</v>
      </c>
      <c r="L89" s="16">
        <v>12.5</v>
      </c>
      <c r="M89" t="s">
        <v>891</v>
      </c>
      <c r="N89" s="16">
        <v>13</v>
      </c>
      <c r="O89" t="s">
        <v>891</v>
      </c>
      <c r="P89" s="16">
        <v>3.17</v>
      </c>
      <c r="Q89" t="s">
        <v>892</v>
      </c>
      <c r="R89" t="s">
        <v>895</v>
      </c>
      <c r="S89" t="s">
        <v>896</v>
      </c>
      <c r="T89" t="s">
        <v>1045</v>
      </c>
      <c r="U89" t="s">
        <v>1047</v>
      </c>
      <c r="V89" t="s">
        <v>10</v>
      </c>
      <c r="W89" s="16"/>
      <c r="X89" s="17"/>
    </row>
    <row r="90" spans="1:24" ht="18" x14ac:dyDescent="0.2">
      <c r="A90" s="12" t="s">
        <v>273</v>
      </c>
      <c r="B90" s="3">
        <v>34.049999999999997</v>
      </c>
      <c r="C90" s="5">
        <v>39.384</v>
      </c>
      <c r="D90" s="5">
        <f t="shared" si="1"/>
        <v>5.3340000000000032</v>
      </c>
      <c r="F90" t="s">
        <v>91</v>
      </c>
      <c r="I90" s="16">
        <v>33</v>
      </c>
      <c r="J90" s="16">
        <v>30</v>
      </c>
      <c r="K90" s="16">
        <v>25</v>
      </c>
      <c r="L90" s="16">
        <v>12.3</v>
      </c>
      <c r="M90" t="s">
        <v>891</v>
      </c>
      <c r="N90" s="16">
        <v>13</v>
      </c>
      <c r="O90" t="s">
        <v>891</v>
      </c>
      <c r="P90" s="16">
        <v>3.17</v>
      </c>
      <c r="Q90" t="s">
        <v>892</v>
      </c>
      <c r="R90" t="s">
        <v>895</v>
      </c>
      <c r="S90" t="s">
        <v>896</v>
      </c>
      <c r="T90" t="s">
        <v>1045</v>
      </c>
      <c r="U90" t="s">
        <v>1048</v>
      </c>
      <c r="V90" t="s">
        <v>10</v>
      </c>
      <c r="W90" s="16"/>
      <c r="X90" s="17"/>
    </row>
    <row r="91" spans="1:24" ht="18" x14ac:dyDescent="0.2">
      <c r="A91" s="12" t="s">
        <v>274</v>
      </c>
      <c r="B91" s="3">
        <v>40.700000000000003</v>
      </c>
      <c r="C91" s="5">
        <v>46.043999999999997</v>
      </c>
      <c r="D91" s="5">
        <f t="shared" si="1"/>
        <v>5.3439999999999941</v>
      </c>
      <c r="F91" t="s">
        <v>91</v>
      </c>
      <c r="I91" s="16">
        <v>33</v>
      </c>
      <c r="J91" s="16">
        <v>30</v>
      </c>
      <c r="K91" s="16">
        <v>25</v>
      </c>
      <c r="L91" s="16">
        <v>12.6</v>
      </c>
      <c r="M91" t="s">
        <v>891</v>
      </c>
      <c r="N91" s="16">
        <v>13</v>
      </c>
      <c r="O91" t="s">
        <v>891</v>
      </c>
      <c r="P91" s="16">
        <v>3.17</v>
      </c>
      <c r="Q91" t="s">
        <v>892</v>
      </c>
      <c r="R91" t="s">
        <v>895</v>
      </c>
      <c r="S91" t="s">
        <v>896</v>
      </c>
      <c r="T91" t="s">
        <v>1049</v>
      </c>
      <c r="U91" t="s">
        <v>1050</v>
      </c>
      <c r="V91" t="s">
        <v>10</v>
      </c>
      <c r="W91" s="16"/>
      <c r="X91" s="17"/>
    </row>
    <row r="92" spans="1:24" ht="18" x14ac:dyDescent="0.2">
      <c r="A92" s="12" t="s">
        <v>275</v>
      </c>
      <c r="B92" s="3">
        <v>27.46</v>
      </c>
      <c r="C92" s="5">
        <v>31.908000000000001</v>
      </c>
      <c r="D92" s="5">
        <f t="shared" si="1"/>
        <v>4.4480000000000004</v>
      </c>
      <c r="F92" t="s">
        <v>91</v>
      </c>
      <c r="I92" s="16">
        <v>33</v>
      </c>
      <c r="J92" s="16">
        <v>30</v>
      </c>
      <c r="K92" s="16">
        <v>25</v>
      </c>
      <c r="L92" s="16">
        <v>12.2</v>
      </c>
      <c r="M92" t="s">
        <v>891</v>
      </c>
      <c r="N92" s="16">
        <v>13</v>
      </c>
      <c r="O92" t="s">
        <v>891</v>
      </c>
      <c r="P92" s="16">
        <v>3.17</v>
      </c>
      <c r="Q92" t="s">
        <v>892</v>
      </c>
      <c r="R92" t="s">
        <v>895</v>
      </c>
      <c r="S92" t="s">
        <v>896</v>
      </c>
      <c r="T92" t="s">
        <v>1051</v>
      </c>
      <c r="U92" t="s">
        <v>1052</v>
      </c>
      <c r="V92" t="s">
        <v>10</v>
      </c>
      <c r="W92" s="16"/>
      <c r="X92" s="17"/>
    </row>
    <row r="93" spans="1:24" ht="18" x14ac:dyDescent="0.2">
      <c r="A93" s="12" t="s">
        <v>276</v>
      </c>
      <c r="B93" s="3">
        <v>34.049999999999997</v>
      </c>
      <c r="C93" s="5">
        <v>39.384</v>
      </c>
      <c r="D93" s="5">
        <f t="shared" si="1"/>
        <v>5.3340000000000032</v>
      </c>
      <c r="F93" t="s">
        <v>91</v>
      </c>
      <c r="I93" s="16">
        <v>33</v>
      </c>
      <c r="J93" s="16">
        <v>30</v>
      </c>
      <c r="K93" s="16">
        <v>25</v>
      </c>
      <c r="L93" s="16">
        <v>12.5</v>
      </c>
      <c r="M93" t="s">
        <v>891</v>
      </c>
      <c r="N93" s="16">
        <v>13</v>
      </c>
      <c r="O93" t="s">
        <v>891</v>
      </c>
      <c r="P93" s="16">
        <v>3.17</v>
      </c>
      <c r="Q93" t="s">
        <v>892</v>
      </c>
      <c r="R93" t="s">
        <v>895</v>
      </c>
      <c r="S93" t="s">
        <v>896</v>
      </c>
      <c r="T93" t="s">
        <v>1021</v>
      </c>
      <c r="U93" t="s">
        <v>1053</v>
      </c>
      <c r="V93" t="s">
        <v>10</v>
      </c>
      <c r="W93" s="16"/>
      <c r="X93" s="17"/>
    </row>
    <row r="94" spans="1:24" ht="18" x14ac:dyDescent="0.2">
      <c r="A94" s="12" t="s">
        <v>277</v>
      </c>
      <c r="B94" s="3">
        <v>34.049999999999997</v>
      </c>
      <c r="C94" s="5">
        <v>39.384</v>
      </c>
      <c r="D94" s="5">
        <f t="shared" si="1"/>
        <v>5.3340000000000032</v>
      </c>
      <c r="F94" t="s">
        <v>91</v>
      </c>
      <c r="I94" s="16">
        <v>33</v>
      </c>
      <c r="J94" s="16">
        <v>30</v>
      </c>
      <c r="K94" s="16">
        <v>25</v>
      </c>
      <c r="L94" s="16">
        <v>12.5</v>
      </c>
      <c r="M94" t="s">
        <v>891</v>
      </c>
      <c r="N94" s="16">
        <v>13</v>
      </c>
      <c r="O94" t="s">
        <v>891</v>
      </c>
      <c r="P94" s="16">
        <v>3.17</v>
      </c>
      <c r="Q94" t="s">
        <v>892</v>
      </c>
      <c r="R94" t="s">
        <v>895</v>
      </c>
      <c r="S94" t="s">
        <v>896</v>
      </c>
      <c r="T94" t="s">
        <v>1021</v>
      </c>
      <c r="U94" t="s">
        <v>1054</v>
      </c>
      <c r="V94" t="s">
        <v>10</v>
      </c>
      <c r="W94" s="16"/>
      <c r="X94" s="17"/>
    </row>
    <row r="95" spans="1:24" ht="18" x14ac:dyDescent="0.2">
      <c r="A95" s="12" t="s">
        <v>278</v>
      </c>
      <c r="B95" s="3">
        <v>40.700000000000003</v>
      </c>
      <c r="C95" s="5">
        <v>46.043999999999997</v>
      </c>
      <c r="D95" s="5">
        <f t="shared" si="1"/>
        <v>5.3439999999999941</v>
      </c>
      <c r="F95" t="s">
        <v>91</v>
      </c>
      <c r="I95" s="16">
        <v>33</v>
      </c>
      <c r="J95" s="16">
        <v>30</v>
      </c>
      <c r="K95" s="16">
        <v>25</v>
      </c>
      <c r="L95" s="16">
        <v>12.4</v>
      </c>
      <c r="M95" t="s">
        <v>891</v>
      </c>
      <c r="N95" s="16">
        <v>13</v>
      </c>
      <c r="O95" t="s">
        <v>891</v>
      </c>
      <c r="P95" s="16">
        <v>3.17</v>
      </c>
      <c r="Q95" t="s">
        <v>892</v>
      </c>
      <c r="R95" t="s">
        <v>895</v>
      </c>
      <c r="S95" t="s">
        <v>896</v>
      </c>
      <c r="T95" t="s">
        <v>1055</v>
      </c>
      <c r="U95" t="s">
        <v>1056</v>
      </c>
      <c r="V95" t="s">
        <v>10</v>
      </c>
      <c r="W95" s="16"/>
      <c r="X95" s="17"/>
    </row>
    <row r="96" spans="1:24" ht="18" x14ac:dyDescent="0.2">
      <c r="A96" s="12" t="s">
        <v>279</v>
      </c>
      <c r="B96" s="3">
        <v>28.3</v>
      </c>
      <c r="C96" s="5">
        <v>32.735999999999997</v>
      </c>
      <c r="D96" s="5">
        <f t="shared" si="1"/>
        <v>4.4359999999999964</v>
      </c>
      <c r="F96" t="s">
        <v>91</v>
      </c>
      <c r="I96" s="16">
        <v>33</v>
      </c>
      <c r="J96" s="16">
        <v>30</v>
      </c>
      <c r="K96" s="16">
        <v>25</v>
      </c>
      <c r="L96" s="16">
        <v>12.5</v>
      </c>
      <c r="M96" t="s">
        <v>891</v>
      </c>
      <c r="N96" s="16">
        <v>13</v>
      </c>
      <c r="O96" t="s">
        <v>891</v>
      </c>
      <c r="P96" s="16">
        <v>3.17</v>
      </c>
      <c r="Q96" t="s">
        <v>892</v>
      </c>
      <c r="R96" t="s">
        <v>895</v>
      </c>
      <c r="S96" t="s">
        <v>896</v>
      </c>
      <c r="T96" t="s">
        <v>1057</v>
      </c>
      <c r="U96" t="s">
        <v>1058</v>
      </c>
      <c r="V96" t="s">
        <v>10</v>
      </c>
      <c r="W96" s="16"/>
      <c r="X96" s="17"/>
    </row>
    <row r="97" spans="1:24" ht="18" x14ac:dyDescent="0.2">
      <c r="A97" s="12" t="s">
        <v>280</v>
      </c>
      <c r="B97" s="3">
        <v>34.049999999999997</v>
      </c>
      <c r="C97" s="5">
        <v>39.384</v>
      </c>
      <c r="D97" s="5">
        <f t="shared" si="1"/>
        <v>5.3340000000000032</v>
      </c>
      <c r="F97" t="s">
        <v>91</v>
      </c>
      <c r="I97" s="16">
        <v>33</v>
      </c>
      <c r="J97" s="16">
        <v>30</v>
      </c>
      <c r="K97" s="16">
        <v>25</v>
      </c>
      <c r="L97" s="16">
        <v>12.5</v>
      </c>
      <c r="M97" t="s">
        <v>891</v>
      </c>
      <c r="N97" s="16">
        <v>13</v>
      </c>
      <c r="O97" t="s">
        <v>891</v>
      </c>
      <c r="P97" s="16">
        <v>3.17</v>
      </c>
      <c r="Q97" t="s">
        <v>892</v>
      </c>
      <c r="R97" t="s">
        <v>895</v>
      </c>
      <c r="S97" t="s">
        <v>896</v>
      </c>
      <c r="T97" t="s">
        <v>1045</v>
      </c>
      <c r="U97" t="s">
        <v>1059</v>
      </c>
      <c r="V97" t="s">
        <v>10</v>
      </c>
      <c r="W97" s="16"/>
      <c r="X97" s="17"/>
    </row>
    <row r="98" spans="1:24" ht="18" x14ac:dyDescent="0.2">
      <c r="A98" s="12" t="s">
        <v>281</v>
      </c>
      <c r="B98" s="3">
        <v>40.700000000000003</v>
      </c>
      <c r="C98" s="5">
        <v>46.043999999999997</v>
      </c>
      <c r="D98" s="5">
        <f t="shared" si="1"/>
        <v>5.3439999999999941</v>
      </c>
      <c r="F98" t="s">
        <v>91</v>
      </c>
      <c r="I98" s="16">
        <v>33</v>
      </c>
      <c r="J98" s="16">
        <v>30</v>
      </c>
      <c r="K98" s="16">
        <v>25</v>
      </c>
      <c r="L98" s="16">
        <v>12.2</v>
      </c>
      <c r="M98" t="s">
        <v>891</v>
      </c>
      <c r="N98" s="16">
        <v>13</v>
      </c>
      <c r="O98" t="s">
        <v>891</v>
      </c>
      <c r="P98" s="16">
        <v>3.17</v>
      </c>
      <c r="Q98" t="s">
        <v>892</v>
      </c>
      <c r="R98" t="s">
        <v>895</v>
      </c>
      <c r="S98" t="s">
        <v>896</v>
      </c>
      <c r="T98" t="s">
        <v>1049</v>
      </c>
      <c r="U98" t="s">
        <v>1060</v>
      </c>
      <c r="V98" t="s">
        <v>10</v>
      </c>
      <c r="W98" s="16"/>
      <c r="X98" s="17"/>
    </row>
    <row r="99" spans="1:24" ht="18" x14ac:dyDescent="0.2">
      <c r="A99" s="12" t="s">
        <v>282</v>
      </c>
      <c r="B99" s="3">
        <v>31.75</v>
      </c>
      <c r="C99" s="5">
        <v>75.48</v>
      </c>
      <c r="D99" s="5">
        <f t="shared" si="1"/>
        <v>43.730000000000004</v>
      </c>
      <c r="F99" t="s">
        <v>91</v>
      </c>
      <c r="I99" s="16">
        <v>33</v>
      </c>
      <c r="J99" s="16">
        <v>30</v>
      </c>
      <c r="K99" s="16">
        <v>25</v>
      </c>
      <c r="L99" s="16">
        <v>12.5</v>
      </c>
      <c r="M99" t="s">
        <v>891</v>
      </c>
      <c r="N99" s="16">
        <v>13</v>
      </c>
      <c r="O99" t="s">
        <v>891</v>
      </c>
      <c r="P99" s="16">
        <v>3.17</v>
      </c>
      <c r="Q99" t="s">
        <v>892</v>
      </c>
      <c r="R99" t="s">
        <v>895</v>
      </c>
      <c r="S99" t="s">
        <v>896</v>
      </c>
      <c r="T99" t="s">
        <v>910</v>
      </c>
      <c r="U99" t="s">
        <v>1061</v>
      </c>
      <c r="V99" t="s">
        <v>10</v>
      </c>
      <c r="W99" s="16"/>
      <c r="X99" s="17"/>
    </row>
    <row r="100" spans="1:24" ht="18" x14ac:dyDescent="0.2">
      <c r="A100" s="12" t="s">
        <v>283</v>
      </c>
      <c r="B100" s="3">
        <v>34.049999999999997</v>
      </c>
      <c r="C100" s="5">
        <v>39.384</v>
      </c>
      <c r="D100" s="5">
        <f t="shared" si="1"/>
        <v>5.3340000000000032</v>
      </c>
      <c r="F100" t="s">
        <v>91</v>
      </c>
      <c r="I100" s="16">
        <v>33</v>
      </c>
      <c r="J100" s="16">
        <v>30</v>
      </c>
      <c r="K100" s="16">
        <v>25</v>
      </c>
      <c r="L100" s="16">
        <v>12.6</v>
      </c>
      <c r="M100" t="s">
        <v>891</v>
      </c>
      <c r="N100" s="16">
        <v>13</v>
      </c>
      <c r="O100" t="s">
        <v>891</v>
      </c>
      <c r="P100" s="16">
        <v>3.17</v>
      </c>
      <c r="Q100" t="s">
        <v>892</v>
      </c>
      <c r="R100" t="s">
        <v>895</v>
      </c>
      <c r="S100" t="s">
        <v>896</v>
      </c>
      <c r="T100" t="s">
        <v>1062</v>
      </c>
      <c r="U100" t="s">
        <v>1063</v>
      </c>
      <c r="V100" t="s">
        <v>10</v>
      </c>
      <c r="W100" s="16"/>
      <c r="X100" s="17"/>
    </row>
    <row r="101" spans="1:24" ht="18" x14ac:dyDescent="0.2">
      <c r="A101" s="12" t="s">
        <v>284</v>
      </c>
      <c r="B101" s="3">
        <v>44.41</v>
      </c>
      <c r="C101" s="5">
        <v>51.863999999999997</v>
      </c>
      <c r="D101" s="5">
        <f t="shared" si="1"/>
        <v>7.4540000000000006</v>
      </c>
      <c r="F101" t="s">
        <v>91</v>
      </c>
      <c r="I101" s="16">
        <v>33</v>
      </c>
      <c r="J101" s="16">
        <v>30</v>
      </c>
      <c r="K101" s="16">
        <v>25</v>
      </c>
      <c r="L101" s="16">
        <v>13.2</v>
      </c>
      <c r="M101" t="s">
        <v>891</v>
      </c>
      <c r="N101" s="16">
        <v>14</v>
      </c>
      <c r="O101" t="s">
        <v>891</v>
      </c>
      <c r="P101" s="16">
        <v>3.17</v>
      </c>
      <c r="Q101" t="s">
        <v>892</v>
      </c>
      <c r="R101" t="s">
        <v>895</v>
      </c>
      <c r="S101" t="s">
        <v>896</v>
      </c>
      <c r="T101" t="s">
        <v>1051</v>
      </c>
      <c r="U101" t="s">
        <v>1064</v>
      </c>
      <c r="V101" t="s">
        <v>10</v>
      </c>
      <c r="W101" s="16"/>
      <c r="X101" s="17"/>
    </row>
    <row r="102" spans="1:24" ht="18" x14ac:dyDescent="0.2">
      <c r="A102" s="12" t="s">
        <v>285</v>
      </c>
      <c r="B102" s="3">
        <v>39.03</v>
      </c>
      <c r="C102" s="5">
        <v>44.375999999999998</v>
      </c>
      <c r="D102" s="5">
        <f t="shared" si="1"/>
        <v>5.3459999999999965</v>
      </c>
      <c r="F102" t="s">
        <v>91</v>
      </c>
      <c r="I102" s="16">
        <v>33</v>
      </c>
      <c r="J102" s="16">
        <v>30</v>
      </c>
      <c r="K102" s="16">
        <v>25</v>
      </c>
      <c r="L102" s="16">
        <v>12.6</v>
      </c>
      <c r="M102" t="s">
        <v>891</v>
      </c>
      <c r="N102" s="16">
        <v>13</v>
      </c>
      <c r="O102" t="s">
        <v>891</v>
      </c>
      <c r="P102" s="16">
        <v>3.17</v>
      </c>
      <c r="Q102" t="s">
        <v>892</v>
      </c>
      <c r="R102" t="s">
        <v>895</v>
      </c>
      <c r="S102" t="s">
        <v>896</v>
      </c>
      <c r="T102" t="s">
        <v>1049</v>
      </c>
      <c r="U102" t="s">
        <v>1065</v>
      </c>
      <c r="V102" t="s">
        <v>10</v>
      </c>
      <c r="W102" s="16"/>
      <c r="X102" s="17"/>
    </row>
    <row r="103" spans="1:24" ht="18" x14ac:dyDescent="0.2">
      <c r="A103" s="12" t="s">
        <v>286</v>
      </c>
      <c r="B103" s="3">
        <v>28.3</v>
      </c>
      <c r="C103" s="5">
        <v>32.735999999999997</v>
      </c>
      <c r="D103" s="5">
        <f t="shared" si="1"/>
        <v>4.4359999999999964</v>
      </c>
      <c r="F103" t="s">
        <v>91</v>
      </c>
      <c r="I103" s="16">
        <v>33</v>
      </c>
      <c r="J103" s="16">
        <v>30</v>
      </c>
      <c r="K103" s="16">
        <v>25</v>
      </c>
      <c r="L103" s="16">
        <v>12.5</v>
      </c>
      <c r="M103" t="s">
        <v>891</v>
      </c>
      <c r="N103" s="16">
        <v>13</v>
      </c>
      <c r="O103" t="s">
        <v>891</v>
      </c>
      <c r="P103" s="16">
        <v>3.17</v>
      </c>
      <c r="Q103" t="s">
        <v>892</v>
      </c>
      <c r="R103" t="s">
        <v>895</v>
      </c>
      <c r="S103" t="s">
        <v>896</v>
      </c>
      <c r="T103" t="s">
        <v>1057</v>
      </c>
      <c r="U103" t="s">
        <v>1058</v>
      </c>
      <c r="V103" t="s">
        <v>10</v>
      </c>
      <c r="W103" s="16"/>
      <c r="X103" s="17"/>
    </row>
    <row r="104" spans="1:24" ht="18" x14ac:dyDescent="0.2">
      <c r="A104" s="12" t="s">
        <v>287</v>
      </c>
      <c r="B104" s="3">
        <v>34.049999999999997</v>
      </c>
      <c r="C104" s="5">
        <v>39.384</v>
      </c>
      <c r="D104" s="5">
        <f t="shared" si="1"/>
        <v>5.3340000000000032</v>
      </c>
      <c r="F104" t="s">
        <v>91</v>
      </c>
      <c r="I104" s="16">
        <v>33</v>
      </c>
      <c r="J104" s="16">
        <v>30</v>
      </c>
      <c r="K104" s="16">
        <v>25</v>
      </c>
      <c r="L104" s="16">
        <v>12.2</v>
      </c>
      <c r="M104" t="s">
        <v>891</v>
      </c>
      <c r="N104" s="16">
        <v>13</v>
      </c>
      <c r="O104" t="s">
        <v>891</v>
      </c>
      <c r="P104" s="16">
        <v>3.17</v>
      </c>
      <c r="Q104" t="s">
        <v>892</v>
      </c>
      <c r="R104" t="s">
        <v>895</v>
      </c>
      <c r="S104" t="s">
        <v>896</v>
      </c>
      <c r="T104" t="s">
        <v>1066</v>
      </c>
      <c r="U104" t="s">
        <v>1067</v>
      </c>
      <c r="V104" t="s">
        <v>10</v>
      </c>
      <c r="W104" s="16"/>
      <c r="X104" s="17"/>
    </row>
    <row r="105" spans="1:24" ht="18" x14ac:dyDescent="0.2">
      <c r="A105" s="12" t="s">
        <v>288</v>
      </c>
      <c r="B105" s="3">
        <v>27.91</v>
      </c>
      <c r="C105" s="5">
        <v>32.892000000000003</v>
      </c>
      <c r="D105" s="5">
        <f t="shared" si="1"/>
        <v>4.9820000000000029</v>
      </c>
      <c r="F105" t="s">
        <v>91</v>
      </c>
      <c r="I105" s="16">
        <v>41</v>
      </c>
      <c r="J105" s="16">
        <v>41</v>
      </c>
      <c r="K105" s="16">
        <v>30</v>
      </c>
      <c r="L105" s="16">
        <v>29.5</v>
      </c>
      <c r="M105" t="s">
        <v>891</v>
      </c>
      <c r="N105" s="16">
        <v>30</v>
      </c>
      <c r="O105" t="s">
        <v>891</v>
      </c>
      <c r="P105" s="16">
        <v>9.52</v>
      </c>
      <c r="Q105" t="s">
        <v>892</v>
      </c>
      <c r="R105" t="s">
        <v>895</v>
      </c>
      <c r="S105" t="s">
        <v>896</v>
      </c>
      <c r="T105" t="s">
        <v>982</v>
      </c>
      <c r="U105" t="s">
        <v>1068</v>
      </c>
      <c r="V105" t="s">
        <v>10</v>
      </c>
      <c r="W105" s="16"/>
      <c r="X105" s="17"/>
    </row>
    <row r="106" spans="1:24" ht="18" x14ac:dyDescent="0.2">
      <c r="A106" s="12" t="s">
        <v>289</v>
      </c>
      <c r="B106" s="3">
        <v>25.39</v>
      </c>
      <c r="C106" s="5">
        <v>33.228000000000002</v>
      </c>
      <c r="D106" s="5">
        <f t="shared" si="1"/>
        <v>7.838000000000001</v>
      </c>
      <c r="F106" t="s">
        <v>91</v>
      </c>
      <c r="I106" s="16">
        <v>41</v>
      </c>
      <c r="J106" s="16">
        <v>41</v>
      </c>
      <c r="K106" s="16">
        <v>30</v>
      </c>
      <c r="L106" s="16">
        <v>29.4</v>
      </c>
      <c r="M106" t="s">
        <v>891</v>
      </c>
      <c r="N106" s="16">
        <v>30</v>
      </c>
      <c r="O106" t="s">
        <v>891</v>
      </c>
      <c r="P106" s="16">
        <v>9.52</v>
      </c>
      <c r="Q106" t="s">
        <v>892</v>
      </c>
      <c r="R106" t="s">
        <v>895</v>
      </c>
      <c r="S106" t="s">
        <v>896</v>
      </c>
      <c r="T106" t="s">
        <v>944</v>
      </c>
      <c r="U106" t="s">
        <v>1069</v>
      </c>
      <c r="V106" t="s">
        <v>10</v>
      </c>
      <c r="W106" s="16"/>
      <c r="X106" s="17"/>
    </row>
    <row r="107" spans="1:24" ht="18" x14ac:dyDescent="0.2">
      <c r="A107" s="12" t="s">
        <v>290</v>
      </c>
      <c r="B107" s="3">
        <v>25.3</v>
      </c>
      <c r="C107" s="5">
        <v>28.536000000000001</v>
      </c>
      <c r="D107" s="5">
        <f t="shared" si="1"/>
        <v>3.2360000000000007</v>
      </c>
      <c r="F107" t="s">
        <v>91</v>
      </c>
      <c r="I107" s="16">
        <v>41</v>
      </c>
      <c r="J107" s="16">
        <v>41</v>
      </c>
      <c r="K107" s="16">
        <v>30</v>
      </c>
      <c r="L107" s="16">
        <v>29.7</v>
      </c>
      <c r="M107" t="s">
        <v>891</v>
      </c>
      <c r="N107" s="16">
        <v>30</v>
      </c>
      <c r="O107" t="s">
        <v>891</v>
      </c>
      <c r="P107" s="16">
        <v>9.52</v>
      </c>
      <c r="Q107" t="s">
        <v>892</v>
      </c>
      <c r="R107" t="s">
        <v>895</v>
      </c>
      <c r="S107" t="s">
        <v>896</v>
      </c>
      <c r="T107" t="s">
        <v>1029</v>
      </c>
      <c r="U107" t="s">
        <v>1070</v>
      </c>
      <c r="V107" t="s">
        <v>10</v>
      </c>
      <c r="W107" s="16"/>
      <c r="X107" s="17"/>
    </row>
    <row r="108" spans="1:24" ht="18" x14ac:dyDescent="0.2">
      <c r="A108" s="12" t="s">
        <v>291</v>
      </c>
      <c r="B108" s="3">
        <v>51.15</v>
      </c>
      <c r="C108" s="5">
        <v>64.308000000000007</v>
      </c>
      <c r="D108" s="5">
        <f t="shared" si="1"/>
        <v>13.158000000000008</v>
      </c>
      <c r="F108" t="s">
        <v>91</v>
      </c>
      <c r="I108" s="16">
        <v>41</v>
      </c>
      <c r="J108" s="16">
        <v>41</v>
      </c>
      <c r="K108" s="16">
        <v>30</v>
      </c>
      <c r="L108" s="16">
        <v>29.8</v>
      </c>
      <c r="M108" t="s">
        <v>891</v>
      </c>
      <c r="N108" s="16">
        <v>30</v>
      </c>
      <c r="O108" t="s">
        <v>891</v>
      </c>
      <c r="P108" s="16">
        <v>9.52</v>
      </c>
      <c r="Q108" t="s">
        <v>892</v>
      </c>
      <c r="R108" t="s">
        <v>895</v>
      </c>
      <c r="S108" t="s">
        <v>896</v>
      </c>
      <c r="T108" t="s">
        <v>1051</v>
      </c>
      <c r="U108" t="s">
        <v>1071</v>
      </c>
      <c r="V108" t="s">
        <v>10</v>
      </c>
      <c r="W108" s="16"/>
      <c r="X108" s="17"/>
    </row>
    <row r="109" spans="1:24" ht="18" x14ac:dyDescent="0.2">
      <c r="A109" s="12" t="s">
        <v>292</v>
      </c>
      <c r="B109" s="3">
        <v>33.15</v>
      </c>
      <c r="C109" s="5">
        <v>41.915999999999997</v>
      </c>
      <c r="D109" s="5">
        <f t="shared" si="1"/>
        <v>8.7659999999999982</v>
      </c>
      <c r="F109" t="s">
        <v>91</v>
      </c>
      <c r="I109" s="16">
        <v>41</v>
      </c>
      <c r="J109" s="16">
        <v>41</v>
      </c>
      <c r="K109" s="16">
        <v>30</v>
      </c>
      <c r="L109" s="16">
        <v>29.8</v>
      </c>
      <c r="M109" t="s">
        <v>891</v>
      </c>
      <c r="N109" s="16">
        <v>30</v>
      </c>
      <c r="O109" t="s">
        <v>891</v>
      </c>
      <c r="P109" s="16">
        <v>9.52</v>
      </c>
      <c r="Q109" t="s">
        <v>892</v>
      </c>
      <c r="R109" t="s">
        <v>895</v>
      </c>
      <c r="S109" t="s">
        <v>896</v>
      </c>
      <c r="T109" t="s">
        <v>898</v>
      </c>
      <c r="U109" t="s">
        <v>960</v>
      </c>
      <c r="V109" t="s">
        <v>10</v>
      </c>
      <c r="W109" s="16"/>
      <c r="X109" s="17"/>
    </row>
    <row r="110" spans="1:24" ht="18" x14ac:dyDescent="0.2">
      <c r="A110" s="12" t="s">
        <v>293</v>
      </c>
      <c r="B110" s="3">
        <v>33.15</v>
      </c>
      <c r="C110" s="5">
        <v>41.915999999999997</v>
      </c>
      <c r="D110" s="5">
        <f t="shared" si="1"/>
        <v>8.7659999999999982</v>
      </c>
      <c r="F110" t="s">
        <v>91</v>
      </c>
      <c r="I110" s="16">
        <v>41</v>
      </c>
      <c r="J110" s="16">
        <v>41</v>
      </c>
      <c r="K110" s="16">
        <v>30</v>
      </c>
      <c r="L110" s="16">
        <v>29.4</v>
      </c>
      <c r="M110" t="s">
        <v>891</v>
      </c>
      <c r="N110" s="16">
        <v>30</v>
      </c>
      <c r="O110" t="s">
        <v>891</v>
      </c>
      <c r="P110" s="16">
        <v>9.52</v>
      </c>
      <c r="Q110" t="s">
        <v>892</v>
      </c>
      <c r="R110" t="s">
        <v>895</v>
      </c>
      <c r="S110" t="s">
        <v>896</v>
      </c>
      <c r="T110" t="s">
        <v>898</v>
      </c>
      <c r="U110" t="s">
        <v>960</v>
      </c>
      <c r="V110" t="s">
        <v>10</v>
      </c>
      <c r="W110" s="16"/>
      <c r="X110" s="17"/>
    </row>
    <row r="111" spans="1:24" ht="18" x14ac:dyDescent="0.2">
      <c r="A111" s="12" t="s">
        <v>294</v>
      </c>
      <c r="B111" s="3">
        <v>33.15</v>
      </c>
      <c r="C111" s="5">
        <v>41.915999999999997</v>
      </c>
      <c r="D111" s="5">
        <f t="shared" si="1"/>
        <v>8.7659999999999982</v>
      </c>
      <c r="F111" t="s">
        <v>91</v>
      </c>
      <c r="I111" s="16">
        <v>41</v>
      </c>
      <c r="J111" s="16">
        <v>41</v>
      </c>
      <c r="K111" s="16">
        <v>30</v>
      </c>
      <c r="L111" s="16">
        <v>29.9</v>
      </c>
      <c r="M111" t="s">
        <v>891</v>
      </c>
      <c r="N111" s="16">
        <v>30</v>
      </c>
      <c r="O111" t="s">
        <v>891</v>
      </c>
      <c r="P111" s="16">
        <v>9.52</v>
      </c>
      <c r="Q111" t="s">
        <v>892</v>
      </c>
      <c r="R111" t="s">
        <v>895</v>
      </c>
      <c r="S111" t="s">
        <v>896</v>
      </c>
      <c r="T111" t="s">
        <v>898</v>
      </c>
      <c r="U111" t="s">
        <v>960</v>
      </c>
      <c r="V111" t="s">
        <v>10</v>
      </c>
      <c r="W111" s="16"/>
      <c r="X111" s="17"/>
    </row>
    <row r="112" spans="1:24" ht="18" x14ac:dyDescent="0.2">
      <c r="A112" s="12" t="s">
        <v>295</v>
      </c>
      <c r="B112" s="3">
        <v>52.3</v>
      </c>
      <c r="C112" s="5">
        <v>57.177999999999997</v>
      </c>
      <c r="D112" s="5">
        <f t="shared" si="1"/>
        <v>4.8780000000000001</v>
      </c>
      <c r="E112" t="s">
        <v>21</v>
      </c>
      <c r="F112" t="s">
        <v>10</v>
      </c>
      <c r="G112" t="s">
        <v>296</v>
      </c>
      <c r="H112" t="s">
        <v>297</v>
      </c>
      <c r="I112" s="16">
        <v>25</v>
      </c>
      <c r="J112" s="16">
        <v>25</v>
      </c>
      <c r="K112" s="16">
        <v>15</v>
      </c>
      <c r="L112" s="16">
        <v>45.4</v>
      </c>
      <c r="M112" t="s">
        <v>891</v>
      </c>
      <c r="N112" s="16">
        <v>57</v>
      </c>
      <c r="O112" t="s">
        <v>891</v>
      </c>
      <c r="P112" s="16">
        <v>19.05</v>
      </c>
      <c r="Q112" t="s">
        <v>892</v>
      </c>
      <c r="R112" t="s">
        <v>1017</v>
      </c>
      <c r="S112" t="s">
        <v>1072</v>
      </c>
      <c r="T112" t="s">
        <v>895</v>
      </c>
      <c r="U112" t="s">
        <v>896</v>
      </c>
      <c r="V112" t="s">
        <v>10</v>
      </c>
      <c r="W112" s="16">
        <v>0</v>
      </c>
      <c r="X112" s="17" t="s">
        <v>903</v>
      </c>
    </row>
    <row r="113" spans="1:24" ht="18" x14ac:dyDescent="0.2">
      <c r="A113" s="12" t="s">
        <v>298</v>
      </c>
      <c r="B113" s="3">
        <v>35.03</v>
      </c>
      <c r="C113" s="5">
        <v>57.453000000000003</v>
      </c>
      <c r="D113" s="5">
        <f t="shared" si="1"/>
        <v>22.423000000000002</v>
      </c>
      <c r="E113" t="s">
        <v>25</v>
      </c>
      <c r="F113" t="s">
        <v>10</v>
      </c>
      <c r="G113" t="s">
        <v>299</v>
      </c>
      <c r="H113" t="s">
        <v>300</v>
      </c>
      <c r="I113" s="16">
        <v>23</v>
      </c>
      <c r="J113" s="16">
        <v>22</v>
      </c>
      <c r="K113" s="16">
        <v>17</v>
      </c>
      <c r="L113" s="16">
        <v>37.799999999999997</v>
      </c>
      <c r="M113" t="s">
        <v>891</v>
      </c>
      <c r="N113" s="16">
        <v>52</v>
      </c>
      <c r="O113" t="s">
        <v>891</v>
      </c>
      <c r="P113" s="16">
        <v>12</v>
      </c>
      <c r="Q113" t="s">
        <v>892</v>
      </c>
      <c r="R113" t="s">
        <v>898</v>
      </c>
      <c r="S113" t="s">
        <v>1073</v>
      </c>
      <c r="T113" t="s">
        <v>895</v>
      </c>
      <c r="U113" t="s">
        <v>896</v>
      </c>
      <c r="V113" t="s">
        <v>10</v>
      </c>
      <c r="W113" s="16">
        <v>1</v>
      </c>
      <c r="X113" s="17" t="s">
        <v>919</v>
      </c>
    </row>
    <row r="114" spans="1:24" ht="18" x14ac:dyDescent="0.2">
      <c r="A114" s="12" t="s">
        <v>301</v>
      </c>
      <c r="B114" s="3">
        <v>19.510000000000002</v>
      </c>
      <c r="C114" s="5">
        <v>71.016000000000005</v>
      </c>
      <c r="D114" s="5">
        <f t="shared" si="1"/>
        <v>51.506</v>
      </c>
      <c r="E114" t="s">
        <v>180</v>
      </c>
      <c r="F114" t="s">
        <v>10</v>
      </c>
      <c r="G114" t="s">
        <v>302</v>
      </c>
      <c r="H114" t="s">
        <v>303</v>
      </c>
      <c r="I114" s="16">
        <v>18</v>
      </c>
      <c r="J114" s="16">
        <v>15</v>
      </c>
      <c r="K114" s="16">
        <v>15</v>
      </c>
      <c r="L114" s="16">
        <v>65.7</v>
      </c>
      <c r="M114" t="s">
        <v>891</v>
      </c>
      <c r="N114" s="16">
        <v>66</v>
      </c>
      <c r="O114" t="s">
        <v>891</v>
      </c>
      <c r="P114" s="16">
        <v>10.43</v>
      </c>
      <c r="Q114" t="s">
        <v>892</v>
      </c>
      <c r="R114" t="s">
        <v>951</v>
      </c>
      <c r="S114" t="s">
        <v>1074</v>
      </c>
      <c r="T114" t="s">
        <v>895</v>
      </c>
      <c r="U114" t="s">
        <v>896</v>
      </c>
      <c r="V114" t="s">
        <v>10</v>
      </c>
      <c r="W114" s="16">
        <v>10.433</v>
      </c>
      <c r="X114" s="17" t="s">
        <v>900</v>
      </c>
    </row>
    <row r="115" spans="1:24" ht="18" x14ac:dyDescent="0.2">
      <c r="A115" s="12" t="s">
        <v>304</v>
      </c>
      <c r="B115" s="3">
        <v>32.47</v>
      </c>
      <c r="C115" s="5">
        <v>36.585999999999999</v>
      </c>
      <c r="D115" s="5">
        <f t="shared" si="1"/>
        <v>4.1159999999999997</v>
      </c>
      <c r="E115" t="s">
        <v>25</v>
      </c>
      <c r="F115" t="s">
        <v>10</v>
      </c>
      <c r="G115" t="s">
        <v>305</v>
      </c>
      <c r="H115" t="s">
        <v>306</v>
      </c>
      <c r="I115" s="16">
        <v>16</v>
      </c>
      <c r="J115" s="16">
        <v>12</v>
      </c>
      <c r="K115" s="16">
        <v>9</v>
      </c>
      <c r="L115" s="16">
        <v>27.3</v>
      </c>
      <c r="M115" t="s">
        <v>891</v>
      </c>
      <c r="N115" s="16">
        <v>28</v>
      </c>
      <c r="O115" t="s">
        <v>891</v>
      </c>
      <c r="P115" s="16">
        <v>11.34</v>
      </c>
      <c r="Q115" t="s">
        <v>892</v>
      </c>
      <c r="R115" t="s">
        <v>1075</v>
      </c>
      <c r="S115" t="s">
        <v>1076</v>
      </c>
      <c r="T115" t="s">
        <v>895</v>
      </c>
      <c r="U115" t="s">
        <v>896</v>
      </c>
      <c r="V115" t="s">
        <v>10</v>
      </c>
      <c r="W115" s="16">
        <v>11.34</v>
      </c>
      <c r="X115" s="17" t="s">
        <v>909</v>
      </c>
    </row>
    <row r="116" spans="1:24" ht="18" x14ac:dyDescent="0.2">
      <c r="A116" s="12" t="s">
        <v>307</v>
      </c>
      <c r="B116" s="3">
        <v>19.12</v>
      </c>
      <c r="C116" s="5">
        <v>89.584000000000003</v>
      </c>
      <c r="D116" s="5">
        <f t="shared" si="1"/>
        <v>70.463999999999999</v>
      </c>
      <c r="F116" t="s">
        <v>91</v>
      </c>
      <c r="I116" s="16"/>
      <c r="J116" s="16"/>
      <c r="K116" s="16"/>
      <c r="L116" s="16"/>
      <c r="N116" s="16"/>
      <c r="P116" s="16"/>
      <c r="V116" t="s">
        <v>91</v>
      </c>
      <c r="W116" s="16">
        <v>3.629</v>
      </c>
      <c r="X116" s="17" t="s">
        <v>1077</v>
      </c>
    </row>
    <row r="117" spans="1:24" ht="18" x14ac:dyDescent="0.2">
      <c r="A117" s="12" t="s">
        <v>308</v>
      </c>
      <c r="B117" s="3">
        <v>83.03</v>
      </c>
      <c r="C117" s="5">
        <v>91.003</v>
      </c>
      <c r="D117" s="5">
        <f t="shared" si="1"/>
        <v>7.972999999999999</v>
      </c>
      <c r="E117" t="s">
        <v>309</v>
      </c>
      <c r="F117" t="s">
        <v>10</v>
      </c>
      <c r="G117" t="s">
        <v>310</v>
      </c>
      <c r="H117" t="s">
        <v>311</v>
      </c>
      <c r="I117" s="16"/>
      <c r="J117" s="16"/>
      <c r="K117" s="16"/>
      <c r="L117" s="16"/>
      <c r="N117" s="16"/>
      <c r="P117" s="16"/>
      <c r="V117" t="s">
        <v>91</v>
      </c>
      <c r="W117" s="16">
        <v>1</v>
      </c>
      <c r="X117" s="17" t="s">
        <v>1078</v>
      </c>
    </row>
    <row r="118" spans="1:24" ht="18" x14ac:dyDescent="0.2">
      <c r="A118" s="12" t="s">
        <v>312</v>
      </c>
      <c r="B118" s="3">
        <v>19.12</v>
      </c>
      <c r="C118" s="5">
        <v>22.780999999999999</v>
      </c>
      <c r="D118" s="5">
        <f t="shared" si="1"/>
        <v>3.6609999999999978</v>
      </c>
      <c r="E118" t="s">
        <v>313</v>
      </c>
      <c r="F118" t="s">
        <v>10</v>
      </c>
      <c r="G118" t="s">
        <v>314</v>
      </c>
      <c r="H118" t="s">
        <v>315</v>
      </c>
      <c r="I118" s="16"/>
      <c r="J118" s="16"/>
      <c r="K118" s="16"/>
      <c r="L118" s="16"/>
      <c r="N118" s="16"/>
      <c r="P118" s="16"/>
      <c r="V118" t="s">
        <v>91</v>
      </c>
      <c r="W118" s="16">
        <v>0</v>
      </c>
      <c r="X118" s="17" t="s">
        <v>1079</v>
      </c>
    </row>
    <row r="119" spans="1:24" ht="18" x14ac:dyDescent="0.2">
      <c r="A119" s="12" t="s">
        <v>316</v>
      </c>
      <c r="B119" s="3">
        <v>42.01</v>
      </c>
      <c r="C119" s="5">
        <v>84.381</v>
      </c>
      <c r="D119" s="5">
        <f t="shared" si="1"/>
        <v>42.371000000000002</v>
      </c>
      <c r="E119" t="s">
        <v>317</v>
      </c>
      <c r="F119" t="s">
        <v>10</v>
      </c>
      <c r="G119" t="s">
        <v>318</v>
      </c>
      <c r="H119" t="s">
        <v>319</v>
      </c>
      <c r="I119" s="16"/>
      <c r="J119" s="16"/>
      <c r="K119" s="16"/>
      <c r="L119" s="16"/>
      <c r="N119" s="16"/>
      <c r="P119" s="16"/>
      <c r="V119" t="s">
        <v>91</v>
      </c>
      <c r="W119" s="16">
        <v>19.731000000000002</v>
      </c>
      <c r="X119" s="17" t="s">
        <v>1080</v>
      </c>
    </row>
    <row r="120" spans="1:24" ht="18" x14ac:dyDescent="0.2">
      <c r="A120" s="12" t="s">
        <v>320</v>
      </c>
      <c r="B120" s="3">
        <v>72.099999999999994</v>
      </c>
      <c r="C120" s="5">
        <v>75.349999999999994</v>
      </c>
      <c r="D120" s="5">
        <f t="shared" si="1"/>
        <v>3.25</v>
      </c>
      <c r="E120" t="s">
        <v>35</v>
      </c>
      <c r="F120" t="s">
        <v>10</v>
      </c>
      <c r="G120" t="s">
        <v>321</v>
      </c>
      <c r="H120" t="s">
        <v>322</v>
      </c>
      <c r="I120" s="16"/>
      <c r="J120" s="16"/>
      <c r="K120" s="16"/>
      <c r="L120" s="16"/>
      <c r="N120" s="16"/>
      <c r="P120" s="16"/>
      <c r="V120" t="s">
        <v>91</v>
      </c>
      <c r="W120" s="16">
        <v>26.308</v>
      </c>
      <c r="X120" s="17" t="s">
        <v>1081</v>
      </c>
    </row>
    <row r="121" spans="1:24" ht="18" x14ac:dyDescent="0.2">
      <c r="A121" s="12" t="s">
        <v>323</v>
      </c>
      <c r="B121" s="3">
        <v>42.02</v>
      </c>
      <c r="C121" s="5">
        <v>84.403000000000006</v>
      </c>
      <c r="D121" s="5">
        <f t="shared" si="1"/>
        <v>42.383000000000003</v>
      </c>
      <c r="E121" t="s">
        <v>317</v>
      </c>
      <c r="F121" t="s">
        <v>10</v>
      </c>
      <c r="G121" t="s">
        <v>324</v>
      </c>
      <c r="H121" t="s">
        <v>325</v>
      </c>
      <c r="I121" s="16"/>
      <c r="J121" s="16"/>
      <c r="K121" s="16"/>
      <c r="L121" s="16"/>
      <c r="N121" s="16"/>
      <c r="P121" s="16"/>
      <c r="V121" t="s">
        <v>91</v>
      </c>
      <c r="W121" s="16">
        <v>0</v>
      </c>
      <c r="X121" s="17" t="s">
        <v>1082</v>
      </c>
    </row>
    <row r="122" spans="1:24" ht="18" x14ac:dyDescent="0.2">
      <c r="A122" s="12" t="s">
        <v>326</v>
      </c>
      <c r="B122" s="3">
        <v>75.05</v>
      </c>
      <c r="C122" s="5">
        <v>81.674999999999997</v>
      </c>
      <c r="D122" s="5">
        <f t="shared" si="1"/>
        <v>6.625</v>
      </c>
      <c r="E122" t="s">
        <v>327</v>
      </c>
      <c r="F122" t="s">
        <v>10</v>
      </c>
      <c r="G122" t="s">
        <v>328</v>
      </c>
      <c r="H122" t="s">
        <v>329</v>
      </c>
      <c r="I122" s="16"/>
      <c r="J122" s="16"/>
      <c r="K122" s="16"/>
      <c r="L122" s="16"/>
      <c r="N122" s="16"/>
      <c r="P122" s="16"/>
      <c r="V122" t="s">
        <v>91</v>
      </c>
      <c r="W122" s="16">
        <v>0</v>
      </c>
      <c r="X122" s="17" t="s">
        <v>1083</v>
      </c>
    </row>
    <row r="123" spans="1:24" ht="18" x14ac:dyDescent="0.2">
      <c r="A123" s="12" t="s">
        <v>330</v>
      </c>
      <c r="B123" s="3">
        <v>70.66</v>
      </c>
      <c r="C123" s="5">
        <v>92.444000000000003</v>
      </c>
      <c r="D123" s="5">
        <f t="shared" si="1"/>
        <v>21.784000000000006</v>
      </c>
      <c r="E123" t="s">
        <v>240</v>
      </c>
      <c r="F123" t="s">
        <v>10</v>
      </c>
      <c r="G123" t="s">
        <v>331</v>
      </c>
      <c r="H123" t="s">
        <v>332</v>
      </c>
      <c r="I123" s="16"/>
      <c r="J123" s="16"/>
      <c r="K123" s="16"/>
      <c r="L123" s="16"/>
      <c r="N123" s="16"/>
      <c r="P123" s="16"/>
      <c r="V123" t="s">
        <v>91</v>
      </c>
      <c r="W123" s="16">
        <v>1</v>
      </c>
      <c r="X123" s="17" t="s">
        <v>1028</v>
      </c>
    </row>
    <row r="124" spans="1:24" ht="18" x14ac:dyDescent="0.2">
      <c r="A124" s="12" t="s">
        <v>333</v>
      </c>
      <c r="B124" s="3">
        <v>24.54</v>
      </c>
      <c r="C124" s="5">
        <v>27.620999999999999</v>
      </c>
      <c r="D124" s="5">
        <f t="shared" si="1"/>
        <v>3.0809999999999995</v>
      </c>
      <c r="E124" t="s">
        <v>14</v>
      </c>
      <c r="F124" t="s">
        <v>10</v>
      </c>
      <c r="G124" t="s">
        <v>334</v>
      </c>
      <c r="H124" t="s">
        <v>335</v>
      </c>
      <c r="I124" s="16"/>
      <c r="J124" s="16"/>
      <c r="K124" s="16"/>
      <c r="L124" s="16"/>
      <c r="N124" s="16"/>
      <c r="P124" s="16"/>
      <c r="V124" t="s">
        <v>91</v>
      </c>
      <c r="W124" s="16">
        <v>1</v>
      </c>
      <c r="X124" s="17" t="s">
        <v>955</v>
      </c>
    </row>
    <row r="125" spans="1:24" ht="18" x14ac:dyDescent="0.2">
      <c r="A125" s="12" t="s">
        <v>336</v>
      </c>
      <c r="B125" s="3">
        <v>72.08</v>
      </c>
      <c r="C125" s="5">
        <v>79.188999999999993</v>
      </c>
      <c r="D125" s="5">
        <f t="shared" si="1"/>
        <v>7.1089999999999947</v>
      </c>
      <c r="E125" t="s">
        <v>180</v>
      </c>
      <c r="F125" t="s">
        <v>10</v>
      </c>
      <c r="G125" t="s">
        <v>337</v>
      </c>
      <c r="H125" t="s">
        <v>338</v>
      </c>
      <c r="I125" s="16"/>
      <c r="J125" s="16"/>
      <c r="K125" s="16"/>
      <c r="L125" s="16"/>
      <c r="N125" s="16"/>
      <c r="P125" s="16"/>
      <c r="V125" t="s">
        <v>91</v>
      </c>
      <c r="W125" s="16">
        <v>25.401</v>
      </c>
      <c r="X125" s="17" t="s">
        <v>1084</v>
      </c>
    </row>
    <row r="126" spans="1:24" ht="18" x14ac:dyDescent="0.2">
      <c r="A126" s="12" t="s">
        <v>339</v>
      </c>
      <c r="B126" s="3">
        <v>26.36</v>
      </c>
      <c r="C126" s="5">
        <v>30.524999999999999</v>
      </c>
      <c r="D126" s="5">
        <f t="shared" si="1"/>
        <v>4.1649999999999991</v>
      </c>
      <c r="E126" t="s">
        <v>25</v>
      </c>
      <c r="F126" t="s">
        <v>10</v>
      </c>
      <c r="G126" t="s">
        <v>340</v>
      </c>
      <c r="H126" t="s">
        <v>341</v>
      </c>
      <c r="I126" s="16"/>
      <c r="J126" s="16"/>
      <c r="K126" s="16"/>
      <c r="L126" s="16"/>
      <c r="N126" s="16"/>
      <c r="P126" s="16"/>
      <c r="V126" t="s">
        <v>91</v>
      </c>
      <c r="W126" s="16">
        <v>11.34</v>
      </c>
      <c r="X126" s="17" t="s">
        <v>909</v>
      </c>
    </row>
    <row r="127" spans="1:24" ht="18" x14ac:dyDescent="0.2">
      <c r="A127" s="12" t="s">
        <v>342</v>
      </c>
      <c r="B127" s="3">
        <v>20.7</v>
      </c>
      <c r="C127" s="5">
        <v>23.847999999999999</v>
      </c>
      <c r="D127" s="5">
        <f t="shared" si="1"/>
        <v>3.1479999999999997</v>
      </c>
      <c r="E127" t="s">
        <v>73</v>
      </c>
      <c r="F127" t="s">
        <v>10</v>
      </c>
      <c r="G127" t="s">
        <v>343</v>
      </c>
      <c r="H127" t="s">
        <v>344</v>
      </c>
      <c r="I127" s="16"/>
      <c r="J127" s="16"/>
      <c r="K127" s="16"/>
      <c r="L127" s="16"/>
      <c r="N127" s="16"/>
      <c r="P127" s="16"/>
      <c r="V127" t="s">
        <v>91</v>
      </c>
      <c r="W127" s="16">
        <v>6.7130000000000001</v>
      </c>
      <c r="X127" s="17" t="s">
        <v>1085</v>
      </c>
    </row>
    <row r="128" spans="1:24" ht="18" x14ac:dyDescent="0.2">
      <c r="A128" s="12" t="s">
        <v>345</v>
      </c>
      <c r="B128" s="3">
        <v>20.83</v>
      </c>
      <c r="C128" s="5">
        <v>25.486999999999998</v>
      </c>
      <c r="D128" s="5">
        <f t="shared" si="1"/>
        <v>4.657</v>
      </c>
      <c r="E128" t="s">
        <v>25</v>
      </c>
      <c r="F128" t="s">
        <v>10</v>
      </c>
      <c r="G128" t="s">
        <v>346</v>
      </c>
      <c r="H128" t="s">
        <v>347</v>
      </c>
      <c r="I128" s="16"/>
      <c r="J128" s="16"/>
      <c r="K128" s="16"/>
      <c r="L128" s="16"/>
      <c r="N128" s="16"/>
      <c r="P128" s="16"/>
      <c r="V128" t="s">
        <v>91</v>
      </c>
      <c r="W128" s="16">
        <v>10.433</v>
      </c>
      <c r="X128" s="17" t="s">
        <v>985</v>
      </c>
    </row>
    <row r="129" spans="1:24" ht="18" x14ac:dyDescent="0.2">
      <c r="A129" s="12" t="s">
        <v>348</v>
      </c>
      <c r="B129" s="3">
        <v>70.53</v>
      </c>
      <c r="C129" s="5">
        <v>80.058000000000007</v>
      </c>
      <c r="D129" s="5">
        <f t="shared" si="1"/>
        <v>9.5280000000000058</v>
      </c>
      <c r="E129" t="s">
        <v>349</v>
      </c>
      <c r="F129" t="s">
        <v>10</v>
      </c>
      <c r="G129" t="s">
        <v>350</v>
      </c>
      <c r="H129" t="s">
        <v>351</v>
      </c>
      <c r="I129" s="16"/>
      <c r="J129" s="16"/>
      <c r="K129" s="16"/>
      <c r="L129" s="16"/>
      <c r="N129" s="16"/>
      <c r="P129" s="16"/>
      <c r="V129" t="s">
        <v>91</v>
      </c>
      <c r="W129" s="16">
        <v>29.484000000000002</v>
      </c>
      <c r="X129" s="17" t="s">
        <v>1086</v>
      </c>
    </row>
    <row r="130" spans="1:24" ht="18" x14ac:dyDescent="0.2">
      <c r="A130" s="12" t="s">
        <v>352</v>
      </c>
      <c r="B130" s="3">
        <v>55.87</v>
      </c>
      <c r="C130" s="5">
        <v>99.539000000000001</v>
      </c>
      <c r="D130" s="5">
        <f t="shared" ref="D130:D193" si="2">C130-B130</f>
        <v>43.669000000000004</v>
      </c>
      <c r="E130" t="s">
        <v>353</v>
      </c>
      <c r="F130" t="s">
        <v>10</v>
      </c>
      <c r="G130" t="s">
        <v>354</v>
      </c>
      <c r="H130" t="s">
        <v>355</v>
      </c>
      <c r="I130" s="16"/>
      <c r="J130" s="16"/>
      <c r="K130" s="16"/>
      <c r="L130" s="16"/>
      <c r="N130" s="16"/>
      <c r="P130" s="16"/>
      <c r="V130" t="s">
        <v>91</v>
      </c>
      <c r="W130" s="16">
        <v>21.771999999999998</v>
      </c>
      <c r="X130" s="17" t="s">
        <v>1087</v>
      </c>
    </row>
    <row r="131" spans="1:24" ht="18" x14ac:dyDescent="0.2">
      <c r="A131" s="12" t="s">
        <v>356</v>
      </c>
      <c r="B131" s="3">
        <v>45.21</v>
      </c>
      <c r="C131" s="5">
        <v>49.302</v>
      </c>
      <c r="D131" s="5">
        <f t="shared" si="2"/>
        <v>4.0919999999999987</v>
      </c>
      <c r="E131" t="s">
        <v>21</v>
      </c>
      <c r="F131" t="s">
        <v>10</v>
      </c>
      <c r="G131" t="s">
        <v>357</v>
      </c>
      <c r="H131" t="s">
        <v>358</v>
      </c>
      <c r="I131" s="16"/>
      <c r="J131" s="16"/>
      <c r="K131" s="16"/>
      <c r="L131" s="16"/>
      <c r="N131" s="16"/>
      <c r="P131" s="16"/>
      <c r="V131" t="s">
        <v>91</v>
      </c>
      <c r="W131" s="16">
        <v>17.236999999999998</v>
      </c>
      <c r="X131" s="17" t="s">
        <v>906</v>
      </c>
    </row>
    <row r="132" spans="1:24" ht="18" x14ac:dyDescent="0.2">
      <c r="A132" s="12" t="s">
        <v>359</v>
      </c>
      <c r="B132" s="3">
        <v>45.21</v>
      </c>
      <c r="C132" s="5">
        <v>49.511000000000003</v>
      </c>
      <c r="D132" s="5">
        <f t="shared" si="2"/>
        <v>4.3010000000000019</v>
      </c>
      <c r="E132" t="s">
        <v>21</v>
      </c>
      <c r="F132" t="s">
        <v>10</v>
      </c>
      <c r="G132" t="s">
        <v>360</v>
      </c>
      <c r="H132" t="s">
        <v>361</v>
      </c>
      <c r="I132" s="16"/>
      <c r="J132" s="16"/>
      <c r="K132" s="16"/>
      <c r="L132" s="16"/>
      <c r="N132" s="16"/>
      <c r="P132" s="16"/>
      <c r="V132" t="s">
        <v>91</v>
      </c>
      <c r="W132" s="16">
        <v>17.236999999999998</v>
      </c>
      <c r="X132" s="17" t="s">
        <v>906</v>
      </c>
    </row>
    <row r="133" spans="1:24" ht="18" x14ac:dyDescent="0.2">
      <c r="A133" s="12" t="s">
        <v>362</v>
      </c>
      <c r="B133" s="3">
        <v>27.41</v>
      </c>
      <c r="C133" s="5">
        <v>30.404</v>
      </c>
      <c r="D133" s="5">
        <f t="shared" si="2"/>
        <v>2.9939999999999998</v>
      </c>
      <c r="E133" t="s">
        <v>25</v>
      </c>
      <c r="F133" t="s">
        <v>10</v>
      </c>
      <c r="G133" t="s">
        <v>363</v>
      </c>
      <c r="H133" t="s">
        <v>364</v>
      </c>
      <c r="I133" s="16"/>
      <c r="J133" s="16"/>
      <c r="K133" s="16"/>
      <c r="L133" s="16"/>
      <c r="N133" s="16"/>
      <c r="P133" s="16"/>
      <c r="V133" t="s">
        <v>91</v>
      </c>
      <c r="W133" s="16">
        <v>1</v>
      </c>
      <c r="X133" s="17" t="s">
        <v>919</v>
      </c>
    </row>
    <row r="134" spans="1:24" ht="18" x14ac:dyDescent="0.2">
      <c r="A134" s="12" t="s">
        <v>365</v>
      </c>
      <c r="B134" s="3">
        <v>32.4</v>
      </c>
      <c r="C134" s="5">
        <v>38.302</v>
      </c>
      <c r="D134" s="5">
        <f t="shared" si="2"/>
        <v>5.902000000000001</v>
      </c>
      <c r="E134" t="s">
        <v>25</v>
      </c>
      <c r="F134" t="s">
        <v>10</v>
      </c>
      <c r="G134" t="s">
        <v>366</v>
      </c>
      <c r="H134" t="s">
        <v>367</v>
      </c>
      <c r="I134" s="16"/>
      <c r="J134" s="16"/>
      <c r="K134" s="16"/>
      <c r="L134" s="16"/>
      <c r="N134" s="16"/>
      <c r="P134" s="16"/>
      <c r="V134" t="s">
        <v>91</v>
      </c>
      <c r="W134" s="16">
        <v>11.34</v>
      </c>
      <c r="X134" s="17" t="s">
        <v>909</v>
      </c>
    </row>
    <row r="135" spans="1:24" ht="18" x14ac:dyDescent="0.2">
      <c r="A135" s="12" t="s">
        <v>368</v>
      </c>
      <c r="B135" s="3">
        <v>110.17</v>
      </c>
      <c r="C135" s="5">
        <v>112.574</v>
      </c>
      <c r="D135" s="5">
        <f t="shared" si="2"/>
        <v>2.4039999999999964</v>
      </c>
      <c r="E135" t="s">
        <v>309</v>
      </c>
      <c r="F135" t="s">
        <v>10</v>
      </c>
      <c r="G135" t="s">
        <v>369</v>
      </c>
      <c r="H135" t="s">
        <v>370</v>
      </c>
      <c r="I135" s="16"/>
      <c r="J135" s="16"/>
      <c r="K135" s="16"/>
      <c r="L135" s="16"/>
      <c r="N135" s="16"/>
      <c r="P135" s="16"/>
      <c r="V135" t="s">
        <v>91</v>
      </c>
      <c r="W135" s="16">
        <v>43</v>
      </c>
      <c r="X135" s="17" t="s">
        <v>1088</v>
      </c>
    </row>
    <row r="136" spans="1:24" ht="18" x14ac:dyDescent="0.2">
      <c r="A136" s="12" t="s">
        <v>371</v>
      </c>
      <c r="B136" s="3">
        <v>91.33</v>
      </c>
      <c r="C136" s="5">
        <v>103.675</v>
      </c>
      <c r="D136" s="5">
        <f t="shared" si="2"/>
        <v>12.344999999999999</v>
      </c>
      <c r="E136" t="s">
        <v>87</v>
      </c>
      <c r="F136" t="s">
        <v>10</v>
      </c>
      <c r="G136" t="s">
        <v>372</v>
      </c>
      <c r="H136" t="s">
        <v>372</v>
      </c>
      <c r="I136" s="16"/>
      <c r="J136" s="16"/>
      <c r="K136" s="16"/>
      <c r="L136" s="16"/>
      <c r="N136" s="16"/>
      <c r="P136" s="16"/>
      <c r="V136" t="s">
        <v>91</v>
      </c>
      <c r="W136" s="16">
        <v>39.009</v>
      </c>
      <c r="X136" s="17" t="s">
        <v>1012</v>
      </c>
    </row>
    <row r="137" spans="1:24" ht="18" x14ac:dyDescent="0.2">
      <c r="A137" s="12" t="s">
        <v>373</v>
      </c>
      <c r="B137" s="3">
        <v>21.81</v>
      </c>
      <c r="C137" s="5">
        <v>24.233000000000001</v>
      </c>
      <c r="D137" s="5">
        <f t="shared" si="2"/>
        <v>2.4230000000000018</v>
      </c>
      <c r="E137" t="s">
        <v>25</v>
      </c>
      <c r="F137" t="s">
        <v>10</v>
      </c>
      <c r="G137" t="s">
        <v>374</v>
      </c>
      <c r="H137" t="s">
        <v>375</v>
      </c>
      <c r="I137" s="16"/>
      <c r="J137" s="16"/>
      <c r="K137" s="16"/>
      <c r="L137" s="16"/>
      <c r="N137" s="16"/>
      <c r="P137" s="16"/>
      <c r="V137" t="s">
        <v>91</v>
      </c>
      <c r="W137" s="16">
        <v>11.34</v>
      </c>
      <c r="X137" s="17" t="s">
        <v>909</v>
      </c>
    </row>
    <row r="138" spans="1:24" ht="18" x14ac:dyDescent="0.2">
      <c r="A138" s="12" t="s">
        <v>376</v>
      </c>
      <c r="B138" s="3">
        <v>25.39</v>
      </c>
      <c r="C138" s="5">
        <v>30.404</v>
      </c>
      <c r="D138" s="5">
        <f t="shared" si="2"/>
        <v>5.0139999999999993</v>
      </c>
      <c r="E138" t="s">
        <v>25</v>
      </c>
      <c r="F138" t="s">
        <v>10</v>
      </c>
      <c r="G138" t="s">
        <v>377</v>
      </c>
      <c r="H138" t="s">
        <v>378</v>
      </c>
      <c r="I138" s="16"/>
      <c r="J138" s="16"/>
      <c r="K138" s="16"/>
      <c r="L138" s="16"/>
      <c r="N138" s="16"/>
      <c r="P138" s="16"/>
      <c r="V138" t="s">
        <v>91</v>
      </c>
      <c r="W138" s="16">
        <v>13.608000000000001</v>
      </c>
      <c r="X138" s="17" t="s">
        <v>1089</v>
      </c>
    </row>
    <row r="139" spans="1:24" ht="18" x14ac:dyDescent="0.2">
      <c r="A139" s="12" t="s">
        <v>379</v>
      </c>
      <c r="B139" s="3">
        <v>55.45</v>
      </c>
      <c r="C139" s="5">
        <v>96.602000000000004</v>
      </c>
      <c r="D139" s="5">
        <f t="shared" si="2"/>
        <v>41.152000000000001</v>
      </c>
      <c r="E139" t="s">
        <v>147</v>
      </c>
      <c r="F139" t="s">
        <v>10</v>
      </c>
      <c r="G139" t="s">
        <v>380</v>
      </c>
      <c r="H139" t="s">
        <v>381</v>
      </c>
      <c r="I139" s="16"/>
      <c r="J139" s="16"/>
      <c r="K139" s="16"/>
      <c r="L139" s="16"/>
      <c r="N139" s="16"/>
      <c r="P139" s="16"/>
      <c r="V139" t="s">
        <v>91</v>
      </c>
      <c r="W139" s="16">
        <v>1</v>
      </c>
      <c r="X139" s="17" t="s">
        <v>1003</v>
      </c>
    </row>
    <row r="140" spans="1:24" ht="18" x14ac:dyDescent="0.2">
      <c r="A140" s="12" t="s">
        <v>382</v>
      </c>
      <c r="B140" s="3">
        <v>69.59</v>
      </c>
      <c r="C140" s="5">
        <v>71.918000000000006</v>
      </c>
      <c r="D140" s="5">
        <f t="shared" si="2"/>
        <v>2.328000000000003</v>
      </c>
      <c r="E140" t="s">
        <v>180</v>
      </c>
      <c r="F140" t="s">
        <v>10</v>
      </c>
      <c r="G140" t="s">
        <v>383</v>
      </c>
      <c r="H140" t="s">
        <v>384</v>
      </c>
      <c r="I140" s="16"/>
      <c r="J140" s="16"/>
      <c r="K140" s="16"/>
      <c r="L140" s="16"/>
      <c r="N140" s="16"/>
      <c r="P140" s="16"/>
      <c r="V140" t="s">
        <v>91</v>
      </c>
      <c r="W140" s="16">
        <v>0</v>
      </c>
      <c r="X140" s="17" t="s">
        <v>903</v>
      </c>
    </row>
    <row r="141" spans="1:24" ht="18" x14ac:dyDescent="0.2">
      <c r="A141" s="12" t="s">
        <v>385</v>
      </c>
      <c r="B141" s="3">
        <v>19.46</v>
      </c>
      <c r="C141" s="5">
        <v>28.864000000000001</v>
      </c>
      <c r="D141" s="5">
        <f t="shared" si="2"/>
        <v>9.4039999999999999</v>
      </c>
      <c r="E141" t="s">
        <v>21</v>
      </c>
      <c r="F141" t="s">
        <v>10</v>
      </c>
      <c r="G141" t="s">
        <v>386</v>
      </c>
      <c r="H141" t="s">
        <v>387</v>
      </c>
      <c r="I141" s="16"/>
      <c r="J141" s="16"/>
      <c r="K141" s="16"/>
      <c r="L141" s="16"/>
      <c r="N141" s="16"/>
      <c r="P141" s="16"/>
      <c r="V141" t="s">
        <v>91</v>
      </c>
      <c r="W141" s="16">
        <v>10.433</v>
      </c>
      <c r="X141" s="17" t="s">
        <v>970</v>
      </c>
    </row>
    <row r="142" spans="1:24" ht="18" x14ac:dyDescent="0.2">
      <c r="A142" s="12" t="s">
        <v>388</v>
      </c>
      <c r="B142" s="3">
        <v>83.03</v>
      </c>
      <c r="C142" s="5">
        <v>90.64</v>
      </c>
      <c r="D142" s="5">
        <f t="shared" si="2"/>
        <v>7.6099999999999994</v>
      </c>
      <c r="E142" t="s">
        <v>349</v>
      </c>
      <c r="F142" t="s">
        <v>10</v>
      </c>
      <c r="G142" t="s">
        <v>389</v>
      </c>
      <c r="H142" t="s">
        <v>390</v>
      </c>
      <c r="I142" s="16"/>
      <c r="J142" s="16"/>
      <c r="K142" s="16"/>
      <c r="L142" s="16"/>
      <c r="N142" s="16"/>
      <c r="P142" s="16"/>
      <c r="V142" t="s">
        <v>91</v>
      </c>
      <c r="W142" s="16">
        <v>1</v>
      </c>
      <c r="X142" s="17" t="s">
        <v>1090</v>
      </c>
    </row>
    <row r="143" spans="1:24" ht="18" x14ac:dyDescent="0.2">
      <c r="A143" s="12" t="s">
        <v>391</v>
      </c>
      <c r="B143" s="3">
        <v>29.38</v>
      </c>
      <c r="C143" s="5">
        <v>32.548999999999999</v>
      </c>
      <c r="D143" s="5">
        <f t="shared" si="2"/>
        <v>3.1690000000000005</v>
      </c>
      <c r="F143" t="s">
        <v>91</v>
      </c>
      <c r="I143" s="16"/>
      <c r="J143" s="16"/>
      <c r="K143" s="16"/>
      <c r="L143" s="16"/>
      <c r="N143" s="16"/>
      <c r="P143" s="16"/>
      <c r="V143" t="s">
        <v>91</v>
      </c>
      <c r="W143" s="16">
        <v>1</v>
      </c>
      <c r="X143" s="17" t="s">
        <v>1091</v>
      </c>
    </row>
    <row r="144" spans="1:24" ht="18" x14ac:dyDescent="0.2">
      <c r="A144" s="12" t="s">
        <v>392</v>
      </c>
      <c r="B144" s="3">
        <v>17.399999999999999</v>
      </c>
      <c r="C144" s="5">
        <v>19.404</v>
      </c>
      <c r="D144" s="5">
        <f t="shared" si="2"/>
        <v>2.0040000000000013</v>
      </c>
      <c r="E144" t="s">
        <v>73</v>
      </c>
      <c r="F144" t="s">
        <v>10</v>
      </c>
      <c r="G144" t="s">
        <v>393</v>
      </c>
      <c r="H144" t="s">
        <v>394</v>
      </c>
      <c r="I144" s="16"/>
      <c r="J144" s="16"/>
      <c r="K144" s="16"/>
      <c r="L144" s="16"/>
      <c r="N144" s="16"/>
      <c r="P144" s="16"/>
      <c r="V144" t="s">
        <v>91</v>
      </c>
      <c r="W144" s="16">
        <v>6.8040000000000003</v>
      </c>
      <c r="X144" s="17" t="s">
        <v>1092</v>
      </c>
    </row>
    <row r="145" spans="1:24" ht="18" x14ac:dyDescent="0.2">
      <c r="A145" s="12" t="s">
        <v>395</v>
      </c>
      <c r="B145" s="3">
        <v>23.15</v>
      </c>
      <c r="C145" s="5">
        <v>52.14</v>
      </c>
      <c r="D145" s="5">
        <f t="shared" si="2"/>
        <v>28.990000000000002</v>
      </c>
      <c r="E145" t="s">
        <v>25</v>
      </c>
      <c r="F145" t="s">
        <v>10</v>
      </c>
      <c r="G145" t="s">
        <v>396</v>
      </c>
      <c r="H145" t="s">
        <v>397</v>
      </c>
      <c r="I145" s="16"/>
      <c r="J145" s="16"/>
      <c r="K145" s="16"/>
      <c r="L145" s="16"/>
      <c r="N145" s="16"/>
      <c r="P145" s="16"/>
      <c r="V145" t="s">
        <v>91</v>
      </c>
      <c r="W145" s="16">
        <v>1</v>
      </c>
      <c r="X145" s="17" t="s">
        <v>919</v>
      </c>
    </row>
    <row r="146" spans="1:24" ht="18" x14ac:dyDescent="0.2">
      <c r="A146" s="12" t="s">
        <v>398</v>
      </c>
      <c r="B146" s="3">
        <v>36.65</v>
      </c>
      <c r="C146" s="5">
        <v>39.302999999999997</v>
      </c>
      <c r="D146" s="5">
        <f t="shared" si="2"/>
        <v>2.6529999999999987</v>
      </c>
      <c r="E146" t="s">
        <v>21</v>
      </c>
      <c r="F146" t="s">
        <v>10</v>
      </c>
      <c r="G146" t="s">
        <v>399</v>
      </c>
      <c r="H146" t="s">
        <v>400</v>
      </c>
      <c r="I146" s="16"/>
      <c r="J146" s="16"/>
      <c r="K146" s="16"/>
      <c r="L146" s="16"/>
      <c r="N146" s="16"/>
      <c r="P146" s="16"/>
      <c r="V146" t="s">
        <v>91</v>
      </c>
      <c r="W146" s="16">
        <v>17.236999999999998</v>
      </c>
      <c r="X146" s="17" t="s">
        <v>906</v>
      </c>
    </row>
    <row r="147" spans="1:24" ht="18" x14ac:dyDescent="0.2">
      <c r="A147" s="12" t="s">
        <v>401</v>
      </c>
      <c r="B147" s="3">
        <v>20.32</v>
      </c>
      <c r="C147" s="5">
        <v>22.55</v>
      </c>
      <c r="D147" s="5">
        <f t="shared" si="2"/>
        <v>2.2300000000000004</v>
      </c>
      <c r="E147" t="s">
        <v>25</v>
      </c>
      <c r="F147" t="s">
        <v>10</v>
      </c>
      <c r="G147" t="s">
        <v>402</v>
      </c>
      <c r="H147" t="s">
        <v>403</v>
      </c>
      <c r="I147" s="16"/>
      <c r="J147" s="16"/>
      <c r="K147" s="16"/>
      <c r="L147" s="16"/>
      <c r="N147" s="16"/>
      <c r="P147" s="16"/>
      <c r="V147" t="s">
        <v>91</v>
      </c>
      <c r="W147" s="16">
        <v>11.34</v>
      </c>
      <c r="X147" s="17" t="s">
        <v>909</v>
      </c>
    </row>
    <row r="148" spans="1:24" ht="18" x14ac:dyDescent="0.2">
      <c r="A148" s="12" t="s">
        <v>404</v>
      </c>
      <c r="B148" s="3">
        <v>103.39</v>
      </c>
      <c r="C148" s="5">
        <v>117.90900000000001</v>
      </c>
      <c r="D148" s="5">
        <f t="shared" si="2"/>
        <v>14.519000000000005</v>
      </c>
      <c r="E148" t="s">
        <v>87</v>
      </c>
      <c r="F148" t="s">
        <v>10</v>
      </c>
      <c r="G148" t="s">
        <v>405</v>
      </c>
      <c r="H148" t="s">
        <v>406</v>
      </c>
      <c r="I148" s="16"/>
      <c r="J148" s="16"/>
      <c r="K148" s="16"/>
      <c r="L148" s="16"/>
      <c r="N148" s="16"/>
      <c r="P148" s="16"/>
      <c r="V148" t="s">
        <v>91</v>
      </c>
      <c r="W148" s="16">
        <v>1</v>
      </c>
      <c r="X148" s="17" t="s">
        <v>946</v>
      </c>
    </row>
    <row r="149" spans="1:24" ht="18" x14ac:dyDescent="0.2">
      <c r="A149" s="12" t="s">
        <v>407</v>
      </c>
      <c r="B149" s="3">
        <v>65.680000000000007</v>
      </c>
      <c r="C149" s="5">
        <v>70.906000000000006</v>
      </c>
      <c r="D149" s="5">
        <f t="shared" si="2"/>
        <v>5.2259999999999991</v>
      </c>
      <c r="E149" t="s">
        <v>35</v>
      </c>
      <c r="F149" t="s">
        <v>10</v>
      </c>
      <c r="G149" t="s">
        <v>408</v>
      </c>
      <c r="H149" t="s">
        <v>409</v>
      </c>
      <c r="I149" s="16">
        <v>20</v>
      </c>
      <c r="J149" s="16">
        <v>16</v>
      </c>
      <c r="K149" s="16">
        <v>16</v>
      </c>
      <c r="L149" s="16">
        <v>66.5</v>
      </c>
      <c r="M149" t="s">
        <v>891</v>
      </c>
      <c r="N149" s="16">
        <v>67</v>
      </c>
      <c r="O149" t="s">
        <v>891</v>
      </c>
      <c r="P149" s="16">
        <v>26.3</v>
      </c>
      <c r="Q149" t="s">
        <v>892</v>
      </c>
      <c r="R149" t="s">
        <v>930</v>
      </c>
      <c r="S149" t="s">
        <v>1093</v>
      </c>
      <c r="T149" t="s">
        <v>895</v>
      </c>
      <c r="U149" t="s">
        <v>896</v>
      </c>
      <c r="V149" t="s">
        <v>10</v>
      </c>
      <c r="W149" s="16">
        <v>26.308</v>
      </c>
      <c r="X149" s="17" t="s">
        <v>1005</v>
      </c>
    </row>
    <row r="150" spans="1:24" ht="18" x14ac:dyDescent="0.2">
      <c r="A150" s="12" t="s">
        <v>410</v>
      </c>
      <c r="B150" s="3">
        <v>19.579999999999998</v>
      </c>
      <c r="C150" s="5">
        <v>24.233000000000001</v>
      </c>
      <c r="D150" s="5">
        <f t="shared" si="2"/>
        <v>4.6530000000000022</v>
      </c>
      <c r="E150" t="s">
        <v>14</v>
      </c>
      <c r="F150" t="s">
        <v>10</v>
      </c>
      <c r="G150" t="s">
        <v>411</v>
      </c>
      <c r="H150" t="s">
        <v>412</v>
      </c>
      <c r="I150" s="16"/>
      <c r="J150" s="16"/>
      <c r="K150" s="16"/>
      <c r="L150" s="16"/>
      <c r="N150" s="16"/>
      <c r="P150" s="16"/>
      <c r="V150" t="s">
        <v>91</v>
      </c>
      <c r="W150" s="16">
        <v>9.0719999999999992</v>
      </c>
      <c r="X150" s="17" t="s">
        <v>1094</v>
      </c>
    </row>
    <row r="151" spans="1:24" ht="18" x14ac:dyDescent="0.2">
      <c r="A151" s="12" t="s">
        <v>413</v>
      </c>
      <c r="B151" s="3">
        <v>29.94</v>
      </c>
      <c r="C151" s="5">
        <v>38.302</v>
      </c>
      <c r="D151" s="5">
        <f t="shared" si="2"/>
        <v>8.3619999999999983</v>
      </c>
      <c r="E151" t="s">
        <v>25</v>
      </c>
      <c r="F151" t="s">
        <v>10</v>
      </c>
      <c r="G151" t="s">
        <v>414</v>
      </c>
      <c r="H151" t="s">
        <v>415</v>
      </c>
      <c r="I151" s="16"/>
      <c r="J151" s="16"/>
      <c r="K151" s="16"/>
      <c r="L151" s="16"/>
      <c r="N151" s="16"/>
      <c r="P151" s="16"/>
      <c r="V151" t="s">
        <v>91</v>
      </c>
      <c r="W151" s="16">
        <v>10.433</v>
      </c>
      <c r="X151" s="17" t="s">
        <v>985</v>
      </c>
    </row>
    <row r="152" spans="1:24" ht="18" x14ac:dyDescent="0.2">
      <c r="A152" s="12" t="s">
        <v>416</v>
      </c>
      <c r="B152" s="3">
        <v>34.6</v>
      </c>
      <c r="C152" s="5">
        <v>71.686999999999998</v>
      </c>
      <c r="D152" s="5">
        <f t="shared" si="2"/>
        <v>37.086999999999996</v>
      </c>
      <c r="E152" t="s">
        <v>417</v>
      </c>
      <c r="F152" t="s">
        <v>10</v>
      </c>
      <c r="G152" t="s">
        <v>418</v>
      </c>
      <c r="H152" t="s">
        <v>419</v>
      </c>
      <c r="I152" s="16">
        <v>30</v>
      </c>
      <c r="J152" s="16">
        <v>18</v>
      </c>
      <c r="K152" s="16">
        <v>7</v>
      </c>
      <c r="L152" s="16">
        <v>50.8</v>
      </c>
      <c r="M152" t="s">
        <v>891</v>
      </c>
      <c r="N152" s="16">
        <v>51</v>
      </c>
      <c r="O152" t="s">
        <v>891</v>
      </c>
      <c r="P152" s="16">
        <v>20</v>
      </c>
      <c r="Q152" t="s">
        <v>892</v>
      </c>
      <c r="R152" t="s">
        <v>923</v>
      </c>
      <c r="S152" t="s">
        <v>1095</v>
      </c>
      <c r="T152" t="s">
        <v>895</v>
      </c>
      <c r="U152" t="s">
        <v>896</v>
      </c>
      <c r="V152" t="s">
        <v>10</v>
      </c>
      <c r="W152" s="16">
        <v>20</v>
      </c>
      <c r="X152" s="17" t="s">
        <v>981</v>
      </c>
    </row>
    <row r="153" spans="1:24" ht="18" x14ac:dyDescent="0.2">
      <c r="A153" s="12" t="s">
        <v>420</v>
      </c>
      <c r="B153" s="3">
        <v>29.94</v>
      </c>
      <c r="C153" s="5">
        <v>38.148000000000003</v>
      </c>
      <c r="D153" s="5">
        <f t="shared" si="2"/>
        <v>8.208000000000002</v>
      </c>
      <c r="E153" t="s">
        <v>25</v>
      </c>
      <c r="F153" t="s">
        <v>10</v>
      </c>
      <c r="G153" t="s">
        <v>421</v>
      </c>
      <c r="H153" t="s">
        <v>422</v>
      </c>
      <c r="I153" s="16">
        <v>16</v>
      </c>
      <c r="J153" s="16">
        <v>16</v>
      </c>
      <c r="K153" s="16">
        <v>12</v>
      </c>
      <c r="L153" s="16">
        <v>30</v>
      </c>
      <c r="M153" t="s">
        <v>891</v>
      </c>
      <c r="N153" s="16">
        <v>30</v>
      </c>
      <c r="O153" t="s">
        <v>891</v>
      </c>
      <c r="P153" s="16">
        <v>10.43</v>
      </c>
      <c r="Q153" t="s">
        <v>892</v>
      </c>
      <c r="R153" t="s">
        <v>898</v>
      </c>
      <c r="S153" t="s">
        <v>1096</v>
      </c>
      <c r="T153" t="s">
        <v>895</v>
      </c>
      <c r="U153" t="s">
        <v>896</v>
      </c>
      <c r="V153" t="s">
        <v>10</v>
      </c>
      <c r="W153" s="16">
        <v>10.433</v>
      </c>
      <c r="X153" s="17" t="s">
        <v>985</v>
      </c>
    </row>
    <row r="154" spans="1:24" ht="18" x14ac:dyDescent="0.2">
      <c r="A154" s="12" t="s">
        <v>423</v>
      </c>
      <c r="B154" s="3">
        <v>21.72</v>
      </c>
      <c r="C154" s="5">
        <v>25.277999999999999</v>
      </c>
      <c r="D154" s="5">
        <f t="shared" si="2"/>
        <v>3.5579999999999998</v>
      </c>
      <c r="E154" t="s">
        <v>25</v>
      </c>
      <c r="F154" t="s">
        <v>10</v>
      </c>
      <c r="G154" t="s">
        <v>424</v>
      </c>
      <c r="H154" t="s">
        <v>425</v>
      </c>
      <c r="I154" s="16"/>
      <c r="J154" s="16"/>
      <c r="K154" s="16"/>
      <c r="L154" s="16"/>
      <c r="N154" s="16"/>
      <c r="P154" s="16"/>
      <c r="V154" t="s">
        <v>91</v>
      </c>
      <c r="W154" s="16">
        <v>11.34</v>
      </c>
      <c r="X154" s="17" t="s">
        <v>909</v>
      </c>
    </row>
    <row r="155" spans="1:24" ht="18" x14ac:dyDescent="0.2">
      <c r="A155" s="12" t="s">
        <v>426</v>
      </c>
      <c r="B155" s="3">
        <v>88.81</v>
      </c>
      <c r="C155" s="5">
        <v>96.47</v>
      </c>
      <c r="D155" s="5">
        <f t="shared" si="2"/>
        <v>7.6599999999999966</v>
      </c>
      <c r="E155" t="s">
        <v>309</v>
      </c>
      <c r="F155" t="s">
        <v>10</v>
      </c>
      <c r="G155" t="s">
        <v>427</v>
      </c>
      <c r="H155" t="s">
        <v>428</v>
      </c>
      <c r="I155" s="16">
        <v>26</v>
      </c>
      <c r="J155" s="16">
        <v>19</v>
      </c>
      <c r="K155" s="16">
        <v>18</v>
      </c>
      <c r="L155" s="16">
        <v>90.3</v>
      </c>
      <c r="M155" t="s">
        <v>891</v>
      </c>
      <c r="N155" s="16">
        <v>91</v>
      </c>
      <c r="O155" t="s">
        <v>891</v>
      </c>
      <c r="P155" s="16">
        <v>38.1</v>
      </c>
      <c r="Q155" t="s">
        <v>892</v>
      </c>
      <c r="R155" t="s">
        <v>923</v>
      </c>
      <c r="S155" t="s">
        <v>1097</v>
      </c>
      <c r="T155" t="s">
        <v>895</v>
      </c>
      <c r="U155" t="s">
        <v>896</v>
      </c>
      <c r="V155" t="s">
        <v>10</v>
      </c>
      <c r="W155" s="16">
        <v>38.101999999999997</v>
      </c>
      <c r="X155" s="17" t="s">
        <v>1098</v>
      </c>
    </row>
    <row r="156" spans="1:24" ht="18" x14ac:dyDescent="0.2">
      <c r="A156" s="12" t="s">
        <v>429</v>
      </c>
      <c r="B156" s="3">
        <v>74.099999999999994</v>
      </c>
      <c r="C156" s="5">
        <v>77.626999999999995</v>
      </c>
      <c r="D156" s="5">
        <f t="shared" si="2"/>
        <v>3.527000000000001</v>
      </c>
      <c r="E156" t="s">
        <v>180</v>
      </c>
      <c r="F156" t="s">
        <v>10</v>
      </c>
      <c r="G156" t="s">
        <v>430</v>
      </c>
      <c r="H156" t="s">
        <v>431</v>
      </c>
      <c r="I156" s="16">
        <v>21</v>
      </c>
      <c r="J156" s="16">
        <v>21</v>
      </c>
      <c r="K156" s="16">
        <v>16</v>
      </c>
      <c r="L156" s="16">
        <v>68.2</v>
      </c>
      <c r="M156" t="s">
        <v>891</v>
      </c>
      <c r="N156" s="16">
        <v>69</v>
      </c>
      <c r="O156" t="s">
        <v>891</v>
      </c>
      <c r="P156" s="16">
        <v>28.3</v>
      </c>
      <c r="Q156" t="s">
        <v>892</v>
      </c>
      <c r="R156" t="s">
        <v>976</v>
      </c>
      <c r="S156" t="s">
        <v>1042</v>
      </c>
      <c r="T156" t="s">
        <v>895</v>
      </c>
      <c r="U156" t="s">
        <v>896</v>
      </c>
      <c r="V156" t="s">
        <v>10</v>
      </c>
      <c r="W156" s="16">
        <v>1</v>
      </c>
      <c r="X156" s="17" t="s">
        <v>1091</v>
      </c>
    </row>
    <row r="157" spans="1:24" ht="18" x14ac:dyDescent="0.2">
      <c r="A157" s="12" t="s">
        <v>432</v>
      </c>
      <c r="B157" s="3">
        <v>23.66</v>
      </c>
      <c r="C157" s="5">
        <v>29.238</v>
      </c>
      <c r="D157" s="5">
        <f t="shared" si="2"/>
        <v>5.5779999999999994</v>
      </c>
      <c r="E157" t="s">
        <v>14</v>
      </c>
      <c r="F157" t="s">
        <v>10</v>
      </c>
      <c r="G157" t="s">
        <v>433</v>
      </c>
      <c r="H157" t="s">
        <v>434</v>
      </c>
      <c r="I157" s="16"/>
      <c r="J157" s="16"/>
      <c r="K157" s="16"/>
      <c r="L157" s="16"/>
      <c r="N157" s="16"/>
      <c r="P157" s="16"/>
      <c r="V157" t="s">
        <v>91</v>
      </c>
      <c r="W157" s="16">
        <v>8.1649999999999991</v>
      </c>
      <c r="X157" s="17" t="s">
        <v>1099</v>
      </c>
    </row>
    <row r="158" spans="1:24" ht="18" x14ac:dyDescent="0.2">
      <c r="A158" s="12" t="s">
        <v>435</v>
      </c>
      <c r="B158" s="3">
        <v>30.61</v>
      </c>
      <c r="C158" s="5">
        <v>72.808999999999997</v>
      </c>
      <c r="D158" s="5">
        <f t="shared" si="2"/>
        <v>42.198999999999998</v>
      </c>
      <c r="E158" t="s">
        <v>180</v>
      </c>
      <c r="F158" t="s">
        <v>10</v>
      </c>
      <c r="G158" t="s">
        <v>436</v>
      </c>
      <c r="H158" t="s">
        <v>437</v>
      </c>
      <c r="I158" s="16"/>
      <c r="J158" s="16"/>
      <c r="K158" s="16"/>
      <c r="L158" s="16"/>
      <c r="N158" s="16"/>
      <c r="P158" s="16"/>
      <c r="V158" t="s">
        <v>91</v>
      </c>
      <c r="W158" s="16">
        <v>21.771999999999998</v>
      </c>
      <c r="X158" s="17" t="s">
        <v>1100</v>
      </c>
    </row>
    <row r="159" spans="1:24" ht="18" x14ac:dyDescent="0.2">
      <c r="A159" s="12" t="s">
        <v>438</v>
      </c>
      <c r="B159" s="3">
        <v>21.72</v>
      </c>
      <c r="C159" s="5">
        <v>25.795000000000002</v>
      </c>
      <c r="D159" s="5">
        <f t="shared" si="2"/>
        <v>4.0750000000000028</v>
      </c>
      <c r="F159" t="s">
        <v>91</v>
      </c>
      <c r="I159" s="16">
        <v>16</v>
      </c>
      <c r="J159" s="16">
        <v>16</v>
      </c>
      <c r="K159" s="16">
        <v>12</v>
      </c>
      <c r="L159" s="16">
        <v>30.1</v>
      </c>
      <c r="M159" t="s">
        <v>891</v>
      </c>
      <c r="N159" s="16">
        <v>31</v>
      </c>
      <c r="O159" t="s">
        <v>891</v>
      </c>
      <c r="P159" s="16">
        <v>11.34</v>
      </c>
      <c r="Q159" t="s">
        <v>892</v>
      </c>
      <c r="R159" t="s">
        <v>923</v>
      </c>
      <c r="S159" t="s">
        <v>1101</v>
      </c>
      <c r="T159" t="s">
        <v>895</v>
      </c>
      <c r="U159" t="s">
        <v>896</v>
      </c>
      <c r="V159" t="s">
        <v>10</v>
      </c>
      <c r="W159" s="16">
        <v>0</v>
      </c>
      <c r="X159" s="17" t="s">
        <v>903</v>
      </c>
    </row>
    <row r="160" spans="1:24" ht="18" x14ac:dyDescent="0.2">
      <c r="A160" s="12" t="s">
        <v>439</v>
      </c>
      <c r="B160" s="3">
        <v>61.02</v>
      </c>
      <c r="C160" s="5">
        <v>69.849999999999994</v>
      </c>
      <c r="D160" s="5">
        <f t="shared" si="2"/>
        <v>8.8299999999999912</v>
      </c>
      <c r="E160" t="s">
        <v>21</v>
      </c>
      <c r="F160" t="s">
        <v>10</v>
      </c>
      <c r="G160" t="s">
        <v>440</v>
      </c>
      <c r="H160" t="s">
        <v>441</v>
      </c>
      <c r="I160" s="16"/>
      <c r="J160" s="16"/>
      <c r="K160" s="16"/>
      <c r="L160" s="16"/>
      <c r="N160" s="16"/>
      <c r="P160" s="16"/>
      <c r="V160" t="s">
        <v>91</v>
      </c>
      <c r="W160" s="16">
        <v>0</v>
      </c>
      <c r="X160" s="17" t="s">
        <v>903</v>
      </c>
    </row>
    <row r="161" spans="1:24" ht="18" x14ac:dyDescent="0.2">
      <c r="A161" s="12" t="s">
        <v>442</v>
      </c>
      <c r="B161" s="3">
        <v>19.04</v>
      </c>
      <c r="C161" s="5">
        <v>23.132999999999999</v>
      </c>
      <c r="D161" s="5">
        <f t="shared" si="2"/>
        <v>4.093</v>
      </c>
      <c r="E161" t="s">
        <v>443</v>
      </c>
      <c r="F161" t="s">
        <v>10</v>
      </c>
      <c r="G161" t="s">
        <v>444</v>
      </c>
      <c r="H161" t="s">
        <v>445</v>
      </c>
      <c r="I161" s="16">
        <v>22</v>
      </c>
      <c r="J161" s="16">
        <v>15</v>
      </c>
      <c r="K161" s="16">
        <v>8</v>
      </c>
      <c r="L161" s="16">
        <v>20.2</v>
      </c>
      <c r="M161" t="s">
        <v>891</v>
      </c>
      <c r="N161" s="16">
        <v>21</v>
      </c>
      <c r="O161" t="s">
        <v>891</v>
      </c>
      <c r="P161" s="16">
        <v>2.72</v>
      </c>
      <c r="Q161" t="s">
        <v>892</v>
      </c>
      <c r="R161" t="s">
        <v>898</v>
      </c>
      <c r="S161" t="s">
        <v>1102</v>
      </c>
      <c r="T161" t="s">
        <v>895</v>
      </c>
      <c r="U161" t="s">
        <v>896</v>
      </c>
      <c r="V161" t="s">
        <v>10</v>
      </c>
      <c r="W161" s="16">
        <v>0</v>
      </c>
      <c r="X161" s="17" t="s">
        <v>903</v>
      </c>
    </row>
    <row r="162" spans="1:24" ht="18" x14ac:dyDescent="0.2">
      <c r="A162" s="12" t="s">
        <v>446</v>
      </c>
      <c r="B162" s="3">
        <v>21.72</v>
      </c>
      <c r="C162" s="5">
        <v>24.353999999999999</v>
      </c>
      <c r="D162" s="5">
        <f t="shared" si="2"/>
        <v>2.6340000000000003</v>
      </c>
      <c r="E162" t="s">
        <v>25</v>
      </c>
      <c r="F162" t="s">
        <v>10</v>
      </c>
      <c r="G162" t="s">
        <v>447</v>
      </c>
      <c r="H162" t="s">
        <v>448</v>
      </c>
      <c r="I162" s="16">
        <v>19</v>
      </c>
      <c r="J162" s="16">
        <v>17</v>
      </c>
      <c r="K162" s="16">
        <v>13</v>
      </c>
      <c r="L162" s="16">
        <v>28.8</v>
      </c>
      <c r="M162" t="s">
        <v>891</v>
      </c>
      <c r="N162" s="16">
        <v>29</v>
      </c>
      <c r="O162" t="s">
        <v>891</v>
      </c>
      <c r="P162" s="16">
        <v>11.34</v>
      </c>
      <c r="Q162" t="s">
        <v>892</v>
      </c>
      <c r="R162" t="s">
        <v>976</v>
      </c>
      <c r="S162" t="s">
        <v>994</v>
      </c>
      <c r="T162" t="s">
        <v>895</v>
      </c>
      <c r="U162" t="s">
        <v>896</v>
      </c>
      <c r="V162" t="s">
        <v>10</v>
      </c>
      <c r="W162" s="16">
        <v>11.34</v>
      </c>
      <c r="X162" s="17" t="s">
        <v>909</v>
      </c>
    </row>
    <row r="163" spans="1:24" ht="18" x14ac:dyDescent="0.2">
      <c r="A163" s="12" t="s">
        <v>449</v>
      </c>
      <c r="B163" s="3">
        <v>17.5</v>
      </c>
      <c r="C163" s="5">
        <v>20.262</v>
      </c>
      <c r="D163" s="5">
        <f t="shared" si="2"/>
        <v>2.7620000000000005</v>
      </c>
      <c r="F163" t="s">
        <v>91</v>
      </c>
      <c r="I163" s="16"/>
      <c r="J163" s="16"/>
      <c r="K163" s="16"/>
      <c r="L163" s="16"/>
      <c r="N163" s="16"/>
      <c r="P163" s="16"/>
      <c r="V163" t="s">
        <v>91</v>
      </c>
      <c r="W163" s="16">
        <v>11.34</v>
      </c>
      <c r="X163" s="17" t="s">
        <v>909</v>
      </c>
    </row>
    <row r="164" spans="1:24" ht="18" x14ac:dyDescent="0.2">
      <c r="A164" s="12" t="s">
        <v>450</v>
      </c>
      <c r="B164" s="3">
        <v>21.72</v>
      </c>
      <c r="C164" s="5">
        <v>24.134</v>
      </c>
      <c r="D164" s="5">
        <f t="shared" si="2"/>
        <v>2.4140000000000015</v>
      </c>
      <c r="F164" t="s">
        <v>91</v>
      </c>
      <c r="I164" s="16">
        <v>15</v>
      </c>
      <c r="J164" s="16">
        <v>15</v>
      </c>
      <c r="K164" s="16">
        <v>11</v>
      </c>
      <c r="L164" s="16">
        <v>27.8</v>
      </c>
      <c r="M164" t="s">
        <v>891</v>
      </c>
      <c r="N164" s="16">
        <v>28</v>
      </c>
      <c r="O164" t="s">
        <v>891</v>
      </c>
      <c r="P164" s="16">
        <v>11.34</v>
      </c>
      <c r="Q164" t="s">
        <v>892</v>
      </c>
      <c r="R164" t="s">
        <v>917</v>
      </c>
      <c r="S164" t="s">
        <v>918</v>
      </c>
      <c r="T164" t="s">
        <v>895</v>
      </c>
      <c r="U164" t="s">
        <v>896</v>
      </c>
      <c r="V164" t="s">
        <v>10</v>
      </c>
      <c r="W164" s="16">
        <v>11.34</v>
      </c>
      <c r="X164" s="17" t="s">
        <v>909</v>
      </c>
    </row>
    <row r="165" spans="1:24" ht="18" x14ac:dyDescent="0.2">
      <c r="A165" s="12" t="s">
        <v>451</v>
      </c>
      <c r="B165" s="3">
        <v>30.61</v>
      </c>
      <c r="C165" s="5">
        <v>67.165999999999997</v>
      </c>
      <c r="D165" s="5">
        <f t="shared" si="2"/>
        <v>36.555999999999997</v>
      </c>
      <c r="E165" t="s">
        <v>353</v>
      </c>
      <c r="F165" t="s">
        <v>10</v>
      </c>
      <c r="G165" t="s">
        <v>452</v>
      </c>
      <c r="H165" t="s">
        <v>453</v>
      </c>
      <c r="I165" s="16">
        <v>19</v>
      </c>
      <c r="J165" s="16">
        <v>17</v>
      </c>
      <c r="K165" s="16">
        <v>14</v>
      </c>
      <c r="L165" s="16">
        <v>59.1</v>
      </c>
      <c r="M165" t="s">
        <v>891</v>
      </c>
      <c r="N165" s="16">
        <v>60</v>
      </c>
      <c r="O165" t="s">
        <v>891</v>
      </c>
      <c r="P165" s="16">
        <v>21.77</v>
      </c>
      <c r="Q165" t="s">
        <v>892</v>
      </c>
      <c r="R165" t="s">
        <v>1029</v>
      </c>
      <c r="S165" t="s">
        <v>1103</v>
      </c>
      <c r="T165" t="s">
        <v>895</v>
      </c>
      <c r="U165" t="s">
        <v>896</v>
      </c>
      <c r="V165" t="s">
        <v>10</v>
      </c>
      <c r="W165" s="16">
        <v>21.771999999999998</v>
      </c>
      <c r="X165" s="17" t="s">
        <v>1087</v>
      </c>
    </row>
    <row r="166" spans="1:24" ht="18" x14ac:dyDescent="0.2">
      <c r="A166" s="12" t="s">
        <v>454</v>
      </c>
      <c r="B166" s="3">
        <v>17.5</v>
      </c>
      <c r="C166" s="5">
        <v>21.439</v>
      </c>
      <c r="D166" s="5">
        <f t="shared" si="2"/>
        <v>3.9390000000000001</v>
      </c>
      <c r="E166" t="s">
        <v>455</v>
      </c>
      <c r="F166" t="s">
        <v>10</v>
      </c>
      <c r="G166" t="s">
        <v>456</v>
      </c>
      <c r="H166" t="s">
        <v>457</v>
      </c>
      <c r="I166" s="16">
        <v>15</v>
      </c>
      <c r="J166" s="16">
        <v>13</v>
      </c>
      <c r="K166" s="16">
        <v>12</v>
      </c>
      <c r="L166" s="16">
        <v>26.9</v>
      </c>
      <c r="M166" t="s">
        <v>891</v>
      </c>
      <c r="N166" s="16">
        <v>27</v>
      </c>
      <c r="O166" t="s">
        <v>891</v>
      </c>
      <c r="P166" s="16">
        <v>11.34</v>
      </c>
      <c r="Q166" t="s">
        <v>892</v>
      </c>
      <c r="R166" t="s">
        <v>979</v>
      </c>
      <c r="S166" t="s">
        <v>1104</v>
      </c>
      <c r="T166" t="s">
        <v>895</v>
      </c>
      <c r="U166" t="s">
        <v>896</v>
      </c>
      <c r="V166" t="s">
        <v>10</v>
      </c>
      <c r="W166" s="16">
        <v>11.34</v>
      </c>
      <c r="X166" s="17" t="s">
        <v>909</v>
      </c>
    </row>
    <row r="167" spans="1:24" ht="18" x14ac:dyDescent="0.2">
      <c r="A167" s="12" t="s">
        <v>458</v>
      </c>
      <c r="B167" s="3">
        <v>30.19</v>
      </c>
      <c r="C167" s="5">
        <v>35.838000000000001</v>
      </c>
      <c r="D167" s="5">
        <f t="shared" si="2"/>
        <v>5.6479999999999997</v>
      </c>
      <c r="E167" t="s">
        <v>21</v>
      </c>
      <c r="F167" t="s">
        <v>10</v>
      </c>
      <c r="G167" t="s">
        <v>459</v>
      </c>
      <c r="H167" t="s">
        <v>460</v>
      </c>
      <c r="I167" s="16"/>
      <c r="J167" s="16"/>
      <c r="K167" s="16"/>
      <c r="L167" s="16"/>
      <c r="N167" s="16"/>
      <c r="P167" s="16"/>
      <c r="V167" t="s">
        <v>91</v>
      </c>
      <c r="W167" s="16">
        <v>17.236999999999998</v>
      </c>
      <c r="X167" s="17" t="s">
        <v>906</v>
      </c>
    </row>
    <row r="168" spans="1:24" ht="18" x14ac:dyDescent="0.2">
      <c r="A168" s="12" t="s">
        <v>461</v>
      </c>
      <c r="B168" s="3">
        <v>23.06</v>
      </c>
      <c r="C168" s="5">
        <v>25.277999999999999</v>
      </c>
      <c r="D168" s="5">
        <f t="shared" si="2"/>
        <v>2.218</v>
      </c>
      <c r="F168" t="s">
        <v>91</v>
      </c>
      <c r="I168" s="16">
        <v>16</v>
      </c>
      <c r="J168" s="16">
        <v>16</v>
      </c>
      <c r="K168" s="16">
        <v>12</v>
      </c>
      <c r="L168" s="16">
        <v>29.9</v>
      </c>
      <c r="M168" t="s">
        <v>891</v>
      </c>
      <c r="N168" s="16">
        <v>30</v>
      </c>
      <c r="O168" t="s">
        <v>891</v>
      </c>
      <c r="P168" s="16">
        <v>12</v>
      </c>
      <c r="Q168" t="s">
        <v>892</v>
      </c>
      <c r="R168" t="s">
        <v>917</v>
      </c>
      <c r="S168" t="s">
        <v>1105</v>
      </c>
      <c r="T168" t="s">
        <v>895</v>
      </c>
      <c r="U168" t="s">
        <v>896</v>
      </c>
      <c r="V168" t="s">
        <v>10</v>
      </c>
      <c r="W168" s="16">
        <v>1</v>
      </c>
      <c r="X168" s="17" t="s">
        <v>919</v>
      </c>
    </row>
    <row r="169" spans="1:24" ht="18" x14ac:dyDescent="0.2">
      <c r="A169" s="12" t="s">
        <v>462</v>
      </c>
      <c r="B169" s="3">
        <v>23.47</v>
      </c>
      <c r="C169" s="5">
        <v>62.710999999999999</v>
      </c>
      <c r="D169" s="5">
        <f t="shared" si="2"/>
        <v>39.241</v>
      </c>
      <c r="E169" t="s">
        <v>180</v>
      </c>
      <c r="F169" t="s">
        <v>10</v>
      </c>
      <c r="G169" t="s">
        <v>463</v>
      </c>
      <c r="H169" t="s">
        <v>464</v>
      </c>
      <c r="I169" s="16">
        <v>23</v>
      </c>
      <c r="J169" s="16">
        <v>22</v>
      </c>
      <c r="K169" s="16">
        <v>17</v>
      </c>
      <c r="L169" s="16">
        <v>73.7</v>
      </c>
      <c r="M169" t="s">
        <v>891</v>
      </c>
      <c r="N169" s="16">
        <v>74</v>
      </c>
      <c r="O169" t="s">
        <v>891</v>
      </c>
      <c r="P169" s="16">
        <v>19.5</v>
      </c>
      <c r="Q169" t="s">
        <v>892</v>
      </c>
      <c r="R169" t="s">
        <v>928</v>
      </c>
      <c r="S169" t="s">
        <v>1106</v>
      </c>
      <c r="T169" t="s">
        <v>895</v>
      </c>
      <c r="U169" t="s">
        <v>896</v>
      </c>
      <c r="V169" t="s">
        <v>10</v>
      </c>
      <c r="W169" s="16">
        <v>19.504000000000001</v>
      </c>
      <c r="X169" s="17" t="s">
        <v>1107</v>
      </c>
    </row>
    <row r="170" spans="1:24" ht="18" x14ac:dyDescent="0.2">
      <c r="A170" s="12" t="s">
        <v>465</v>
      </c>
      <c r="B170" s="3">
        <v>45.03</v>
      </c>
      <c r="C170" s="5">
        <v>47.267000000000003</v>
      </c>
      <c r="D170" s="5">
        <f t="shared" si="2"/>
        <v>2.2370000000000019</v>
      </c>
      <c r="E170" t="s">
        <v>21</v>
      </c>
      <c r="F170" t="s">
        <v>10</v>
      </c>
      <c r="G170" t="s">
        <v>466</v>
      </c>
      <c r="H170" t="s">
        <v>467</v>
      </c>
      <c r="I170" s="16"/>
      <c r="J170" s="16"/>
      <c r="K170" s="16"/>
      <c r="L170" s="16"/>
      <c r="N170" s="16"/>
      <c r="P170" s="16"/>
      <c r="V170" t="s">
        <v>91</v>
      </c>
      <c r="W170" s="16">
        <v>17.236999999999998</v>
      </c>
      <c r="X170" s="17" t="s">
        <v>906</v>
      </c>
    </row>
    <row r="171" spans="1:24" ht="18" x14ac:dyDescent="0.2">
      <c r="A171" s="12" t="s">
        <v>468</v>
      </c>
      <c r="B171" s="3">
        <v>20.239999999999998</v>
      </c>
      <c r="C171" s="5">
        <v>22.373999999999999</v>
      </c>
      <c r="D171" s="5">
        <f t="shared" si="2"/>
        <v>2.1340000000000003</v>
      </c>
      <c r="E171" t="s">
        <v>25</v>
      </c>
      <c r="F171" t="s">
        <v>10</v>
      </c>
      <c r="G171" t="s">
        <v>469</v>
      </c>
      <c r="H171" t="s">
        <v>470</v>
      </c>
      <c r="I171" s="16">
        <v>16</v>
      </c>
      <c r="J171" s="16">
        <v>15</v>
      </c>
      <c r="K171" s="16">
        <v>12</v>
      </c>
      <c r="L171" s="16">
        <v>28.4</v>
      </c>
      <c r="M171" t="s">
        <v>891</v>
      </c>
      <c r="N171" s="16">
        <v>29</v>
      </c>
      <c r="O171" t="s">
        <v>891</v>
      </c>
      <c r="P171" s="16">
        <v>11.34</v>
      </c>
      <c r="Q171" t="s">
        <v>892</v>
      </c>
      <c r="R171" t="s">
        <v>930</v>
      </c>
      <c r="S171" t="s">
        <v>1108</v>
      </c>
      <c r="T171" t="s">
        <v>895</v>
      </c>
      <c r="U171" t="s">
        <v>896</v>
      </c>
      <c r="V171" t="s">
        <v>10</v>
      </c>
      <c r="W171" s="16">
        <v>0</v>
      </c>
      <c r="X171" s="17" t="s">
        <v>1109</v>
      </c>
    </row>
    <row r="172" spans="1:24" ht="18" x14ac:dyDescent="0.2">
      <c r="A172" s="12" t="s">
        <v>471</v>
      </c>
      <c r="B172" s="3">
        <v>35.65</v>
      </c>
      <c r="C172" s="5">
        <v>39.149000000000001</v>
      </c>
      <c r="D172" s="5">
        <f t="shared" si="2"/>
        <v>3.4990000000000023</v>
      </c>
      <c r="E172" t="s">
        <v>21</v>
      </c>
      <c r="F172" t="s">
        <v>10</v>
      </c>
      <c r="G172" t="s">
        <v>472</v>
      </c>
      <c r="H172" t="s">
        <v>473</v>
      </c>
      <c r="I172" s="16"/>
      <c r="J172" s="16"/>
      <c r="K172" s="16"/>
      <c r="L172" s="16"/>
      <c r="N172" s="16"/>
      <c r="P172" s="16"/>
      <c r="V172" t="s">
        <v>91</v>
      </c>
      <c r="W172" s="16">
        <v>0</v>
      </c>
      <c r="X172" s="17" t="s">
        <v>1041</v>
      </c>
    </row>
    <row r="173" spans="1:24" ht="18" x14ac:dyDescent="0.2">
      <c r="A173" s="12" t="s">
        <v>474</v>
      </c>
      <c r="B173" s="3">
        <v>125.38</v>
      </c>
      <c r="C173" s="5">
        <v>129.29400000000001</v>
      </c>
      <c r="D173" s="5">
        <f t="shared" si="2"/>
        <v>3.9140000000000157</v>
      </c>
      <c r="E173" t="s">
        <v>147</v>
      </c>
      <c r="F173" t="s">
        <v>10</v>
      </c>
      <c r="G173" t="s">
        <v>475</v>
      </c>
      <c r="H173" t="s">
        <v>476</v>
      </c>
      <c r="I173" s="16"/>
      <c r="J173" s="16"/>
      <c r="K173" s="16"/>
      <c r="L173" s="16"/>
      <c r="N173" s="16"/>
      <c r="P173" s="16"/>
      <c r="V173" t="s">
        <v>91</v>
      </c>
      <c r="W173" s="16">
        <v>0</v>
      </c>
      <c r="X173" s="17" t="s">
        <v>903</v>
      </c>
    </row>
    <row r="174" spans="1:24" ht="18" x14ac:dyDescent="0.2">
      <c r="A174" s="12" t="s">
        <v>477</v>
      </c>
      <c r="B174" s="3">
        <v>20.190000000000001</v>
      </c>
      <c r="C174" s="5">
        <v>43.01</v>
      </c>
      <c r="D174" s="5">
        <f t="shared" si="2"/>
        <v>22.819999999999997</v>
      </c>
      <c r="E174" t="s">
        <v>39</v>
      </c>
      <c r="F174" t="s">
        <v>10</v>
      </c>
      <c r="G174" t="s">
        <v>478</v>
      </c>
      <c r="H174" t="s">
        <v>479</v>
      </c>
      <c r="I174" s="16">
        <v>39</v>
      </c>
      <c r="J174" s="16">
        <v>29</v>
      </c>
      <c r="K174" s="16">
        <v>5</v>
      </c>
      <c r="L174" s="16">
        <v>35.200000000000003</v>
      </c>
      <c r="M174" t="s">
        <v>891</v>
      </c>
      <c r="N174" s="16">
        <v>40</v>
      </c>
      <c r="O174" t="s">
        <v>891</v>
      </c>
      <c r="P174" s="16">
        <v>14</v>
      </c>
      <c r="Q174" t="s">
        <v>892</v>
      </c>
      <c r="R174" t="s">
        <v>979</v>
      </c>
      <c r="S174" t="s">
        <v>1110</v>
      </c>
      <c r="T174" t="s">
        <v>895</v>
      </c>
      <c r="U174" t="s">
        <v>896</v>
      </c>
      <c r="V174" t="s">
        <v>10</v>
      </c>
      <c r="W174" s="16">
        <v>1</v>
      </c>
      <c r="X174" s="17" t="s">
        <v>916</v>
      </c>
    </row>
    <row r="175" spans="1:24" ht="18" x14ac:dyDescent="0.2">
      <c r="A175" s="12" t="s">
        <v>480</v>
      </c>
      <c r="B175" s="3">
        <v>74.260000000000005</v>
      </c>
      <c r="C175" s="5">
        <v>95.204999999999998</v>
      </c>
      <c r="D175" s="5">
        <f t="shared" si="2"/>
        <v>20.944999999999993</v>
      </c>
      <c r="E175" t="s">
        <v>309</v>
      </c>
      <c r="F175" t="s">
        <v>10</v>
      </c>
      <c r="G175" t="s">
        <v>481</v>
      </c>
      <c r="I175" s="16">
        <v>27</v>
      </c>
      <c r="J175" s="16">
        <v>20</v>
      </c>
      <c r="K175" s="16">
        <v>20</v>
      </c>
      <c r="L175" s="16">
        <v>100</v>
      </c>
      <c r="M175" t="s">
        <v>891</v>
      </c>
      <c r="N175" s="16">
        <v>101</v>
      </c>
      <c r="O175" t="s">
        <v>891</v>
      </c>
      <c r="P175" s="16">
        <v>38</v>
      </c>
      <c r="Q175" t="s">
        <v>892</v>
      </c>
      <c r="R175" t="s">
        <v>979</v>
      </c>
      <c r="S175" t="s">
        <v>1110</v>
      </c>
      <c r="T175" t="s">
        <v>895</v>
      </c>
      <c r="U175" t="s">
        <v>896</v>
      </c>
      <c r="V175" t="s">
        <v>10</v>
      </c>
      <c r="W175" s="16">
        <v>1</v>
      </c>
      <c r="X175" s="17" t="s">
        <v>1078</v>
      </c>
    </row>
    <row r="176" spans="1:24" ht="18" x14ac:dyDescent="0.2">
      <c r="A176" s="12" t="s">
        <v>482</v>
      </c>
      <c r="B176" s="3">
        <v>36.51</v>
      </c>
      <c r="C176" s="5">
        <v>38.994999999999997</v>
      </c>
      <c r="D176" s="5">
        <f t="shared" si="2"/>
        <v>2.4849999999999994</v>
      </c>
      <c r="E176" t="s">
        <v>21</v>
      </c>
      <c r="F176" t="s">
        <v>10</v>
      </c>
      <c r="G176" t="s">
        <v>483</v>
      </c>
      <c r="H176" t="s">
        <v>484</v>
      </c>
      <c r="I176" s="16">
        <v>19</v>
      </c>
      <c r="J176" s="16">
        <v>17</v>
      </c>
      <c r="K176" s="16">
        <v>13</v>
      </c>
      <c r="L176" s="16">
        <v>40.9</v>
      </c>
      <c r="M176" t="s">
        <v>891</v>
      </c>
      <c r="N176" s="16">
        <v>41</v>
      </c>
      <c r="O176" t="s">
        <v>891</v>
      </c>
      <c r="P176" s="16">
        <v>17.23</v>
      </c>
      <c r="Q176" t="s">
        <v>892</v>
      </c>
      <c r="R176" t="s">
        <v>907</v>
      </c>
      <c r="S176" t="s">
        <v>993</v>
      </c>
      <c r="T176" t="s">
        <v>895</v>
      </c>
      <c r="U176" t="s">
        <v>896</v>
      </c>
      <c r="V176" t="s">
        <v>10</v>
      </c>
      <c r="W176" s="16">
        <v>17.236999999999998</v>
      </c>
      <c r="X176" s="17" t="s">
        <v>906</v>
      </c>
    </row>
    <row r="177" spans="1:24" ht="18" x14ac:dyDescent="0.2">
      <c r="A177" s="12" t="s">
        <v>485</v>
      </c>
      <c r="B177" s="3">
        <v>74.260000000000005</v>
      </c>
      <c r="C177" s="5">
        <v>94.765000000000001</v>
      </c>
      <c r="D177" s="5">
        <f t="shared" si="2"/>
        <v>20.504999999999995</v>
      </c>
      <c r="E177" t="s">
        <v>309</v>
      </c>
      <c r="F177" t="s">
        <v>10</v>
      </c>
      <c r="G177" t="s">
        <v>486</v>
      </c>
      <c r="H177" t="s">
        <v>479</v>
      </c>
      <c r="I177" s="16">
        <v>27</v>
      </c>
      <c r="J177" s="16">
        <v>20</v>
      </c>
      <c r="K177" s="16">
        <v>20</v>
      </c>
      <c r="L177" s="16">
        <v>99.7</v>
      </c>
      <c r="M177" t="s">
        <v>891</v>
      </c>
      <c r="N177" s="16">
        <v>100</v>
      </c>
      <c r="O177" t="s">
        <v>891</v>
      </c>
      <c r="P177" s="16">
        <v>38</v>
      </c>
      <c r="Q177" t="s">
        <v>892</v>
      </c>
      <c r="R177" t="s">
        <v>979</v>
      </c>
      <c r="S177" t="s">
        <v>1110</v>
      </c>
      <c r="T177" t="s">
        <v>895</v>
      </c>
      <c r="U177" t="s">
        <v>896</v>
      </c>
      <c r="V177" t="s">
        <v>10</v>
      </c>
      <c r="W177" s="16">
        <v>1</v>
      </c>
      <c r="X177" s="17" t="s">
        <v>1078</v>
      </c>
    </row>
    <row r="178" spans="1:24" ht="18" x14ac:dyDescent="0.2">
      <c r="A178" s="12" t="s">
        <v>487</v>
      </c>
      <c r="B178" s="3">
        <v>74.260000000000005</v>
      </c>
      <c r="C178" s="5">
        <v>94.765000000000001</v>
      </c>
      <c r="D178" s="5">
        <f t="shared" si="2"/>
        <v>20.504999999999995</v>
      </c>
      <c r="E178" t="s">
        <v>309</v>
      </c>
      <c r="F178" t="s">
        <v>10</v>
      </c>
      <c r="G178" t="s">
        <v>488</v>
      </c>
      <c r="I178" s="16">
        <v>27</v>
      </c>
      <c r="J178" s="16">
        <v>21</v>
      </c>
      <c r="K178" s="16">
        <v>20</v>
      </c>
      <c r="L178" s="16">
        <v>99.6</v>
      </c>
      <c r="M178" t="s">
        <v>891</v>
      </c>
      <c r="N178" s="16">
        <v>100</v>
      </c>
      <c r="O178" t="s">
        <v>891</v>
      </c>
      <c r="P178" s="16">
        <v>38</v>
      </c>
      <c r="Q178" t="s">
        <v>892</v>
      </c>
      <c r="R178" t="s">
        <v>979</v>
      </c>
      <c r="S178" t="s">
        <v>1110</v>
      </c>
      <c r="T178" t="s">
        <v>895</v>
      </c>
      <c r="U178" t="s">
        <v>896</v>
      </c>
      <c r="V178" t="s">
        <v>10</v>
      </c>
      <c r="W178" s="16">
        <v>1</v>
      </c>
      <c r="X178" s="17" t="s">
        <v>1078</v>
      </c>
    </row>
    <row r="179" spans="1:24" ht="18" x14ac:dyDescent="0.2">
      <c r="A179" s="12" t="s">
        <v>489</v>
      </c>
      <c r="B179" s="3">
        <v>20.239999999999998</v>
      </c>
      <c r="C179" s="5">
        <v>23.408000000000001</v>
      </c>
      <c r="D179" s="5">
        <f t="shared" si="2"/>
        <v>3.1680000000000028</v>
      </c>
      <c r="E179" t="s">
        <v>25</v>
      </c>
      <c r="F179" t="s">
        <v>10</v>
      </c>
      <c r="G179" t="s">
        <v>490</v>
      </c>
      <c r="H179" t="s">
        <v>491</v>
      </c>
      <c r="I179" s="16">
        <v>18</v>
      </c>
      <c r="J179" s="16">
        <v>16</v>
      </c>
      <c r="K179" s="16">
        <v>15</v>
      </c>
      <c r="L179" s="16">
        <v>30.2</v>
      </c>
      <c r="M179" t="s">
        <v>891</v>
      </c>
      <c r="N179" s="16">
        <v>31</v>
      </c>
      <c r="O179" t="s">
        <v>891</v>
      </c>
      <c r="P179" s="16">
        <v>11.34</v>
      </c>
      <c r="Q179" t="s">
        <v>892</v>
      </c>
      <c r="R179" t="s">
        <v>1029</v>
      </c>
      <c r="S179" t="s">
        <v>1111</v>
      </c>
      <c r="T179" t="s">
        <v>895</v>
      </c>
      <c r="U179" t="s">
        <v>896</v>
      </c>
      <c r="V179" t="s">
        <v>10</v>
      </c>
      <c r="W179" s="16">
        <v>11.34</v>
      </c>
      <c r="X179" s="17" t="s">
        <v>909</v>
      </c>
    </row>
    <row r="180" spans="1:24" ht="18" x14ac:dyDescent="0.2">
      <c r="A180" s="12" t="s">
        <v>492</v>
      </c>
      <c r="B180" s="3">
        <v>114.59</v>
      </c>
      <c r="C180" s="5">
        <v>308.55</v>
      </c>
      <c r="D180" s="5">
        <f t="shared" si="2"/>
        <v>193.96</v>
      </c>
      <c r="E180" t="s">
        <v>493</v>
      </c>
      <c r="F180" t="s">
        <v>10</v>
      </c>
      <c r="G180" t="s">
        <v>494</v>
      </c>
      <c r="H180" t="s">
        <v>495</v>
      </c>
      <c r="I180" s="16">
        <v>32</v>
      </c>
      <c r="J180" s="16">
        <v>22</v>
      </c>
      <c r="K180" s="16">
        <v>13</v>
      </c>
      <c r="L180" s="16">
        <v>116.4</v>
      </c>
      <c r="M180" t="s">
        <v>891</v>
      </c>
      <c r="N180" s="16">
        <v>117</v>
      </c>
      <c r="O180" t="s">
        <v>891</v>
      </c>
      <c r="P180" s="16">
        <v>46</v>
      </c>
      <c r="Q180" t="s">
        <v>892</v>
      </c>
      <c r="R180" t="s">
        <v>991</v>
      </c>
      <c r="S180" t="s">
        <v>1112</v>
      </c>
      <c r="T180" t="s">
        <v>895</v>
      </c>
      <c r="U180" t="s">
        <v>896</v>
      </c>
      <c r="V180" t="s">
        <v>10</v>
      </c>
      <c r="W180" s="16">
        <v>1</v>
      </c>
      <c r="X180" s="17" t="s">
        <v>1113</v>
      </c>
    </row>
    <row r="181" spans="1:24" ht="18" x14ac:dyDescent="0.2">
      <c r="A181" s="12" t="s">
        <v>496</v>
      </c>
      <c r="B181" s="3">
        <v>21.72</v>
      </c>
      <c r="C181" s="5">
        <v>24.353999999999999</v>
      </c>
      <c r="D181" s="5">
        <f t="shared" si="2"/>
        <v>2.6340000000000003</v>
      </c>
      <c r="F181" t="s">
        <v>91</v>
      </c>
      <c r="I181" s="16">
        <v>16</v>
      </c>
      <c r="J181" s="16">
        <v>16</v>
      </c>
      <c r="K181" s="16">
        <v>12</v>
      </c>
      <c r="L181" s="16">
        <v>28.2</v>
      </c>
      <c r="M181" t="s">
        <v>891</v>
      </c>
      <c r="N181" s="16">
        <v>29</v>
      </c>
      <c r="O181" t="s">
        <v>891</v>
      </c>
      <c r="P181" s="16">
        <v>11.34</v>
      </c>
      <c r="Q181" t="s">
        <v>892</v>
      </c>
      <c r="R181" t="s">
        <v>917</v>
      </c>
      <c r="S181" t="s">
        <v>1114</v>
      </c>
      <c r="T181" t="s">
        <v>895</v>
      </c>
      <c r="U181" t="s">
        <v>896</v>
      </c>
      <c r="V181" t="s">
        <v>10</v>
      </c>
      <c r="W181" s="16">
        <v>11.34</v>
      </c>
      <c r="X181" s="17" t="s">
        <v>909</v>
      </c>
    </row>
    <row r="182" spans="1:24" ht="18" x14ac:dyDescent="0.2">
      <c r="A182" s="12" t="s">
        <v>497</v>
      </c>
      <c r="B182" s="3">
        <v>76.989999999999995</v>
      </c>
      <c r="C182" s="5">
        <v>88.363</v>
      </c>
      <c r="D182" s="5">
        <f t="shared" si="2"/>
        <v>11.373000000000005</v>
      </c>
      <c r="E182" t="s">
        <v>87</v>
      </c>
      <c r="F182" t="s">
        <v>10</v>
      </c>
      <c r="G182" t="s">
        <v>498</v>
      </c>
      <c r="H182" t="s">
        <v>499</v>
      </c>
      <c r="I182" s="16">
        <v>26</v>
      </c>
      <c r="J182" s="16">
        <v>22</v>
      </c>
      <c r="K182" s="16">
        <v>16</v>
      </c>
      <c r="L182" s="16">
        <v>94.7</v>
      </c>
      <c r="M182" t="s">
        <v>891</v>
      </c>
      <c r="N182" s="16">
        <v>95</v>
      </c>
      <c r="O182" t="s">
        <v>891</v>
      </c>
      <c r="P182" s="16">
        <v>39</v>
      </c>
      <c r="Q182" t="s">
        <v>892</v>
      </c>
      <c r="R182" t="s">
        <v>930</v>
      </c>
      <c r="S182" t="s">
        <v>1115</v>
      </c>
      <c r="T182" t="s">
        <v>895</v>
      </c>
      <c r="U182" t="s">
        <v>896</v>
      </c>
      <c r="V182" t="s">
        <v>10</v>
      </c>
      <c r="W182" s="16">
        <v>39.009</v>
      </c>
      <c r="X182" s="17" t="s">
        <v>1012</v>
      </c>
    </row>
    <row r="183" spans="1:24" ht="18" x14ac:dyDescent="0.2">
      <c r="A183" s="12" t="s">
        <v>500</v>
      </c>
      <c r="B183" s="3">
        <v>36.700000000000003</v>
      </c>
      <c r="C183" s="5">
        <v>71.972999999999999</v>
      </c>
      <c r="D183" s="5">
        <f t="shared" si="2"/>
        <v>35.272999999999996</v>
      </c>
      <c r="E183" t="s">
        <v>147</v>
      </c>
      <c r="F183" t="s">
        <v>10</v>
      </c>
      <c r="G183" t="s">
        <v>501</v>
      </c>
      <c r="H183" t="s">
        <v>502</v>
      </c>
      <c r="I183" s="16"/>
      <c r="J183" s="16"/>
      <c r="K183" s="16"/>
      <c r="L183" s="16"/>
      <c r="N183" s="16"/>
      <c r="P183" s="16"/>
      <c r="V183" t="s">
        <v>91</v>
      </c>
      <c r="W183" s="16">
        <v>1</v>
      </c>
      <c r="X183" s="17" t="s">
        <v>1091</v>
      </c>
    </row>
    <row r="184" spans="1:24" ht="18" x14ac:dyDescent="0.2">
      <c r="A184" s="12" t="s">
        <v>503</v>
      </c>
      <c r="B184" s="3">
        <v>30.19</v>
      </c>
      <c r="C184" s="5">
        <v>33.670999999999999</v>
      </c>
      <c r="D184" s="5">
        <f t="shared" si="2"/>
        <v>3.4809999999999981</v>
      </c>
      <c r="E184" t="s">
        <v>21</v>
      </c>
      <c r="F184" t="s">
        <v>10</v>
      </c>
      <c r="G184" t="s">
        <v>504</v>
      </c>
      <c r="H184" t="s">
        <v>505</v>
      </c>
      <c r="I184" s="16">
        <v>18</v>
      </c>
      <c r="J184" s="16">
        <v>17</v>
      </c>
      <c r="K184" s="16">
        <v>13</v>
      </c>
      <c r="L184" s="16">
        <v>41.7</v>
      </c>
      <c r="M184" t="s">
        <v>891</v>
      </c>
      <c r="N184" s="16">
        <v>42</v>
      </c>
      <c r="O184" t="s">
        <v>891</v>
      </c>
      <c r="P184" s="16">
        <v>17.23</v>
      </c>
      <c r="Q184" t="s">
        <v>892</v>
      </c>
      <c r="R184" t="s">
        <v>976</v>
      </c>
      <c r="S184" t="s">
        <v>977</v>
      </c>
      <c r="T184" t="s">
        <v>895</v>
      </c>
      <c r="U184" t="s">
        <v>896</v>
      </c>
      <c r="V184" t="s">
        <v>10</v>
      </c>
      <c r="W184" s="16">
        <v>17.236999999999998</v>
      </c>
      <c r="X184" s="17" t="s">
        <v>906</v>
      </c>
    </row>
    <row r="185" spans="1:24" ht="18" x14ac:dyDescent="0.2">
      <c r="A185" s="12" t="s">
        <v>506</v>
      </c>
      <c r="B185" s="3">
        <v>21.77</v>
      </c>
      <c r="C185" s="5">
        <v>23.837</v>
      </c>
      <c r="D185" s="5">
        <f t="shared" si="2"/>
        <v>2.0670000000000002</v>
      </c>
      <c r="E185" t="s">
        <v>21</v>
      </c>
      <c r="F185" t="s">
        <v>10</v>
      </c>
      <c r="G185" t="s">
        <v>507</v>
      </c>
      <c r="H185" t="s">
        <v>508</v>
      </c>
      <c r="I185" s="16">
        <v>26</v>
      </c>
      <c r="J185" s="16">
        <v>17</v>
      </c>
      <c r="K185" s="16">
        <v>16</v>
      </c>
      <c r="L185" s="16">
        <v>44.7</v>
      </c>
      <c r="M185" t="s">
        <v>891</v>
      </c>
      <c r="N185" s="16">
        <v>45</v>
      </c>
      <c r="O185" t="s">
        <v>891</v>
      </c>
      <c r="P185" s="16">
        <v>17.23</v>
      </c>
      <c r="Q185" t="s">
        <v>892</v>
      </c>
      <c r="R185" t="s">
        <v>895</v>
      </c>
      <c r="S185" t="s">
        <v>1116</v>
      </c>
      <c r="T185" t="s">
        <v>895</v>
      </c>
      <c r="U185" t="s">
        <v>896</v>
      </c>
      <c r="V185" t="s">
        <v>10</v>
      </c>
      <c r="W185" s="16">
        <v>17.236999999999998</v>
      </c>
      <c r="X185" s="17" t="s">
        <v>906</v>
      </c>
    </row>
    <row r="186" spans="1:24" ht="18" x14ac:dyDescent="0.2">
      <c r="A186" s="12" t="s">
        <v>509</v>
      </c>
      <c r="B186" s="3">
        <v>59.67</v>
      </c>
      <c r="C186" s="5">
        <v>82.313000000000002</v>
      </c>
      <c r="D186" s="5">
        <f t="shared" si="2"/>
        <v>22.643000000000001</v>
      </c>
      <c r="E186" t="s">
        <v>147</v>
      </c>
      <c r="F186" t="s">
        <v>10</v>
      </c>
      <c r="G186" t="s">
        <v>510</v>
      </c>
      <c r="H186" t="s">
        <v>511</v>
      </c>
      <c r="I186" s="16">
        <v>28</v>
      </c>
      <c r="J186" s="16">
        <v>25</v>
      </c>
      <c r="K186" s="16">
        <v>21</v>
      </c>
      <c r="L186" s="16">
        <v>67.099999999999994</v>
      </c>
      <c r="M186" t="s">
        <v>891</v>
      </c>
      <c r="N186" s="16">
        <v>89</v>
      </c>
      <c r="O186" t="s">
        <v>891</v>
      </c>
      <c r="P186" s="16">
        <v>29.48</v>
      </c>
      <c r="Q186" t="s">
        <v>892</v>
      </c>
      <c r="R186" t="s">
        <v>1117</v>
      </c>
      <c r="S186" t="s">
        <v>1118</v>
      </c>
      <c r="T186" t="s">
        <v>895</v>
      </c>
      <c r="U186" t="s">
        <v>896</v>
      </c>
      <c r="V186" t="s">
        <v>10</v>
      </c>
      <c r="W186" s="16">
        <v>29.484000000000002</v>
      </c>
      <c r="X186" s="17" t="s">
        <v>1119</v>
      </c>
    </row>
    <row r="187" spans="1:24" ht="18" x14ac:dyDescent="0.2">
      <c r="A187" s="12" t="s">
        <v>512</v>
      </c>
      <c r="B187" s="3">
        <v>27.65</v>
      </c>
      <c r="C187" s="5">
        <v>36.509</v>
      </c>
      <c r="D187" s="5">
        <f t="shared" si="2"/>
        <v>8.8590000000000018</v>
      </c>
      <c r="E187" t="s">
        <v>14</v>
      </c>
      <c r="F187" t="s">
        <v>10</v>
      </c>
      <c r="G187" t="s">
        <v>513</v>
      </c>
      <c r="H187" t="s">
        <v>514</v>
      </c>
      <c r="I187" s="16">
        <v>16</v>
      </c>
      <c r="J187" s="16">
        <v>15</v>
      </c>
      <c r="K187" s="16">
        <v>12</v>
      </c>
      <c r="L187" s="16">
        <v>27.4</v>
      </c>
      <c r="M187" t="s">
        <v>891</v>
      </c>
      <c r="N187" s="16">
        <v>28</v>
      </c>
      <c r="O187" t="s">
        <v>891</v>
      </c>
      <c r="P187" s="16">
        <v>8.16</v>
      </c>
      <c r="Q187" t="s">
        <v>892</v>
      </c>
      <c r="R187" t="s">
        <v>898</v>
      </c>
      <c r="S187" t="s">
        <v>1120</v>
      </c>
      <c r="T187" t="s">
        <v>895</v>
      </c>
      <c r="U187" t="s">
        <v>896</v>
      </c>
      <c r="V187" t="s">
        <v>10</v>
      </c>
      <c r="W187" s="16">
        <v>8.1649999999999991</v>
      </c>
      <c r="X187" s="17" t="s">
        <v>1099</v>
      </c>
    </row>
    <row r="188" spans="1:24" ht="18" x14ac:dyDescent="0.2">
      <c r="A188" s="12" t="s">
        <v>515</v>
      </c>
      <c r="B188" s="3">
        <v>28.69</v>
      </c>
      <c r="C188" s="5">
        <v>34.869999999999997</v>
      </c>
      <c r="D188" s="5">
        <f t="shared" si="2"/>
        <v>6.1799999999999962</v>
      </c>
      <c r="E188" t="s">
        <v>62</v>
      </c>
      <c r="F188" t="s">
        <v>10</v>
      </c>
      <c r="G188" t="s">
        <v>516</v>
      </c>
      <c r="H188" t="s">
        <v>517</v>
      </c>
      <c r="I188" s="16"/>
      <c r="J188" s="16"/>
      <c r="K188" s="16"/>
      <c r="L188" s="16"/>
      <c r="N188" s="16"/>
      <c r="P188" s="16"/>
      <c r="V188" t="s">
        <v>91</v>
      </c>
      <c r="W188" s="16">
        <v>1</v>
      </c>
      <c r="X188" s="17" t="s">
        <v>1014</v>
      </c>
    </row>
    <row r="189" spans="1:24" ht="18" x14ac:dyDescent="0.2">
      <c r="A189" s="12" t="s">
        <v>518</v>
      </c>
      <c r="B189" s="3">
        <v>23.79</v>
      </c>
      <c r="C189" s="5">
        <v>118.074</v>
      </c>
      <c r="D189" s="5">
        <f t="shared" si="2"/>
        <v>94.283999999999992</v>
      </c>
      <c r="E189" t="s">
        <v>317</v>
      </c>
      <c r="F189" t="s">
        <v>10</v>
      </c>
      <c r="G189" t="s">
        <v>519</v>
      </c>
      <c r="H189" t="s">
        <v>520</v>
      </c>
      <c r="I189" s="16">
        <v>30</v>
      </c>
      <c r="J189" s="16">
        <v>18</v>
      </c>
      <c r="K189" s="16">
        <v>8</v>
      </c>
      <c r="L189" s="16">
        <v>51.1</v>
      </c>
      <c r="M189" t="s">
        <v>891</v>
      </c>
      <c r="N189" s="16">
        <v>52</v>
      </c>
      <c r="O189" t="s">
        <v>891</v>
      </c>
      <c r="P189" s="16">
        <v>20</v>
      </c>
      <c r="Q189" t="s">
        <v>892</v>
      </c>
      <c r="R189" t="s">
        <v>979</v>
      </c>
      <c r="S189" t="s">
        <v>1121</v>
      </c>
      <c r="T189" t="s">
        <v>895</v>
      </c>
      <c r="U189" t="s">
        <v>896</v>
      </c>
      <c r="V189" t="s">
        <v>10</v>
      </c>
      <c r="W189" s="16">
        <v>20</v>
      </c>
      <c r="X189" s="17" t="s">
        <v>981</v>
      </c>
    </row>
    <row r="190" spans="1:24" ht="18" x14ac:dyDescent="0.2">
      <c r="A190" s="12" t="s">
        <v>521</v>
      </c>
      <c r="B190" s="3">
        <v>71.67</v>
      </c>
      <c r="C190" s="5">
        <v>74.096000000000004</v>
      </c>
      <c r="D190" s="5">
        <f t="shared" si="2"/>
        <v>2.4260000000000019</v>
      </c>
      <c r="F190" t="s">
        <v>91</v>
      </c>
      <c r="I190" s="16">
        <v>19</v>
      </c>
      <c r="J190" s="16">
        <v>15</v>
      </c>
      <c r="K190" s="16">
        <v>15</v>
      </c>
      <c r="L190" s="16">
        <v>62.1</v>
      </c>
      <c r="M190" t="s">
        <v>891</v>
      </c>
      <c r="N190" s="16">
        <v>63</v>
      </c>
      <c r="O190" t="s">
        <v>891</v>
      </c>
      <c r="P190" s="16">
        <v>26.3</v>
      </c>
      <c r="Q190" t="s">
        <v>892</v>
      </c>
      <c r="R190" t="s">
        <v>1122</v>
      </c>
      <c r="S190" t="s">
        <v>1123</v>
      </c>
      <c r="T190" t="s">
        <v>895</v>
      </c>
      <c r="U190" t="s">
        <v>896</v>
      </c>
      <c r="V190" t="s">
        <v>10</v>
      </c>
      <c r="W190" s="16">
        <v>1</v>
      </c>
      <c r="X190" s="17" t="s">
        <v>915</v>
      </c>
    </row>
    <row r="191" spans="1:24" ht="18" x14ac:dyDescent="0.2">
      <c r="A191" s="12" t="s">
        <v>522</v>
      </c>
      <c r="B191" s="3">
        <v>95.71</v>
      </c>
      <c r="C191" s="5">
        <v>99.725999999999999</v>
      </c>
      <c r="D191" s="5">
        <f t="shared" si="2"/>
        <v>4.0160000000000053</v>
      </c>
      <c r="E191" t="s">
        <v>35</v>
      </c>
      <c r="F191" t="s">
        <v>10</v>
      </c>
      <c r="G191" t="s">
        <v>523</v>
      </c>
      <c r="H191" t="s">
        <v>524</v>
      </c>
      <c r="I191" s="16">
        <v>19</v>
      </c>
      <c r="J191" s="16">
        <v>16</v>
      </c>
      <c r="K191" s="16">
        <v>16</v>
      </c>
      <c r="L191" s="16">
        <v>65.7</v>
      </c>
      <c r="M191" t="s">
        <v>891</v>
      </c>
      <c r="N191" s="16">
        <v>66</v>
      </c>
      <c r="O191" t="s">
        <v>891</v>
      </c>
      <c r="P191" s="16">
        <v>25.4</v>
      </c>
      <c r="Q191" t="s">
        <v>892</v>
      </c>
      <c r="R191" t="s">
        <v>898</v>
      </c>
      <c r="S191" t="s">
        <v>1124</v>
      </c>
      <c r="T191" t="s">
        <v>895</v>
      </c>
      <c r="U191" t="s">
        <v>896</v>
      </c>
      <c r="V191" t="s">
        <v>10</v>
      </c>
      <c r="W191" s="16">
        <v>25.401</v>
      </c>
      <c r="X191" s="17" t="s">
        <v>972</v>
      </c>
    </row>
    <row r="192" spans="1:24" ht="18" x14ac:dyDescent="0.2">
      <c r="A192" s="12" t="s">
        <v>525</v>
      </c>
      <c r="B192" s="3">
        <v>16.940000000000001</v>
      </c>
      <c r="C192" s="5">
        <v>19.349</v>
      </c>
      <c r="D192" s="5">
        <f t="shared" si="2"/>
        <v>2.4089999999999989</v>
      </c>
      <c r="E192" t="s">
        <v>25</v>
      </c>
      <c r="F192" t="s">
        <v>10</v>
      </c>
      <c r="G192" t="s">
        <v>526</v>
      </c>
      <c r="H192" t="s">
        <v>527</v>
      </c>
      <c r="I192" s="16">
        <v>16</v>
      </c>
      <c r="J192" s="16">
        <v>16</v>
      </c>
      <c r="K192" s="16">
        <v>12</v>
      </c>
      <c r="L192" s="16">
        <v>29.9</v>
      </c>
      <c r="M192" t="s">
        <v>891</v>
      </c>
      <c r="N192" s="16">
        <v>30</v>
      </c>
      <c r="O192" t="s">
        <v>891</v>
      </c>
      <c r="P192" s="16">
        <v>10.43</v>
      </c>
      <c r="Q192" t="s">
        <v>892</v>
      </c>
      <c r="R192" t="s">
        <v>930</v>
      </c>
      <c r="S192" t="s">
        <v>931</v>
      </c>
      <c r="T192" t="s">
        <v>895</v>
      </c>
      <c r="U192" t="s">
        <v>896</v>
      </c>
      <c r="V192" t="s">
        <v>10</v>
      </c>
      <c r="W192" s="16">
        <v>10.433</v>
      </c>
      <c r="X192" s="17" t="s">
        <v>985</v>
      </c>
    </row>
    <row r="193" spans="1:24" ht="18" x14ac:dyDescent="0.2">
      <c r="A193" s="12" t="s">
        <v>528</v>
      </c>
      <c r="B193" s="3">
        <v>36.44</v>
      </c>
      <c r="C193" s="5">
        <v>110.52800000000001</v>
      </c>
      <c r="D193" s="5">
        <f t="shared" si="2"/>
        <v>74.088000000000008</v>
      </c>
      <c r="E193" t="s">
        <v>309</v>
      </c>
      <c r="F193" t="s">
        <v>10</v>
      </c>
      <c r="G193" t="s">
        <v>529</v>
      </c>
      <c r="H193" t="s">
        <v>530</v>
      </c>
      <c r="I193" s="16">
        <v>28</v>
      </c>
      <c r="J193" s="16">
        <v>20</v>
      </c>
      <c r="K193" s="16">
        <v>19</v>
      </c>
      <c r="L193" s="16">
        <v>95.5</v>
      </c>
      <c r="M193" t="s">
        <v>891</v>
      </c>
      <c r="N193" s="16">
        <v>96</v>
      </c>
      <c r="O193" t="s">
        <v>891</v>
      </c>
      <c r="P193" s="16">
        <v>17.23</v>
      </c>
      <c r="Q193" t="s">
        <v>892</v>
      </c>
      <c r="R193" t="s">
        <v>939</v>
      </c>
      <c r="S193" t="s">
        <v>1125</v>
      </c>
      <c r="T193" t="s">
        <v>895</v>
      </c>
      <c r="U193" t="s">
        <v>896</v>
      </c>
      <c r="V193" t="s">
        <v>10</v>
      </c>
      <c r="W193" s="16">
        <v>0</v>
      </c>
      <c r="X193" s="17" t="s">
        <v>903</v>
      </c>
    </row>
    <row r="194" spans="1:24" ht="18" x14ac:dyDescent="0.2">
      <c r="A194" s="12" t="s">
        <v>531</v>
      </c>
      <c r="B194" s="3">
        <v>26.2</v>
      </c>
      <c r="C194" s="5">
        <v>29.347999999999999</v>
      </c>
      <c r="D194" s="5">
        <f t="shared" ref="D194:D257" si="3">C194-B194</f>
        <v>3.1479999999999997</v>
      </c>
      <c r="E194" t="s">
        <v>25</v>
      </c>
      <c r="F194" t="s">
        <v>10</v>
      </c>
      <c r="G194" t="s">
        <v>532</v>
      </c>
      <c r="H194" t="s">
        <v>533</v>
      </c>
      <c r="I194" s="16">
        <v>15</v>
      </c>
      <c r="J194" s="16">
        <v>14</v>
      </c>
      <c r="K194" s="16">
        <v>11</v>
      </c>
      <c r="L194" s="16">
        <v>28.2</v>
      </c>
      <c r="M194" t="s">
        <v>891</v>
      </c>
      <c r="N194" s="16">
        <v>29</v>
      </c>
      <c r="O194" t="s">
        <v>891</v>
      </c>
      <c r="P194" s="16">
        <v>11.34</v>
      </c>
      <c r="Q194" t="s">
        <v>892</v>
      </c>
      <c r="R194" t="s">
        <v>991</v>
      </c>
      <c r="S194" t="s">
        <v>1126</v>
      </c>
      <c r="T194" t="s">
        <v>895</v>
      </c>
      <c r="U194" t="s">
        <v>896</v>
      </c>
      <c r="V194" t="s">
        <v>10</v>
      </c>
      <c r="W194" s="16">
        <v>11.34</v>
      </c>
      <c r="X194" s="17" t="s">
        <v>909</v>
      </c>
    </row>
    <row r="195" spans="1:24" ht="18" x14ac:dyDescent="0.2">
      <c r="A195" s="12" t="s">
        <v>534</v>
      </c>
      <c r="B195" s="3">
        <v>66.86</v>
      </c>
      <c r="C195" s="5">
        <v>70.597999999999999</v>
      </c>
      <c r="D195" s="5">
        <f t="shared" si="3"/>
        <v>3.7379999999999995</v>
      </c>
      <c r="E195" t="s">
        <v>35</v>
      </c>
      <c r="F195" t="s">
        <v>10</v>
      </c>
      <c r="G195" t="s">
        <v>535</v>
      </c>
      <c r="H195" t="s">
        <v>536</v>
      </c>
      <c r="I195" s="16">
        <v>53</v>
      </c>
      <c r="J195" s="16">
        <v>41</v>
      </c>
      <c r="K195" s="16">
        <v>41</v>
      </c>
      <c r="L195" s="16">
        <v>65.400000000000006</v>
      </c>
      <c r="M195" t="s">
        <v>891</v>
      </c>
      <c r="N195" s="16">
        <v>66</v>
      </c>
      <c r="O195" t="s">
        <v>891</v>
      </c>
      <c r="P195" s="16">
        <v>27.44</v>
      </c>
      <c r="Q195" t="s">
        <v>892</v>
      </c>
      <c r="R195" t="s">
        <v>1029</v>
      </c>
      <c r="S195" t="s">
        <v>1127</v>
      </c>
      <c r="T195" t="s">
        <v>895</v>
      </c>
      <c r="U195" t="s">
        <v>896</v>
      </c>
      <c r="V195" t="s">
        <v>10</v>
      </c>
      <c r="W195" s="16">
        <v>27.442</v>
      </c>
      <c r="X195" s="17" t="s">
        <v>1128</v>
      </c>
    </row>
    <row r="196" spans="1:24" ht="18" x14ac:dyDescent="0.2">
      <c r="A196" s="12" t="s">
        <v>537</v>
      </c>
      <c r="B196" s="3">
        <v>27.46</v>
      </c>
      <c r="C196" s="5">
        <v>44.692999999999998</v>
      </c>
      <c r="D196" s="5">
        <f t="shared" si="3"/>
        <v>17.232999999999997</v>
      </c>
      <c r="E196" t="s">
        <v>25</v>
      </c>
      <c r="F196" t="s">
        <v>10</v>
      </c>
      <c r="G196" t="s">
        <v>538</v>
      </c>
      <c r="H196" t="s">
        <v>539</v>
      </c>
      <c r="I196" s="16"/>
      <c r="J196" s="16"/>
      <c r="K196" s="16"/>
      <c r="L196" s="16"/>
      <c r="N196" s="16"/>
      <c r="P196" s="16"/>
      <c r="V196" t="s">
        <v>91</v>
      </c>
      <c r="W196" s="16">
        <v>1</v>
      </c>
      <c r="X196" s="17" t="s">
        <v>919</v>
      </c>
    </row>
    <row r="197" spans="1:24" ht="18" x14ac:dyDescent="0.2">
      <c r="A197" s="12" t="s">
        <v>540</v>
      </c>
      <c r="B197" s="3">
        <v>21.67</v>
      </c>
      <c r="C197" s="5">
        <v>25.277999999999999</v>
      </c>
      <c r="D197" s="5">
        <f t="shared" si="3"/>
        <v>3.607999999999997</v>
      </c>
      <c r="F197" t="s">
        <v>91</v>
      </c>
      <c r="I197" s="16">
        <v>24</v>
      </c>
      <c r="J197" s="16">
        <v>15</v>
      </c>
      <c r="K197" s="16">
        <v>11</v>
      </c>
      <c r="L197" s="16">
        <v>29.2</v>
      </c>
      <c r="M197" t="s">
        <v>891</v>
      </c>
      <c r="N197" s="16">
        <v>30</v>
      </c>
      <c r="O197" t="s">
        <v>891</v>
      </c>
      <c r="P197" s="16">
        <v>11.34</v>
      </c>
      <c r="Q197" t="s">
        <v>892</v>
      </c>
      <c r="R197" t="s">
        <v>1122</v>
      </c>
      <c r="S197" t="s">
        <v>1129</v>
      </c>
      <c r="T197" t="s">
        <v>895</v>
      </c>
      <c r="U197" t="s">
        <v>896</v>
      </c>
      <c r="V197" t="s">
        <v>10</v>
      </c>
      <c r="W197" s="16">
        <v>11.34</v>
      </c>
      <c r="X197" s="17" t="s">
        <v>909</v>
      </c>
    </row>
    <row r="198" spans="1:24" ht="18" x14ac:dyDescent="0.2">
      <c r="A198" s="12" t="s">
        <v>541</v>
      </c>
      <c r="B198" s="3">
        <v>21.67</v>
      </c>
      <c r="C198" s="5">
        <v>24.353999999999999</v>
      </c>
      <c r="D198" s="5">
        <f t="shared" si="3"/>
        <v>2.6839999999999975</v>
      </c>
      <c r="E198" t="s">
        <v>25</v>
      </c>
      <c r="F198" t="s">
        <v>10</v>
      </c>
      <c r="G198" t="s">
        <v>542</v>
      </c>
      <c r="H198" t="s">
        <v>543</v>
      </c>
      <c r="I198" s="16">
        <v>16</v>
      </c>
      <c r="J198" s="16">
        <v>16</v>
      </c>
      <c r="K198" s="16">
        <v>12</v>
      </c>
      <c r="L198" s="16">
        <v>28.3</v>
      </c>
      <c r="M198" t="s">
        <v>891</v>
      </c>
      <c r="N198" s="16">
        <v>29</v>
      </c>
      <c r="O198" t="s">
        <v>891</v>
      </c>
      <c r="P198" s="16">
        <v>11.34</v>
      </c>
      <c r="Q198" t="s">
        <v>892</v>
      </c>
      <c r="R198" t="s">
        <v>951</v>
      </c>
      <c r="S198" t="s">
        <v>1130</v>
      </c>
      <c r="T198" t="s">
        <v>895</v>
      </c>
      <c r="U198" t="s">
        <v>896</v>
      </c>
      <c r="V198" t="s">
        <v>10</v>
      </c>
      <c r="W198" s="16">
        <v>0</v>
      </c>
      <c r="X198" s="17" t="s">
        <v>1131</v>
      </c>
    </row>
    <row r="199" spans="1:24" ht="18" x14ac:dyDescent="0.2">
      <c r="A199" s="12" t="s">
        <v>544</v>
      </c>
      <c r="B199" s="3">
        <v>26.2</v>
      </c>
      <c r="C199" s="5">
        <v>29.073</v>
      </c>
      <c r="D199" s="5">
        <f t="shared" si="3"/>
        <v>2.8730000000000011</v>
      </c>
      <c r="E199" t="s">
        <v>25</v>
      </c>
      <c r="F199" t="s">
        <v>10</v>
      </c>
      <c r="G199" t="s">
        <v>545</v>
      </c>
      <c r="H199" t="s">
        <v>546</v>
      </c>
      <c r="I199" s="16">
        <v>15</v>
      </c>
      <c r="J199" s="16">
        <v>15</v>
      </c>
      <c r="K199" s="16">
        <v>11</v>
      </c>
      <c r="L199" s="16">
        <v>27.9</v>
      </c>
      <c r="M199" t="s">
        <v>891</v>
      </c>
      <c r="N199" s="16">
        <v>28</v>
      </c>
      <c r="O199" t="s">
        <v>891</v>
      </c>
      <c r="P199" s="16">
        <v>11.34</v>
      </c>
      <c r="Q199" t="s">
        <v>892</v>
      </c>
      <c r="R199" t="s">
        <v>898</v>
      </c>
      <c r="S199" t="s">
        <v>1132</v>
      </c>
      <c r="T199" t="s">
        <v>895</v>
      </c>
      <c r="U199" t="s">
        <v>896</v>
      </c>
      <c r="V199" t="s">
        <v>10</v>
      </c>
      <c r="W199" s="16">
        <v>11.34</v>
      </c>
      <c r="X199" s="17" t="s">
        <v>909</v>
      </c>
    </row>
    <row r="200" spans="1:24" ht="18" x14ac:dyDescent="0.2">
      <c r="A200" s="12" t="s">
        <v>547</v>
      </c>
      <c r="B200" s="3">
        <v>95.73</v>
      </c>
      <c r="C200" s="5">
        <v>99.528000000000006</v>
      </c>
      <c r="D200" s="5">
        <f t="shared" si="3"/>
        <v>3.7980000000000018</v>
      </c>
      <c r="E200" t="s">
        <v>35</v>
      </c>
      <c r="F200" t="s">
        <v>10</v>
      </c>
      <c r="G200" t="s">
        <v>548</v>
      </c>
      <c r="H200" t="s">
        <v>549</v>
      </c>
      <c r="I200" s="16">
        <v>20</v>
      </c>
      <c r="J200" s="16">
        <v>16</v>
      </c>
      <c r="K200" s="16">
        <v>16</v>
      </c>
      <c r="L200" s="16">
        <v>65.7</v>
      </c>
      <c r="M200" t="s">
        <v>891</v>
      </c>
      <c r="N200" s="16">
        <v>66</v>
      </c>
      <c r="O200" t="s">
        <v>891</v>
      </c>
      <c r="P200" s="16">
        <v>26.3</v>
      </c>
      <c r="Q200" t="s">
        <v>892</v>
      </c>
      <c r="R200" t="s">
        <v>904</v>
      </c>
      <c r="S200" t="s">
        <v>1133</v>
      </c>
      <c r="T200" t="s">
        <v>895</v>
      </c>
      <c r="U200" t="s">
        <v>896</v>
      </c>
      <c r="V200" t="s">
        <v>10</v>
      </c>
      <c r="W200" s="16">
        <v>1</v>
      </c>
      <c r="X200" s="17" t="s">
        <v>915</v>
      </c>
    </row>
    <row r="201" spans="1:24" ht="18" x14ac:dyDescent="0.2">
      <c r="A201" s="12" t="s">
        <v>550</v>
      </c>
      <c r="B201" s="3">
        <v>29.87</v>
      </c>
      <c r="C201" s="5">
        <v>38.148000000000003</v>
      </c>
      <c r="D201" s="5">
        <f t="shared" si="3"/>
        <v>8.2780000000000022</v>
      </c>
      <c r="E201" t="s">
        <v>25</v>
      </c>
      <c r="F201" t="s">
        <v>10</v>
      </c>
      <c r="G201" t="s">
        <v>551</v>
      </c>
      <c r="H201" t="s">
        <v>552</v>
      </c>
      <c r="I201" s="16">
        <v>16</v>
      </c>
      <c r="J201" s="16">
        <v>16</v>
      </c>
      <c r="K201" s="16">
        <v>12</v>
      </c>
      <c r="L201" s="16">
        <v>29.8</v>
      </c>
      <c r="M201" t="s">
        <v>891</v>
      </c>
      <c r="N201" s="16">
        <v>30</v>
      </c>
      <c r="O201" t="s">
        <v>891</v>
      </c>
      <c r="P201" s="16">
        <v>10.43</v>
      </c>
      <c r="Q201" t="s">
        <v>892</v>
      </c>
      <c r="R201" t="s">
        <v>898</v>
      </c>
      <c r="S201" t="s">
        <v>1073</v>
      </c>
      <c r="T201" t="s">
        <v>895</v>
      </c>
      <c r="U201" t="s">
        <v>896</v>
      </c>
      <c r="V201" t="s">
        <v>10</v>
      </c>
      <c r="W201" s="16">
        <v>10.433</v>
      </c>
      <c r="X201" s="17" t="s">
        <v>985</v>
      </c>
    </row>
    <row r="202" spans="1:24" ht="18" x14ac:dyDescent="0.2">
      <c r="A202" s="12" t="s">
        <v>553</v>
      </c>
      <c r="B202" s="3">
        <v>20.2</v>
      </c>
      <c r="C202" s="5">
        <v>22.33</v>
      </c>
      <c r="D202" s="5">
        <f t="shared" si="3"/>
        <v>2.129999999999999</v>
      </c>
      <c r="E202" t="s">
        <v>25</v>
      </c>
      <c r="F202" t="s">
        <v>10</v>
      </c>
      <c r="G202" t="s">
        <v>554</v>
      </c>
      <c r="H202" t="s">
        <v>555</v>
      </c>
      <c r="I202" s="16">
        <v>15</v>
      </c>
      <c r="J202" s="16">
        <v>14</v>
      </c>
      <c r="K202" s="16">
        <v>12</v>
      </c>
      <c r="L202" s="16">
        <v>28.2</v>
      </c>
      <c r="M202" t="s">
        <v>891</v>
      </c>
      <c r="N202" s="16">
        <v>29</v>
      </c>
      <c r="O202" t="s">
        <v>891</v>
      </c>
      <c r="P202" s="16">
        <v>11.34</v>
      </c>
      <c r="Q202" t="s">
        <v>892</v>
      </c>
      <c r="R202" t="s">
        <v>930</v>
      </c>
      <c r="S202" t="s">
        <v>1134</v>
      </c>
      <c r="T202" t="s">
        <v>895</v>
      </c>
      <c r="U202" t="s">
        <v>896</v>
      </c>
      <c r="V202" t="s">
        <v>10</v>
      </c>
      <c r="W202" s="16">
        <v>11.34</v>
      </c>
      <c r="X202" s="17" t="s">
        <v>909</v>
      </c>
    </row>
    <row r="203" spans="1:24" ht="18" x14ac:dyDescent="0.2">
      <c r="A203" s="12" t="s">
        <v>556</v>
      </c>
      <c r="B203" s="3">
        <v>97.2</v>
      </c>
      <c r="C203" s="5">
        <v>99.528000000000006</v>
      </c>
      <c r="D203" s="5">
        <f t="shared" si="3"/>
        <v>2.328000000000003</v>
      </c>
      <c r="E203" t="s">
        <v>35</v>
      </c>
      <c r="F203" t="s">
        <v>10</v>
      </c>
      <c r="G203" t="s">
        <v>557</v>
      </c>
      <c r="H203" t="s">
        <v>558</v>
      </c>
      <c r="I203" s="16">
        <v>20</v>
      </c>
      <c r="J203" s="16">
        <v>16</v>
      </c>
      <c r="K203" s="16">
        <v>16</v>
      </c>
      <c r="L203" s="16">
        <v>65.400000000000006</v>
      </c>
      <c r="M203" t="s">
        <v>891</v>
      </c>
      <c r="N203" s="16">
        <v>66</v>
      </c>
      <c r="O203" t="s">
        <v>891</v>
      </c>
      <c r="P203" s="16">
        <v>27</v>
      </c>
      <c r="Q203" t="s">
        <v>892</v>
      </c>
      <c r="R203" t="s">
        <v>898</v>
      </c>
      <c r="S203" t="s">
        <v>914</v>
      </c>
      <c r="T203" t="s">
        <v>895</v>
      </c>
      <c r="U203" t="s">
        <v>896</v>
      </c>
      <c r="V203" t="s">
        <v>10</v>
      </c>
      <c r="W203" s="16">
        <v>1</v>
      </c>
      <c r="X203" s="17" t="s">
        <v>915</v>
      </c>
    </row>
    <row r="204" spans="1:24" ht="18" x14ac:dyDescent="0.2">
      <c r="A204" s="12" t="s">
        <v>559</v>
      </c>
      <c r="B204" s="3">
        <v>27.26</v>
      </c>
      <c r="C204" s="5">
        <v>30.283000000000001</v>
      </c>
      <c r="D204" s="5">
        <f t="shared" si="3"/>
        <v>3.0229999999999997</v>
      </c>
      <c r="E204" t="s">
        <v>25</v>
      </c>
      <c r="F204" t="s">
        <v>10</v>
      </c>
      <c r="G204" t="s">
        <v>560</v>
      </c>
      <c r="H204" t="s">
        <v>561</v>
      </c>
      <c r="I204" s="16">
        <v>15</v>
      </c>
      <c r="J204" s="16">
        <v>15</v>
      </c>
      <c r="K204" s="16">
        <v>11</v>
      </c>
      <c r="L204" s="16">
        <v>29.6</v>
      </c>
      <c r="M204" t="s">
        <v>891</v>
      </c>
      <c r="N204" s="16">
        <v>30</v>
      </c>
      <c r="O204" t="s">
        <v>891</v>
      </c>
      <c r="P204" s="16">
        <v>11.5</v>
      </c>
      <c r="Q204" t="s">
        <v>892</v>
      </c>
      <c r="R204" t="s">
        <v>939</v>
      </c>
      <c r="S204" t="s">
        <v>1135</v>
      </c>
      <c r="T204" t="s">
        <v>895</v>
      </c>
      <c r="U204" t="s">
        <v>896</v>
      </c>
      <c r="V204" t="s">
        <v>10</v>
      </c>
      <c r="W204" s="16">
        <v>1</v>
      </c>
      <c r="X204" s="17" t="s">
        <v>1091</v>
      </c>
    </row>
    <row r="205" spans="1:24" ht="18" x14ac:dyDescent="0.2">
      <c r="A205" s="12" t="s">
        <v>562</v>
      </c>
      <c r="B205" s="3">
        <v>25.89</v>
      </c>
      <c r="C205" s="5">
        <v>28.754000000000001</v>
      </c>
      <c r="D205" s="5">
        <f t="shared" si="3"/>
        <v>2.8640000000000008</v>
      </c>
      <c r="E205" t="s">
        <v>21</v>
      </c>
      <c r="F205" t="s">
        <v>10</v>
      </c>
      <c r="G205" t="s">
        <v>563</v>
      </c>
      <c r="H205" t="s">
        <v>564</v>
      </c>
      <c r="I205" s="16">
        <v>19</v>
      </c>
      <c r="J205" s="16">
        <v>17</v>
      </c>
      <c r="K205" s="16">
        <v>13</v>
      </c>
      <c r="L205" s="16">
        <v>41.5</v>
      </c>
      <c r="M205" t="s">
        <v>891</v>
      </c>
      <c r="N205" s="16">
        <v>42</v>
      </c>
      <c r="O205" t="s">
        <v>891</v>
      </c>
      <c r="P205" s="16">
        <v>16.78</v>
      </c>
      <c r="Q205" t="s">
        <v>892</v>
      </c>
      <c r="R205" t="s">
        <v>1037</v>
      </c>
      <c r="S205" t="s">
        <v>1136</v>
      </c>
      <c r="T205" t="s">
        <v>895</v>
      </c>
      <c r="U205" t="s">
        <v>896</v>
      </c>
      <c r="V205" t="s">
        <v>10</v>
      </c>
      <c r="W205" s="16">
        <v>0</v>
      </c>
      <c r="X205" s="17" t="s">
        <v>1041</v>
      </c>
    </row>
    <row r="206" spans="1:24" ht="18" x14ac:dyDescent="0.2">
      <c r="A206" s="12" t="s">
        <v>565</v>
      </c>
      <c r="B206" s="3">
        <v>21.67</v>
      </c>
      <c r="C206" s="5">
        <v>25.277999999999999</v>
      </c>
      <c r="D206" s="5">
        <f t="shared" si="3"/>
        <v>3.607999999999997</v>
      </c>
      <c r="E206" t="s">
        <v>25</v>
      </c>
      <c r="F206" t="s">
        <v>10</v>
      </c>
      <c r="G206" t="s">
        <v>566</v>
      </c>
      <c r="H206" t="s">
        <v>567</v>
      </c>
      <c r="I206" s="16">
        <v>16</v>
      </c>
      <c r="J206" s="16">
        <v>16</v>
      </c>
      <c r="K206" s="16">
        <v>12</v>
      </c>
      <c r="L206" s="16">
        <v>29.1</v>
      </c>
      <c r="M206" t="s">
        <v>891</v>
      </c>
      <c r="N206" s="16">
        <v>30</v>
      </c>
      <c r="O206" t="s">
        <v>891</v>
      </c>
      <c r="P206" s="16">
        <v>11.34</v>
      </c>
      <c r="Q206" t="s">
        <v>892</v>
      </c>
      <c r="R206" t="s">
        <v>976</v>
      </c>
      <c r="S206" t="s">
        <v>1137</v>
      </c>
      <c r="T206" t="s">
        <v>895</v>
      </c>
      <c r="U206" t="s">
        <v>896</v>
      </c>
      <c r="V206" t="s">
        <v>10</v>
      </c>
      <c r="W206" s="16">
        <v>11.34</v>
      </c>
      <c r="X206" s="17" t="s">
        <v>909</v>
      </c>
    </row>
    <row r="207" spans="1:24" ht="18" x14ac:dyDescent="0.2">
      <c r="A207" s="12" t="s">
        <v>568</v>
      </c>
      <c r="B207" s="3">
        <v>71.62</v>
      </c>
      <c r="C207" s="5">
        <v>79.233000000000004</v>
      </c>
      <c r="D207" s="5">
        <f t="shared" si="3"/>
        <v>7.6129999999999995</v>
      </c>
      <c r="E207" t="s">
        <v>180</v>
      </c>
      <c r="F207" t="s">
        <v>10</v>
      </c>
      <c r="G207" t="s">
        <v>569</v>
      </c>
      <c r="H207" t="s">
        <v>570</v>
      </c>
      <c r="I207" s="16">
        <v>23</v>
      </c>
      <c r="J207" s="16">
        <v>23</v>
      </c>
      <c r="K207" s="16">
        <v>17</v>
      </c>
      <c r="L207" s="16">
        <v>70.3</v>
      </c>
      <c r="M207" t="s">
        <v>891</v>
      </c>
      <c r="N207" s="16">
        <v>71</v>
      </c>
      <c r="O207" t="s">
        <v>891</v>
      </c>
      <c r="P207" s="16">
        <v>24.49</v>
      </c>
      <c r="Q207" t="s">
        <v>892</v>
      </c>
      <c r="R207" t="s">
        <v>917</v>
      </c>
      <c r="S207" t="s">
        <v>1138</v>
      </c>
      <c r="T207" t="s">
        <v>895</v>
      </c>
      <c r="U207" t="s">
        <v>896</v>
      </c>
      <c r="V207" t="s">
        <v>10</v>
      </c>
      <c r="W207" s="16">
        <v>24.494</v>
      </c>
      <c r="X207" s="17" t="s">
        <v>1139</v>
      </c>
    </row>
    <row r="208" spans="1:24" ht="18" x14ac:dyDescent="0.2">
      <c r="A208" s="12" t="s">
        <v>571</v>
      </c>
      <c r="B208" s="3">
        <v>20.7</v>
      </c>
      <c r="C208" s="5">
        <v>25.234000000000002</v>
      </c>
      <c r="D208" s="5">
        <f t="shared" si="3"/>
        <v>4.5340000000000025</v>
      </c>
      <c r="E208" t="s">
        <v>572</v>
      </c>
      <c r="F208" t="s">
        <v>10</v>
      </c>
      <c r="G208" t="s">
        <v>573</v>
      </c>
      <c r="H208" t="s">
        <v>574</v>
      </c>
      <c r="I208" s="16">
        <v>16</v>
      </c>
      <c r="J208" s="16">
        <v>16</v>
      </c>
      <c r="K208" s="16">
        <v>12</v>
      </c>
      <c r="L208" s="16">
        <v>29.7</v>
      </c>
      <c r="M208" t="s">
        <v>891</v>
      </c>
      <c r="N208" s="16">
        <v>30</v>
      </c>
      <c r="O208" t="s">
        <v>891</v>
      </c>
      <c r="P208" s="16">
        <v>10.43</v>
      </c>
      <c r="Q208" t="s">
        <v>892</v>
      </c>
      <c r="R208" t="s">
        <v>923</v>
      </c>
      <c r="S208" t="s">
        <v>1140</v>
      </c>
      <c r="T208" t="s">
        <v>895</v>
      </c>
      <c r="U208" t="s">
        <v>896</v>
      </c>
      <c r="V208" t="s">
        <v>10</v>
      </c>
      <c r="W208" s="16">
        <v>10.433</v>
      </c>
      <c r="X208" s="17" t="s">
        <v>985</v>
      </c>
    </row>
    <row r="209" spans="1:24" ht="18" x14ac:dyDescent="0.2">
      <c r="A209" s="12" t="s">
        <v>575</v>
      </c>
      <c r="B209" s="3">
        <v>20.7</v>
      </c>
      <c r="C209" s="5">
        <v>22.858000000000001</v>
      </c>
      <c r="D209" s="5">
        <f t="shared" si="3"/>
        <v>2.1580000000000013</v>
      </c>
      <c r="E209" t="s">
        <v>25</v>
      </c>
      <c r="F209" t="s">
        <v>10</v>
      </c>
      <c r="G209" t="s">
        <v>576</v>
      </c>
      <c r="H209" t="s">
        <v>577</v>
      </c>
      <c r="I209" s="16">
        <v>16</v>
      </c>
      <c r="J209" s="16">
        <v>16</v>
      </c>
      <c r="K209" s="16">
        <v>12</v>
      </c>
      <c r="L209" s="16">
        <v>29.8</v>
      </c>
      <c r="M209" t="s">
        <v>891</v>
      </c>
      <c r="N209" s="16">
        <v>30</v>
      </c>
      <c r="O209" t="s">
        <v>891</v>
      </c>
      <c r="P209" s="16">
        <v>10.43</v>
      </c>
      <c r="Q209" t="s">
        <v>892</v>
      </c>
      <c r="R209" t="s">
        <v>979</v>
      </c>
      <c r="S209" t="s">
        <v>1141</v>
      </c>
      <c r="T209" t="s">
        <v>895</v>
      </c>
      <c r="U209" t="s">
        <v>896</v>
      </c>
      <c r="V209" t="s">
        <v>10</v>
      </c>
      <c r="W209" s="16">
        <v>10.433</v>
      </c>
      <c r="X209" s="17" t="s">
        <v>985</v>
      </c>
    </row>
    <row r="210" spans="1:24" ht="18" x14ac:dyDescent="0.2">
      <c r="A210" s="12" t="s">
        <v>578</v>
      </c>
      <c r="B210" s="3">
        <v>33.39</v>
      </c>
      <c r="C210" s="5">
        <v>38.819000000000003</v>
      </c>
      <c r="D210" s="5">
        <f t="shared" si="3"/>
        <v>5.429000000000002</v>
      </c>
      <c r="E210" t="s">
        <v>25</v>
      </c>
      <c r="F210" t="s">
        <v>10</v>
      </c>
      <c r="G210" t="s">
        <v>579</v>
      </c>
      <c r="H210" t="s">
        <v>580</v>
      </c>
      <c r="I210" s="16">
        <v>16</v>
      </c>
      <c r="J210" s="16">
        <v>16</v>
      </c>
      <c r="K210" s="16">
        <v>12</v>
      </c>
      <c r="L210" s="16">
        <v>30.1</v>
      </c>
      <c r="M210" t="s">
        <v>891</v>
      </c>
      <c r="N210" s="16">
        <v>31</v>
      </c>
      <c r="O210" t="s">
        <v>891</v>
      </c>
      <c r="P210" s="16">
        <v>11.79</v>
      </c>
      <c r="Q210" t="s">
        <v>892</v>
      </c>
      <c r="R210" t="s">
        <v>898</v>
      </c>
      <c r="S210" t="s">
        <v>1034</v>
      </c>
      <c r="T210" t="s">
        <v>895</v>
      </c>
      <c r="U210" t="s">
        <v>896</v>
      </c>
      <c r="V210" t="s">
        <v>10</v>
      </c>
      <c r="W210" s="16">
        <v>0</v>
      </c>
      <c r="X210" s="17" t="s">
        <v>1109</v>
      </c>
    </row>
    <row r="211" spans="1:24" ht="18" x14ac:dyDescent="0.2">
      <c r="A211" s="12" t="s">
        <v>581</v>
      </c>
      <c r="B211" s="3">
        <v>56.27</v>
      </c>
      <c r="C211" s="5">
        <v>61.6</v>
      </c>
      <c r="D211" s="5">
        <f t="shared" si="3"/>
        <v>5.3299999999999983</v>
      </c>
      <c r="E211" t="s">
        <v>147</v>
      </c>
      <c r="F211" t="s">
        <v>10</v>
      </c>
      <c r="G211" t="s">
        <v>582</v>
      </c>
      <c r="H211" t="s">
        <v>583</v>
      </c>
      <c r="I211" s="16">
        <v>27</v>
      </c>
      <c r="J211" s="16">
        <v>21</v>
      </c>
      <c r="K211" s="16">
        <v>21</v>
      </c>
      <c r="L211" s="16">
        <v>53.9</v>
      </c>
      <c r="M211" t="s">
        <v>891</v>
      </c>
      <c r="N211" s="16">
        <v>72</v>
      </c>
      <c r="O211" t="s">
        <v>891</v>
      </c>
      <c r="P211" s="16">
        <v>25</v>
      </c>
      <c r="Q211" t="s">
        <v>892</v>
      </c>
      <c r="R211" t="s">
        <v>893</v>
      </c>
      <c r="S211" t="s">
        <v>1142</v>
      </c>
      <c r="T211" t="s">
        <v>895</v>
      </c>
      <c r="U211" t="s">
        <v>896</v>
      </c>
      <c r="V211" t="s">
        <v>10</v>
      </c>
      <c r="W211" s="16">
        <v>25</v>
      </c>
      <c r="X211" s="17" t="s">
        <v>1143</v>
      </c>
    </row>
    <row r="212" spans="1:24" ht="18" x14ac:dyDescent="0.2">
      <c r="A212" s="12" t="s">
        <v>584</v>
      </c>
      <c r="B212" s="3">
        <v>20.7</v>
      </c>
      <c r="C212" s="5">
        <v>23.023</v>
      </c>
      <c r="D212" s="5">
        <f t="shared" si="3"/>
        <v>2.3230000000000004</v>
      </c>
      <c r="E212" t="s">
        <v>25</v>
      </c>
      <c r="F212" t="s">
        <v>10</v>
      </c>
      <c r="G212" t="s">
        <v>585</v>
      </c>
      <c r="H212" t="s">
        <v>586</v>
      </c>
      <c r="I212" s="16">
        <v>19</v>
      </c>
      <c r="J212" s="16">
        <v>13</v>
      </c>
      <c r="K212" s="16">
        <v>13</v>
      </c>
      <c r="L212" s="16">
        <v>26.6</v>
      </c>
      <c r="M212" t="s">
        <v>891</v>
      </c>
      <c r="N212" s="16">
        <v>27</v>
      </c>
      <c r="O212" t="s">
        <v>891</v>
      </c>
      <c r="P212" s="16">
        <v>10.43</v>
      </c>
      <c r="Q212" t="s">
        <v>892</v>
      </c>
      <c r="R212" t="s">
        <v>923</v>
      </c>
      <c r="S212" t="s">
        <v>1144</v>
      </c>
      <c r="T212" t="s">
        <v>895</v>
      </c>
      <c r="U212" t="s">
        <v>896</v>
      </c>
      <c r="V212" t="s">
        <v>10</v>
      </c>
      <c r="W212" s="16">
        <v>10.433</v>
      </c>
      <c r="X212" s="17" t="s">
        <v>985</v>
      </c>
    </row>
    <row r="213" spans="1:24" ht="18" x14ac:dyDescent="0.2">
      <c r="A213" s="12" t="s">
        <v>587</v>
      </c>
      <c r="B213" s="3">
        <v>110.61</v>
      </c>
      <c r="C213" s="5">
        <v>126.91800000000001</v>
      </c>
      <c r="D213" s="5">
        <f t="shared" si="3"/>
        <v>16.308000000000007</v>
      </c>
      <c r="E213" t="s">
        <v>87</v>
      </c>
      <c r="F213" t="s">
        <v>10</v>
      </c>
      <c r="G213" t="s">
        <v>588</v>
      </c>
      <c r="H213" t="s">
        <v>589</v>
      </c>
      <c r="I213" s="16">
        <v>27</v>
      </c>
      <c r="J213" s="16">
        <v>22</v>
      </c>
      <c r="K213" s="16">
        <v>16</v>
      </c>
      <c r="L213" s="16">
        <v>99.8</v>
      </c>
      <c r="M213" t="s">
        <v>891</v>
      </c>
      <c r="N213" s="16">
        <v>100</v>
      </c>
      <c r="O213" t="s">
        <v>891</v>
      </c>
      <c r="P213" s="16">
        <v>36.28</v>
      </c>
      <c r="Q213" t="s">
        <v>892</v>
      </c>
      <c r="R213" t="s">
        <v>898</v>
      </c>
      <c r="S213" t="s">
        <v>1145</v>
      </c>
      <c r="T213" t="s">
        <v>895</v>
      </c>
      <c r="U213" t="s">
        <v>896</v>
      </c>
      <c r="V213" t="s">
        <v>10</v>
      </c>
      <c r="W213" s="16">
        <v>25.401</v>
      </c>
      <c r="X213" s="17" t="s">
        <v>1146</v>
      </c>
    </row>
    <row r="214" spans="1:24" ht="18" x14ac:dyDescent="0.2">
      <c r="A214" s="12" t="s">
        <v>590</v>
      </c>
      <c r="B214" s="3">
        <v>28.91</v>
      </c>
      <c r="C214" s="5">
        <v>32.350999999999999</v>
      </c>
      <c r="D214" s="5">
        <f t="shared" si="3"/>
        <v>3.4409999999999989</v>
      </c>
      <c r="E214" t="s">
        <v>21</v>
      </c>
      <c r="F214" t="s">
        <v>10</v>
      </c>
      <c r="G214" t="s">
        <v>591</v>
      </c>
      <c r="H214" t="s">
        <v>592</v>
      </c>
      <c r="I214" s="16">
        <v>19</v>
      </c>
      <c r="J214" s="16">
        <v>17</v>
      </c>
      <c r="K214" s="16">
        <v>12</v>
      </c>
      <c r="L214" s="16">
        <v>40.299999999999997</v>
      </c>
      <c r="M214" t="s">
        <v>891</v>
      </c>
      <c r="N214" s="16">
        <v>41</v>
      </c>
      <c r="O214" t="s">
        <v>891</v>
      </c>
      <c r="P214" s="16">
        <v>16</v>
      </c>
      <c r="Q214" t="s">
        <v>892</v>
      </c>
      <c r="R214" t="s">
        <v>951</v>
      </c>
      <c r="S214" t="s">
        <v>1147</v>
      </c>
      <c r="T214" t="s">
        <v>895</v>
      </c>
      <c r="U214" t="s">
        <v>896</v>
      </c>
      <c r="V214" t="s">
        <v>10</v>
      </c>
      <c r="W214" s="16">
        <v>1</v>
      </c>
      <c r="X214" s="17" t="s">
        <v>966</v>
      </c>
    </row>
    <row r="215" spans="1:24" ht="18" x14ac:dyDescent="0.2">
      <c r="A215" s="12" t="s">
        <v>593</v>
      </c>
      <c r="B215" s="3">
        <v>62.65</v>
      </c>
      <c r="C215" s="5">
        <v>68.915000000000006</v>
      </c>
      <c r="D215" s="5">
        <f t="shared" si="3"/>
        <v>6.2650000000000077</v>
      </c>
      <c r="E215" t="s">
        <v>21</v>
      </c>
      <c r="F215" t="s">
        <v>10</v>
      </c>
      <c r="G215" t="s">
        <v>594</v>
      </c>
      <c r="H215" t="s">
        <v>595</v>
      </c>
      <c r="I215" s="16"/>
      <c r="J215" s="16"/>
      <c r="K215" s="16"/>
      <c r="L215" s="16"/>
      <c r="N215" s="16"/>
      <c r="P215" s="16"/>
      <c r="V215" t="s">
        <v>91</v>
      </c>
      <c r="W215" s="16">
        <v>17.236999999999998</v>
      </c>
      <c r="X215" s="17" t="s">
        <v>906</v>
      </c>
    </row>
    <row r="216" spans="1:24" ht="18" x14ac:dyDescent="0.2">
      <c r="A216" s="12" t="s">
        <v>596</v>
      </c>
      <c r="B216" s="3">
        <v>34.54</v>
      </c>
      <c r="C216" s="5">
        <v>71.995000000000005</v>
      </c>
      <c r="D216" s="5">
        <f t="shared" si="3"/>
        <v>37.455000000000005</v>
      </c>
      <c r="E216" t="s">
        <v>417</v>
      </c>
      <c r="F216" t="s">
        <v>10</v>
      </c>
      <c r="G216" t="s">
        <v>597</v>
      </c>
      <c r="H216" t="s">
        <v>598</v>
      </c>
      <c r="I216" s="16"/>
      <c r="J216" s="16"/>
      <c r="K216" s="16"/>
      <c r="L216" s="16"/>
      <c r="N216" s="16"/>
      <c r="P216" s="16"/>
      <c r="V216" t="s">
        <v>91</v>
      </c>
      <c r="W216" s="16">
        <v>20</v>
      </c>
      <c r="X216" s="17" t="s">
        <v>981</v>
      </c>
    </row>
    <row r="217" spans="1:24" ht="18" x14ac:dyDescent="0.2">
      <c r="A217" s="12" t="s">
        <v>599</v>
      </c>
      <c r="B217" s="3">
        <v>16.940000000000001</v>
      </c>
      <c r="C217" s="5">
        <v>19.349</v>
      </c>
      <c r="D217" s="5">
        <f t="shared" si="3"/>
        <v>2.4089999999999989</v>
      </c>
      <c r="E217" t="s">
        <v>25</v>
      </c>
      <c r="F217" t="s">
        <v>10</v>
      </c>
      <c r="G217" t="s">
        <v>600</v>
      </c>
      <c r="H217" t="s">
        <v>601</v>
      </c>
      <c r="I217" s="16">
        <v>16</v>
      </c>
      <c r="J217" s="16">
        <v>16</v>
      </c>
      <c r="K217" s="16">
        <v>12</v>
      </c>
      <c r="L217" s="16">
        <v>29.6</v>
      </c>
      <c r="M217" t="s">
        <v>891</v>
      </c>
      <c r="N217" s="16">
        <v>30</v>
      </c>
      <c r="O217" t="s">
        <v>891</v>
      </c>
      <c r="P217" s="16">
        <v>10.43</v>
      </c>
      <c r="Q217" t="s">
        <v>892</v>
      </c>
      <c r="R217" t="s">
        <v>979</v>
      </c>
      <c r="S217" t="s">
        <v>1148</v>
      </c>
      <c r="T217" t="s">
        <v>895</v>
      </c>
      <c r="U217" t="s">
        <v>896</v>
      </c>
      <c r="V217" t="s">
        <v>10</v>
      </c>
      <c r="W217" s="16">
        <v>10.433</v>
      </c>
      <c r="X217" s="17" t="s">
        <v>985</v>
      </c>
    </row>
    <row r="218" spans="1:24" ht="18" x14ac:dyDescent="0.2">
      <c r="A218" s="12" t="s">
        <v>602</v>
      </c>
      <c r="B218" s="3">
        <v>27.46</v>
      </c>
      <c r="C218" s="5">
        <v>30.228000000000002</v>
      </c>
      <c r="D218" s="5">
        <f t="shared" si="3"/>
        <v>2.7680000000000007</v>
      </c>
      <c r="E218" t="s">
        <v>25</v>
      </c>
      <c r="F218" t="s">
        <v>10</v>
      </c>
      <c r="G218" t="s">
        <v>603</v>
      </c>
      <c r="H218" t="s">
        <v>604</v>
      </c>
      <c r="I218" s="16">
        <v>16</v>
      </c>
      <c r="J218" s="16">
        <v>16</v>
      </c>
      <c r="K218" s="16">
        <v>12</v>
      </c>
      <c r="L218" s="16">
        <v>29.5</v>
      </c>
      <c r="M218" t="s">
        <v>891</v>
      </c>
      <c r="N218" s="16">
        <v>30</v>
      </c>
      <c r="O218" t="s">
        <v>891</v>
      </c>
      <c r="P218" s="16">
        <v>12</v>
      </c>
      <c r="Q218" t="s">
        <v>892</v>
      </c>
      <c r="R218" t="s">
        <v>1149</v>
      </c>
      <c r="S218" t="s">
        <v>1150</v>
      </c>
      <c r="T218" t="s">
        <v>895</v>
      </c>
      <c r="U218" t="s">
        <v>896</v>
      </c>
      <c r="V218" t="s">
        <v>10</v>
      </c>
      <c r="W218" s="16">
        <v>1</v>
      </c>
      <c r="X218" s="17" t="s">
        <v>919</v>
      </c>
    </row>
    <row r="219" spans="1:24" ht="18" x14ac:dyDescent="0.2">
      <c r="A219" s="12" t="s">
        <v>605</v>
      </c>
      <c r="B219" s="3">
        <v>22.58</v>
      </c>
      <c r="C219" s="5">
        <v>55.363</v>
      </c>
      <c r="D219" s="5">
        <f t="shared" si="3"/>
        <v>32.783000000000001</v>
      </c>
      <c r="E219" t="s">
        <v>25</v>
      </c>
      <c r="F219" t="s">
        <v>10</v>
      </c>
      <c r="G219" t="s">
        <v>606</v>
      </c>
      <c r="H219" t="s">
        <v>607</v>
      </c>
      <c r="I219" s="16">
        <v>16</v>
      </c>
      <c r="J219" s="16">
        <v>16</v>
      </c>
      <c r="K219" s="16">
        <v>12</v>
      </c>
      <c r="L219" s="16">
        <v>29.7</v>
      </c>
      <c r="M219" t="s">
        <v>891</v>
      </c>
      <c r="N219" s="16">
        <v>30</v>
      </c>
      <c r="O219" t="s">
        <v>891</v>
      </c>
      <c r="P219" s="16">
        <v>11.5</v>
      </c>
      <c r="Q219" t="s">
        <v>892</v>
      </c>
      <c r="R219" t="s">
        <v>923</v>
      </c>
      <c r="S219" t="s">
        <v>1036</v>
      </c>
      <c r="T219" t="s">
        <v>895</v>
      </c>
      <c r="U219" t="s">
        <v>896</v>
      </c>
      <c r="V219" t="s">
        <v>10</v>
      </c>
      <c r="W219" s="16">
        <v>1</v>
      </c>
      <c r="X219" s="17" t="s">
        <v>919</v>
      </c>
    </row>
    <row r="220" spans="1:24" ht="18" x14ac:dyDescent="0.2">
      <c r="A220" s="12" t="s">
        <v>608</v>
      </c>
      <c r="B220" s="3">
        <v>62.65</v>
      </c>
      <c r="C220" s="5">
        <v>168.916</v>
      </c>
      <c r="D220" s="5">
        <f t="shared" si="3"/>
        <v>106.26599999999999</v>
      </c>
      <c r="E220" t="s">
        <v>21</v>
      </c>
      <c r="F220" t="s">
        <v>10</v>
      </c>
      <c r="G220" t="s">
        <v>609</v>
      </c>
      <c r="H220" t="s">
        <v>610</v>
      </c>
      <c r="I220" s="16">
        <v>20</v>
      </c>
      <c r="J220" s="16">
        <v>17</v>
      </c>
      <c r="K220" s="16">
        <v>13</v>
      </c>
      <c r="L220" s="16">
        <v>39.4</v>
      </c>
      <c r="M220" t="s">
        <v>891</v>
      </c>
      <c r="N220" s="16">
        <v>40</v>
      </c>
      <c r="O220" t="s">
        <v>891</v>
      </c>
      <c r="P220" s="16">
        <v>17.23</v>
      </c>
      <c r="Q220" t="s">
        <v>892</v>
      </c>
      <c r="R220" t="s">
        <v>1045</v>
      </c>
      <c r="S220" t="s">
        <v>1151</v>
      </c>
      <c r="T220" t="s">
        <v>895</v>
      </c>
      <c r="U220" t="s">
        <v>896</v>
      </c>
      <c r="V220" t="s">
        <v>10</v>
      </c>
      <c r="W220" s="16">
        <v>17.236999999999998</v>
      </c>
      <c r="X220" s="17" t="s">
        <v>906</v>
      </c>
    </row>
    <row r="221" spans="1:24" ht="18" x14ac:dyDescent="0.2">
      <c r="A221" s="12" t="s">
        <v>611</v>
      </c>
      <c r="B221" s="3">
        <v>46.44</v>
      </c>
      <c r="C221" s="5">
        <v>62.853999999999999</v>
      </c>
      <c r="D221" s="5">
        <f t="shared" si="3"/>
        <v>16.414000000000001</v>
      </c>
      <c r="E221" t="s">
        <v>612</v>
      </c>
      <c r="F221" t="s">
        <v>10</v>
      </c>
      <c r="G221" t="s">
        <v>613</v>
      </c>
      <c r="H221" t="s">
        <v>614</v>
      </c>
      <c r="I221" s="16">
        <v>32</v>
      </c>
      <c r="J221" s="16">
        <v>30</v>
      </c>
      <c r="K221" s="16">
        <v>25</v>
      </c>
      <c r="L221" s="16">
        <v>12</v>
      </c>
      <c r="M221" t="s">
        <v>891</v>
      </c>
      <c r="N221" s="16">
        <v>12</v>
      </c>
      <c r="O221" t="s">
        <v>891</v>
      </c>
      <c r="P221" s="16">
        <v>5</v>
      </c>
      <c r="Q221" t="s">
        <v>892</v>
      </c>
      <c r="R221" t="s">
        <v>1045</v>
      </c>
      <c r="S221" t="s">
        <v>1152</v>
      </c>
      <c r="T221" t="s">
        <v>895</v>
      </c>
      <c r="U221" t="s">
        <v>896</v>
      </c>
      <c r="V221" t="s">
        <v>10</v>
      </c>
      <c r="W221" s="16" t="s">
        <v>1153</v>
      </c>
      <c r="X221" s="17" t="s">
        <v>1154</v>
      </c>
    </row>
    <row r="222" spans="1:24" ht="18" x14ac:dyDescent="0.2">
      <c r="A222" s="12" t="s">
        <v>615</v>
      </c>
      <c r="B222" s="3">
        <v>44.42</v>
      </c>
      <c r="C222" s="5">
        <v>84.128</v>
      </c>
      <c r="D222" s="5">
        <f t="shared" si="3"/>
        <v>39.707999999999998</v>
      </c>
      <c r="E222" t="s">
        <v>147</v>
      </c>
      <c r="F222" t="s">
        <v>10</v>
      </c>
      <c r="G222" t="s">
        <v>616</v>
      </c>
      <c r="H222" t="s">
        <v>617</v>
      </c>
      <c r="I222" s="16">
        <v>25</v>
      </c>
      <c r="J222" s="16">
        <v>21</v>
      </c>
      <c r="K222" s="16">
        <v>17</v>
      </c>
      <c r="L222" s="16">
        <v>55.3</v>
      </c>
      <c r="M222" t="s">
        <v>891</v>
      </c>
      <c r="N222" s="16">
        <v>56</v>
      </c>
      <c r="O222" t="s">
        <v>891</v>
      </c>
      <c r="P222" s="16">
        <v>21.6</v>
      </c>
      <c r="Q222" t="s">
        <v>892</v>
      </c>
      <c r="R222" t="s">
        <v>939</v>
      </c>
      <c r="S222" t="s">
        <v>1155</v>
      </c>
      <c r="T222" t="s">
        <v>895</v>
      </c>
      <c r="U222" t="s">
        <v>896</v>
      </c>
      <c r="V222" t="s">
        <v>10</v>
      </c>
      <c r="W222" s="16">
        <v>1</v>
      </c>
      <c r="X222" s="17" t="s">
        <v>1003</v>
      </c>
    </row>
    <row r="223" spans="1:24" ht="18" x14ac:dyDescent="0.2">
      <c r="A223" s="12" t="s">
        <v>618</v>
      </c>
      <c r="B223" s="3">
        <v>44.5</v>
      </c>
      <c r="C223" s="5">
        <v>52.14</v>
      </c>
      <c r="D223" s="5">
        <f t="shared" si="3"/>
        <v>7.6400000000000006</v>
      </c>
      <c r="E223" t="s">
        <v>25</v>
      </c>
      <c r="F223" t="s">
        <v>10</v>
      </c>
      <c r="G223" t="s">
        <v>619</v>
      </c>
      <c r="H223" t="s">
        <v>620</v>
      </c>
      <c r="I223" s="16"/>
      <c r="J223" s="16"/>
      <c r="K223" s="16"/>
      <c r="L223" s="16"/>
      <c r="N223" s="16"/>
      <c r="P223" s="16"/>
      <c r="V223" t="s">
        <v>91</v>
      </c>
      <c r="W223" s="16">
        <v>11.34</v>
      </c>
      <c r="X223" s="17" t="s">
        <v>909</v>
      </c>
    </row>
    <row r="224" spans="1:24" ht="18" x14ac:dyDescent="0.2">
      <c r="A224" s="12" t="s">
        <v>621</v>
      </c>
      <c r="B224" s="3">
        <v>71.650000000000006</v>
      </c>
      <c r="C224" s="5">
        <v>179.42099999999999</v>
      </c>
      <c r="D224" s="5">
        <f t="shared" si="3"/>
        <v>107.77099999999999</v>
      </c>
      <c r="E224" t="s">
        <v>180</v>
      </c>
      <c r="F224" t="s">
        <v>10</v>
      </c>
      <c r="G224" t="s">
        <v>622</v>
      </c>
      <c r="H224" t="s">
        <v>623</v>
      </c>
      <c r="I224" s="16">
        <v>22</v>
      </c>
      <c r="J224" s="16">
        <v>22</v>
      </c>
      <c r="K224" s="16">
        <v>17</v>
      </c>
      <c r="L224" s="16">
        <v>71.7</v>
      </c>
      <c r="M224" t="s">
        <v>891</v>
      </c>
      <c r="N224" s="16">
        <v>72</v>
      </c>
      <c r="O224" t="s">
        <v>891</v>
      </c>
      <c r="P224" s="16">
        <v>25.4</v>
      </c>
      <c r="Q224" t="s">
        <v>892</v>
      </c>
      <c r="R224" t="s">
        <v>976</v>
      </c>
      <c r="S224" t="s">
        <v>1156</v>
      </c>
      <c r="T224" t="s">
        <v>895</v>
      </c>
      <c r="U224" t="s">
        <v>896</v>
      </c>
      <c r="V224" t="s">
        <v>10</v>
      </c>
      <c r="W224" s="16">
        <v>25.401</v>
      </c>
      <c r="X224" s="17" t="s">
        <v>1084</v>
      </c>
    </row>
    <row r="225" spans="1:24" ht="18" x14ac:dyDescent="0.2">
      <c r="A225" s="12" t="s">
        <v>624</v>
      </c>
      <c r="B225" s="3">
        <v>57.47</v>
      </c>
      <c r="C225" s="5">
        <v>128.47999999999999</v>
      </c>
      <c r="D225" s="5">
        <f t="shared" si="3"/>
        <v>71.009999999999991</v>
      </c>
      <c r="E225" t="s">
        <v>35</v>
      </c>
      <c r="F225" t="s">
        <v>10</v>
      </c>
      <c r="G225" t="s">
        <v>625</v>
      </c>
      <c r="H225" t="s">
        <v>626</v>
      </c>
      <c r="I225" s="16">
        <v>48</v>
      </c>
      <c r="J225" s="16">
        <v>41</v>
      </c>
      <c r="K225" s="16">
        <v>38</v>
      </c>
      <c r="L225" s="16">
        <v>61.1</v>
      </c>
      <c r="M225" t="s">
        <v>891</v>
      </c>
      <c r="N225" s="16">
        <v>62</v>
      </c>
      <c r="O225" t="s">
        <v>891</v>
      </c>
      <c r="P225" s="16">
        <v>27.44</v>
      </c>
      <c r="Q225" t="s">
        <v>892</v>
      </c>
      <c r="R225" t="s">
        <v>979</v>
      </c>
      <c r="S225" t="s">
        <v>1157</v>
      </c>
      <c r="T225" t="s">
        <v>895</v>
      </c>
      <c r="U225" t="s">
        <v>896</v>
      </c>
      <c r="V225" t="s">
        <v>10</v>
      </c>
      <c r="W225" s="16">
        <v>0</v>
      </c>
      <c r="X225" s="17" t="s">
        <v>934</v>
      </c>
    </row>
    <row r="226" spans="1:24" ht="18" x14ac:dyDescent="0.2">
      <c r="A226" s="12" t="s">
        <v>627</v>
      </c>
      <c r="B226" s="3">
        <v>29.87</v>
      </c>
      <c r="C226" s="5">
        <v>38.148000000000003</v>
      </c>
      <c r="D226" s="5">
        <f t="shared" si="3"/>
        <v>8.2780000000000022</v>
      </c>
      <c r="F226" t="s">
        <v>91</v>
      </c>
      <c r="I226" s="16">
        <v>16</v>
      </c>
      <c r="J226" s="16">
        <v>16</v>
      </c>
      <c r="K226" s="16">
        <v>12</v>
      </c>
      <c r="L226" s="16">
        <v>29.3</v>
      </c>
      <c r="M226" t="s">
        <v>891</v>
      </c>
      <c r="N226" s="16">
        <v>30</v>
      </c>
      <c r="O226" t="s">
        <v>891</v>
      </c>
      <c r="P226" s="16">
        <v>10.43</v>
      </c>
      <c r="Q226" t="s">
        <v>892</v>
      </c>
      <c r="R226" t="s">
        <v>898</v>
      </c>
      <c r="S226" t="s">
        <v>1073</v>
      </c>
      <c r="T226" t="s">
        <v>895</v>
      </c>
      <c r="U226" t="s">
        <v>896</v>
      </c>
      <c r="V226" t="s">
        <v>10</v>
      </c>
      <c r="W226" s="16">
        <v>10.433</v>
      </c>
      <c r="X226" s="17" t="s">
        <v>985</v>
      </c>
    </row>
    <row r="227" spans="1:24" ht="18" x14ac:dyDescent="0.2">
      <c r="A227" s="12" t="s">
        <v>628</v>
      </c>
      <c r="B227" s="3">
        <v>23.61</v>
      </c>
      <c r="C227" s="5">
        <v>72.709999999999994</v>
      </c>
      <c r="D227" s="5">
        <f t="shared" si="3"/>
        <v>49.099999999999994</v>
      </c>
      <c r="E227" t="s">
        <v>14</v>
      </c>
      <c r="F227" t="s">
        <v>10</v>
      </c>
      <c r="G227" t="s">
        <v>629</v>
      </c>
      <c r="H227" t="s">
        <v>630</v>
      </c>
      <c r="I227" s="16">
        <v>16</v>
      </c>
      <c r="J227" s="16">
        <v>15</v>
      </c>
      <c r="K227" s="16">
        <v>12</v>
      </c>
      <c r="L227" s="16">
        <v>27.2</v>
      </c>
      <c r="M227" t="s">
        <v>891</v>
      </c>
      <c r="N227" s="16">
        <v>28</v>
      </c>
      <c r="O227" t="s">
        <v>891</v>
      </c>
      <c r="P227" s="16">
        <v>8.16</v>
      </c>
      <c r="Q227" t="s">
        <v>892</v>
      </c>
      <c r="R227" t="s">
        <v>898</v>
      </c>
      <c r="S227" t="s">
        <v>1158</v>
      </c>
      <c r="T227" t="s">
        <v>895</v>
      </c>
      <c r="U227" t="s">
        <v>896</v>
      </c>
      <c r="V227" t="s">
        <v>10</v>
      </c>
      <c r="W227" s="16">
        <v>8.1649999999999991</v>
      </c>
      <c r="X227" s="17" t="s">
        <v>1099</v>
      </c>
    </row>
    <row r="228" spans="1:24" ht="18" x14ac:dyDescent="0.2">
      <c r="A228" s="12" t="s">
        <v>631</v>
      </c>
      <c r="B228" s="3">
        <v>149.24</v>
      </c>
      <c r="C228" s="5">
        <v>171.77600000000001</v>
      </c>
      <c r="D228" s="5">
        <f t="shared" si="3"/>
        <v>22.536000000000001</v>
      </c>
      <c r="E228" t="s">
        <v>35</v>
      </c>
      <c r="F228" t="s">
        <v>10</v>
      </c>
      <c r="G228" t="s">
        <v>632</v>
      </c>
      <c r="H228" t="s">
        <v>633</v>
      </c>
      <c r="I228" s="16">
        <v>49</v>
      </c>
      <c r="J228" s="16">
        <v>40</v>
      </c>
      <c r="K228" s="16">
        <v>39</v>
      </c>
      <c r="L228" s="16">
        <v>64.900000000000006</v>
      </c>
      <c r="M228" t="s">
        <v>891</v>
      </c>
      <c r="N228" s="16">
        <v>65</v>
      </c>
      <c r="O228" t="s">
        <v>891</v>
      </c>
      <c r="P228" s="16">
        <v>30</v>
      </c>
      <c r="Q228" t="s">
        <v>892</v>
      </c>
      <c r="R228" t="s">
        <v>923</v>
      </c>
      <c r="S228" t="s">
        <v>953</v>
      </c>
      <c r="T228" t="s">
        <v>895</v>
      </c>
      <c r="U228" t="s">
        <v>896</v>
      </c>
      <c r="V228" t="s">
        <v>10</v>
      </c>
      <c r="W228" s="16" t="s">
        <v>1159</v>
      </c>
      <c r="X228" s="17" t="s">
        <v>1160</v>
      </c>
    </row>
    <row r="229" spans="1:24" ht="18" x14ac:dyDescent="0.2">
      <c r="A229" s="12" t="s">
        <v>634</v>
      </c>
      <c r="B229" s="3">
        <v>37.47</v>
      </c>
      <c r="C229" s="5">
        <v>93.126000000000005</v>
      </c>
      <c r="D229" s="5">
        <f t="shared" si="3"/>
        <v>55.656000000000006</v>
      </c>
      <c r="E229" t="s">
        <v>25</v>
      </c>
      <c r="F229" t="s">
        <v>10</v>
      </c>
      <c r="G229" t="s">
        <v>635</v>
      </c>
      <c r="H229" t="s">
        <v>636</v>
      </c>
      <c r="I229" s="16">
        <v>40</v>
      </c>
      <c r="J229" s="16">
        <v>40</v>
      </c>
      <c r="K229" s="16">
        <v>30</v>
      </c>
      <c r="L229" s="16">
        <v>27.6</v>
      </c>
      <c r="M229" t="s">
        <v>891</v>
      </c>
      <c r="N229" s="16">
        <v>28</v>
      </c>
      <c r="O229" t="s">
        <v>891</v>
      </c>
      <c r="P229" s="16">
        <v>13</v>
      </c>
      <c r="Q229" t="s">
        <v>892</v>
      </c>
      <c r="R229" t="s">
        <v>991</v>
      </c>
      <c r="S229" t="s">
        <v>1161</v>
      </c>
      <c r="T229" t="s">
        <v>895</v>
      </c>
      <c r="U229" t="s">
        <v>896</v>
      </c>
      <c r="V229" t="s">
        <v>10</v>
      </c>
      <c r="W229" s="16">
        <v>13</v>
      </c>
      <c r="X229" s="17" t="s">
        <v>1162</v>
      </c>
    </row>
    <row r="230" spans="1:24" ht="18" x14ac:dyDescent="0.2">
      <c r="A230" s="12" t="s">
        <v>637</v>
      </c>
      <c r="B230" s="3">
        <v>24.39</v>
      </c>
      <c r="C230" s="5">
        <v>29.347999999999999</v>
      </c>
      <c r="D230" s="5">
        <f t="shared" si="3"/>
        <v>4.9579999999999984</v>
      </c>
      <c r="E230" t="s">
        <v>25</v>
      </c>
      <c r="F230" t="s">
        <v>10</v>
      </c>
      <c r="G230" t="s">
        <v>638</v>
      </c>
      <c r="H230" t="s">
        <v>639</v>
      </c>
      <c r="I230" s="16">
        <v>15</v>
      </c>
      <c r="J230" s="16">
        <v>12</v>
      </c>
      <c r="K230" s="16">
        <v>11</v>
      </c>
      <c r="L230" s="16">
        <v>28.7</v>
      </c>
      <c r="M230" t="s">
        <v>891</v>
      </c>
      <c r="N230" s="16">
        <v>29</v>
      </c>
      <c r="O230" t="s">
        <v>891</v>
      </c>
      <c r="P230" s="16">
        <v>10.43</v>
      </c>
      <c r="Q230" t="s">
        <v>892</v>
      </c>
      <c r="R230" t="s">
        <v>939</v>
      </c>
      <c r="S230" t="s">
        <v>1163</v>
      </c>
      <c r="T230" t="s">
        <v>895</v>
      </c>
      <c r="U230" t="s">
        <v>896</v>
      </c>
      <c r="V230" t="s">
        <v>10</v>
      </c>
      <c r="W230" s="16">
        <v>10.433</v>
      </c>
      <c r="X230" s="17" t="s">
        <v>985</v>
      </c>
    </row>
    <row r="231" spans="1:24" ht="18" x14ac:dyDescent="0.2">
      <c r="A231" s="12" t="s">
        <v>640</v>
      </c>
      <c r="B231" s="3">
        <v>21.9</v>
      </c>
      <c r="C231" s="5">
        <v>49.158999999999999</v>
      </c>
      <c r="D231" s="5">
        <f t="shared" si="3"/>
        <v>27.259</v>
      </c>
      <c r="E231" t="s">
        <v>25</v>
      </c>
      <c r="F231" t="s">
        <v>10</v>
      </c>
      <c r="G231" t="s">
        <v>641</v>
      </c>
      <c r="H231" t="s">
        <v>642</v>
      </c>
      <c r="I231" s="16">
        <v>41</v>
      </c>
      <c r="J231" s="16">
        <v>41</v>
      </c>
      <c r="K231" s="16">
        <v>28</v>
      </c>
      <c r="L231" s="16">
        <v>29.7</v>
      </c>
      <c r="M231" t="s">
        <v>891</v>
      </c>
      <c r="N231" s="16">
        <v>30</v>
      </c>
      <c r="O231" t="s">
        <v>891</v>
      </c>
      <c r="P231" s="16">
        <v>12.33</v>
      </c>
      <c r="Q231" t="s">
        <v>892</v>
      </c>
      <c r="R231" t="s">
        <v>930</v>
      </c>
      <c r="S231" t="s">
        <v>1164</v>
      </c>
      <c r="T231" t="s">
        <v>895</v>
      </c>
      <c r="U231" t="s">
        <v>896</v>
      </c>
      <c r="V231" t="s">
        <v>10</v>
      </c>
      <c r="W231" s="16">
        <v>12.337999999999999</v>
      </c>
      <c r="X231" s="17" t="s">
        <v>1165</v>
      </c>
    </row>
    <row r="232" spans="1:24" ht="18" x14ac:dyDescent="0.2">
      <c r="A232" s="12" t="s">
        <v>643</v>
      </c>
      <c r="B232" s="3">
        <v>26.2</v>
      </c>
      <c r="C232" s="5">
        <v>29.073</v>
      </c>
      <c r="D232" s="5">
        <f t="shared" si="3"/>
        <v>2.8730000000000011</v>
      </c>
      <c r="E232" t="s">
        <v>25</v>
      </c>
      <c r="F232" t="s">
        <v>10</v>
      </c>
      <c r="G232" t="s">
        <v>644</v>
      </c>
      <c r="H232" t="s">
        <v>645</v>
      </c>
      <c r="I232" s="16">
        <v>15</v>
      </c>
      <c r="J232" s="16">
        <v>13</v>
      </c>
      <c r="K232" s="16">
        <v>11</v>
      </c>
      <c r="L232" s="16">
        <v>27.7</v>
      </c>
      <c r="M232" t="s">
        <v>891</v>
      </c>
      <c r="N232" s="16">
        <v>28</v>
      </c>
      <c r="O232" t="s">
        <v>891</v>
      </c>
      <c r="P232" s="16">
        <v>11.34</v>
      </c>
      <c r="Q232" t="s">
        <v>892</v>
      </c>
      <c r="R232" t="s">
        <v>991</v>
      </c>
      <c r="S232" t="s">
        <v>1126</v>
      </c>
      <c r="T232" t="s">
        <v>895</v>
      </c>
      <c r="U232" t="s">
        <v>896</v>
      </c>
      <c r="V232" t="s">
        <v>10</v>
      </c>
      <c r="W232" s="16">
        <v>11.34</v>
      </c>
      <c r="X232" s="17" t="s">
        <v>909</v>
      </c>
    </row>
    <row r="233" spans="1:24" ht="18" x14ac:dyDescent="0.2">
      <c r="A233" s="12" t="s">
        <v>646</v>
      </c>
      <c r="B233" s="3">
        <v>65.37</v>
      </c>
      <c r="C233" s="5">
        <v>69.179000000000002</v>
      </c>
      <c r="D233" s="5">
        <f t="shared" si="3"/>
        <v>3.8089999999999975</v>
      </c>
      <c r="E233" t="s">
        <v>180</v>
      </c>
      <c r="F233" t="s">
        <v>10</v>
      </c>
      <c r="G233" t="s">
        <v>647</v>
      </c>
      <c r="H233" t="s">
        <v>648</v>
      </c>
      <c r="I233" s="16">
        <v>19</v>
      </c>
      <c r="J233" s="16">
        <v>15</v>
      </c>
      <c r="K233" s="16">
        <v>13</v>
      </c>
      <c r="L233" s="16">
        <v>62.8</v>
      </c>
      <c r="M233" t="s">
        <v>891</v>
      </c>
      <c r="N233" s="16">
        <v>63</v>
      </c>
      <c r="O233" t="s">
        <v>891</v>
      </c>
      <c r="P233" s="16">
        <v>25.4</v>
      </c>
      <c r="Q233" t="s">
        <v>892</v>
      </c>
      <c r="R233" t="s">
        <v>1037</v>
      </c>
      <c r="S233" t="s">
        <v>1166</v>
      </c>
      <c r="T233" t="s">
        <v>895</v>
      </c>
      <c r="U233" t="s">
        <v>896</v>
      </c>
      <c r="V233" t="s">
        <v>10</v>
      </c>
      <c r="W233" s="16">
        <v>25.401</v>
      </c>
      <c r="X233" s="17" t="s">
        <v>1084</v>
      </c>
    </row>
    <row r="234" spans="1:24" ht="18" x14ac:dyDescent="0.2">
      <c r="A234" s="12" t="s">
        <v>649</v>
      </c>
      <c r="B234" s="3">
        <v>32.22</v>
      </c>
      <c r="C234" s="5">
        <v>38.070999999999998</v>
      </c>
      <c r="D234" s="5">
        <f t="shared" si="3"/>
        <v>5.8509999999999991</v>
      </c>
      <c r="E234" t="s">
        <v>25</v>
      </c>
      <c r="F234" t="s">
        <v>10</v>
      </c>
      <c r="G234" t="s">
        <v>650</v>
      </c>
      <c r="H234" t="s">
        <v>651</v>
      </c>
      <c r="I234" s="16">
        <v>16</v>
      </c>
      <c r="J234" s="16">
        <v>16</v>
      </c>
      <c r="K234" s="16">
        <v>12</v>
      </c>
      <c r="L234" s="16">
        <v>29.6</v>
      </c>
      <c r="M234" t="s">
        <v>891</v>
      </c>
      <c r="N234" s="16">
        <v>30</v>
      </c>
      <c r="O234" t="s">
        <v>891</v>
      </c>
      <c r="P234" s="16">
        <v>11.34</v>
      </c>
      <c r="Q234" t="s">
        <v>892</v>
      </c>
      <c r="R234" t="s">
        <v>910</v>
      </c>
      <c r="S234" t="s">
        <v>1167</v>
      </c>
      <c r="T234" t="s">
        <v>895</v>
      </c>
      <c r="U234" t="s">
        <v>896</v>
      </c>
      <c r="V234" t="s">
        <v>10</v>
      </c>
      <c r="W234" s="16">
        <v>11.34</v>
      </c>
      <c r="X234" s="17" t="s">
        <v>909</v>
      </c>
    </row>
    <row r="235" spans="1:24" ht="18" x14ac:dyDescent="0.2">
      <c r="A235" s="12" t="s">
        <v>652</v>
      </c>
      <c r="B235" s="3">
        <v>31.44</v>
      </c>
      <c r="C235" s="5">
        <v>35.695</v>
      </c>
      <c r="D235" s="5">
        <f t="shared" si="3"/>
        <v>4.254999999999999</v>
      </c>
      <c r="E235" t="s">
        <v>139</v>
      </c>
      <c r="F235" t="s">
        <v>10</v>
      </c>
      <c r="G235" t="s">
        <v>653</v>
      </c>
      <c r="H235" t="s">
        <v>654</v>
      </c>
      <c r="I235" s="16">
        <v>29</v>
      </c>
      <c r="J235" s="16">
        <v>19</v>
      </c>
      <c r="K235" s="16">
        <v>7</v>
      </c>
      <c r="L235" s="16">
        <v>45.9</v>
      </c>
      <c r="M235" t="s">
        <v>891</v>
      </c>
      <c r="N235" s="16">
        <v>46</v>
      </c>
      <c r="O235" t="s">
        <v>891</v>
      </c>
      <c r="P235" s="16">
        <v>18</v>
      </c>
      <c r="Q235" t="s">
        <v>892</v>
      </c>
      <c r="R235" t="s">
        <v>923</v>
      </c>
      <c r="S235" t="s">
        <v>1168</v>
      </c>
      <c r="T235" t="s">
        <v>895</v>
      </c>
      <c r="U235" t="s">
        <v>896</v>
      </c>
      <c r="V235" t="s">
        <v>10</v>
      </c>
      <c r="W235" s="16">
        <v>18</v>
      </c>
      <c r="X235" s="17" t="s">
        <v>978</v>
      </c>
    </row>
    <row r="236" spans="1:24" ht="18" x14ac:dyDescent="0.2">
      <c r="A236" s="12" t="s">
        <v>655</v>
      </c>
      <c r="B236" s="3">
        <v>23.02</v>
      </c>
      <c r="C236" s="5">
        <v>53.933</v>
      </c>
      <c r="D236" s="5">
        <f t="shared" si="3"/>
        <v>30.913</v>
      </c>
      <c r="E236" t="s">
        <v>25</v>
      </c>
      <c r="F236" t="s">
        <v>10</v>
      </c>
      <c r="G236" t="s">
        <v>656</v>
      </c>
      <c r="H236" t="s">
        <v>657</v>
      </c>
      <c r="I236" s="16">
        <v>16</v>
      </c>
      <c r="J236" s="16">
        <v>16</v>
      </c>
      <c r="K236" s="16">
        <v>12</v>
      </c>
      <c r="L236" s="16">
        <v>28.4</v>
      </c>
      <c r="M236" t="s">
        <v>891</v>
      </c>
      <c r="N236" s="16">
        <v>29</v>
      </c>
      <c r="O236" t="s">
        <v>891</v>
      </c>
      <c r="P236" s="16">
        <v>12</v>
      </c>
      <c r="Q236" t="s">
        <v>892</v>
      </c>
      <c r="R236" t="s">
        <v>917</v>
      </c>
      <c r="S236" t="s">
        <v>1105</v>
      </c>
      <c r="T236" t="s">
        <v>895</v>
      </c>
      <c r="U236" t="s">
        <v>896</v>
      </c>
      <c r="V236" t="s">
        <v>10</v>
      </c>
      <c r="W236" s="16">
        <v>1</v>
      </c>
      <c r="X236" s="17" t="s">
        <v>919</v>
      </c>
    </row>
    <row r="237" spans="1:24" ht="18" x14ac:dyDescent="0.2">
      <c r="A237" s="12" t="s">
        <v>658</v>
      </c>
      <c r="B237" s="3">
        <v>26.2</v>
      </c>
      <c r="C237" s="5">
        <v>76.724999999999994</v>
      </c>
      <c r="D237" s="5">
        <f t="shared" si="3"/>
        <v>50.524999999999991</v>
      </c>
      <c r="E237" t="s">
        <v>25</v>
      </c>
      <c r="F237" t="s">
        <v>10</v>
      </c>
      <c r="G237" t="s">
        <v>659</v>
      </c>
      <c r="H237" t="s">
        <v>660</v>
      </c>
      <c r="I237" s="16">
        <v>18</v>
      </c>
      <c r="J237" s="16">
        <v>13</v>
      </c>
      <c r="K237" s="16">
        <v>12</v>
      </c>
      <c r="L237" s="16">
        <v>29</v>
      </c>
      <c r="M237" t="s">
        <v>891</v>
      </c>
      <c r="N237" s="16">
        <v>30</v>
      </c>
      <c r="O237" t="s">
        <v>891</v>
      </c>
      <c r="P237" s="16">
        <v>11.34</v>
      </c>
      <c r="Q237" t="s">
        <v>892</v>
      </c>
      <c r="R237" t="s">
        <v>901</v>
      </c>
      <c r="S237" t="s">
        <v>1069</v>
      </c>
      <c r="T237" t="s">
        <v>895</v>
      </c>
      <c r="U237" t="s">
        <v>896</v>
      </c>
      <c r="V237" t="s">
        <v>10</v>
      </c>
      <c r="W237" s="16">
        <v>11.34</v>
      </c>
      <c r="X237" s="17" t="s">
        <v>909</v>
      </c>
    </row>
    <row r="238" spans="1:24" ht="18" x14ac:dyDescent="0.2">
      <c r="A238" s="12" t="s">
        <v>661</v>
      </c>
      <c r="B238" s="3">
        <v>36.44</v>
      </c>
      <c r="C238" s="5">
        <v>39.039000000000001</v>
      </c>
      <c r="D238" s="5">
        <f t="shared" si="3"/>
        <v>2.5990000000000038</v>
      </c>
      <c r="E238" t="s">
        <v>21</v>
      </c>
      <c r="F238" t="s">
        <v>10</v>
      </c>
      <c r="G238" t="s">
        <v>662</v>
      </c>
      <c r="H238" t="s">
        <v>663</v>
      </c>
      <c r="I238" s="16">
        <v>19</v>
      </c>
      <c r="J238" s="16">
        <v>17</v>
      </c>
      <c r="K238" s="16">
        <v>13</v>
      </c>
      <c r="L238" s="16">
        <v>41.8</v>
      </c>
      <c r="M238" t="s">
        <v>891</v>
      </c>
      <c r="N238" s="16">
        <v>42</v>
      </c>
      <c r="O238" t="s">
        <v>891</v>
      </c>
      <c r="P238" s="16">
        <v>17.23</v>
      </c>
      <c r="Q238" t="s">
        <v>892</v>
      </c>
      <c r="R238" t="s">
        <v>939</v>
      </c>
      <c r="S238" t="s">
        <v>1169</v>
      </c>
      <c r="T238" t="s">
        <v>895</v>
      </c>
      <c r="U238" t="s">
        <v>896</v>
      </c>
      <c r="V238" t="s">
        <v>10</v>
      </c>
      <c r="W238" s="16">
        <v>17.236999999999998</v>
      </c>
      <c r="X238" s="17" t="s">
        <v>906</v>
      </c>
    </row>
    <row r="239" spans="1:24" ht="18" x14ac:dyDescent="0.2">
      <c r="A239" s="12" t="s">
        <v>664</v>
      </c>
      <c r="B239" s="3">
        <v>22.55</v>
      </c>
      <c r="C239" s="5">
        <v>40.645000000000003</v>
      </c>
      <c r="D239" s="5">
        <f t="shared" si="3"/>
        <v>18.095000000000002</v>
      </c>
      <c r="E239" t="s">
        <v>47</v>
      </c>
      <c r="F239" t="s">
        <v>10</v>
      </c>
      <c r="G239" t="s">
        <v>665</v>
      </c>
      <c r="H239" t="s">
        <v>666</v>
      </c>
      <c r="I239" s="16">
        <v>15</v>
      </c>
      <c r="J239" s="16">
        <v>11</v>
      </c>
      <c r="K239" s="16">
        <v>11</v>
      </c>
      <c r="L239" s="16">
        <v>13.1</v>
      </c>
      <c r="M239" t="s">
        <v>891</v>
      </c>
      <c r="N239" s="16">
        <v>13</v>
      </c>
      <c r="O239" t="s">
        <v>891</v>
      </c>
      <c r="P239" s="16">
        <v>8</v>
      </c>
      <c r="Q239" t="s">
        <v>892</v>
      </c>
      <c r="R239" t="s">
        <v>907</v>
      </c>
      <c r="S239" t="s">
        <v>1170</v>
      </c>
      <c r="T239" t="s">
        <v>895</v>
      </c>
      <c r="U239" t="s">
        <v>896</v>
      </c>
      <c r="V239" t="s">
        <v>10</v>
      </c>
      <c r="W239" s="16">
        <v>8</v>
      </c>
      <c r="X239" s="17" t="s">
        <v>1171</v>
      </c>
    </row>
    <row r="240" spans="1:24" ht="18" x14ac:dyDescent="0.2">
      <c r="A240" s="12" t="s">
        <v>667</v>
      </c>
      <c r="B240" s="3">
        <v>32.22</v>
      </c>
      <c r="C240" s="5">
        <v>46.683999999999997</v>
      </c>
      <c r="D240" s="5">
        <f t="shared" si="3"/>
        <v>14.463999999999999</v>
      </c>
      <c r="E240" t="s">
        <v>25</v>
      </c>
      <c r="F240" t="s">
        <v>10</v>
      </c>
      <c r="G240" t="s">
        <v>668</v>
      </c>
      <c r="H240" t="s">
        <v>669</v>
      </c>
      <c r="I240" s="16">
        <v>16</v>
      </c>
      <c r="J240" s="16">
        <v>13</v>
      </c>
      <c r="K240" s="16">
        <v>11</v>
      </c>
      <c r="L240" s="16">
        <v>27</v>
      </c>
      <c r="M240" t="s">
        <v>891</v>
      </c>
      <c r="N240" s="16">
        <v>27</v>
      </c>
      <c r="O240" t="s">
        <v>891</v>
      </c>
      <c r="P240" s="16">
        <v>11.34</v>
      </c>
      <c r="Q240" t="s">
        <v>892</v>
      </c>
      <c r="R240" t="s">
        <v>910</v>
      </c>
      <c r="S240" t="s">
        <v>997</v>
      </c>
      <c r="T240" t="s">
        <v>895</v>
      </c>
      <c r="U240" t="s">
        <v>896</v>
      </c>
      <c r="V240" t="s">
        <v>10</v>
      </c>
      <c r="W240" s="16">
        <v>11.34</v>
      </c>
      <c r="X240" s="17" t="s">
        <v>909</v>
      </c>
    </row>
    <row r="241" spans="1:24" ht="18" x14ac:dyDescent="0.2">
      <c r="A241" s="12" t="s">
        <v>670</v>
      </c>
      <c r="B241" s="3">
        <v>20.9</v>
      </c>
      <c r="C241" s="5">
        <v>23.364000000000001</v>
      </c>
      <c r="D241" s="5">
        <f t="shared" si="3"/>
        <v>2.4640000000000022</v>
      </c>
      <c r="E241" t="s">
        <v>25</v>
      </c>
      <c r="F241" t="s">
        <v>10</v>
      </c>
      <c r="G241" t="s">
        <v>671</v>
      </c>
      <c r="H241" t="s">
        <v>672</v>
      </c>
      <c r="I241" s="16">
        <v>20</v>
      </c>
      <c r="J241" s="16">
        <v>16</v>
      </c>
      <c r="K241" s="16">
        <v>16</v>
      </c>
      <c r="L241" s="16"/>
      <c r="N241" s="16">
        <v>31</v>
      </c>
      <c r="O241" t="s">
        <v>891</v>
      </c>
      <c r="P241" s="16">
        <v>11.5</v>
      </c>
      <c r="Q241" t="s">
        <v>892</v>
      </c>
      <c r="R241" t="s">
        <v>1029</v>
      </c>
      <c r="S241" t="s">
        <v>913</v>
      </c>
      <c r="T241" t="s">
        <v>895</v>
      </c>
      <c r="U241" t="s">
        <v>896</v>
      </c>
      <c r="V241" t="s">
        <v>10</v>
      </c>
      <c r="W241" s="16">
        <v>1</v>
      </c>
      <c r="X241" s="17" t="s">
        <v>919</v>
      </c>
    </row>
    <row r="242" spans="1:24" ht="18" x14ac:dyDescent="0.2">
      <c r="A242" s="12" t="s">
        <v>673</v>
      </c>
      <c r="B242" s="3">
        <v>88.7</v>
      </c>
      <c r="C242" s="5">
        <v>95.183000000000007</v>
      </c>
      <c r="D242" s="5">
        <f t="shared" si="3"/>
        <v>6.4830000000000041</v>
      </c>
      <c r="E242" t="s">
        <v>674</v>
      </c>
      <c r="F242" t="s">
        <v>10</v>
      </c>
      <c r="G242" t="s">
        <v>675</v>
      </c>
      <c r="I242" s="16">
        <v>27</v>
      </c>
      <c r="J242" s="16">
        <v>20</v>
      </c>
      <c r="K242" s="16">
        <v>15</v>
      </c>
      <c r="L242" s="16">
        <v>76.7</v>
      </c>
      <c r="M242" t="s">
        <v>891</v>
      </c>
      <c r="N242" s="16">
        <v>77</v>
      </c>
      <c r="O242" t="s">
        <v>891</v>
      </c>
      <c r="P242" s="16">
        <v>29.5</v>
      </c>
      <c r="Q242" t="s">
        <v>892</v>
      </c>
      <c r="R242" t="s">
        <v>926</v>
      </c>
      <c r="S242" t="s">
        <v>1172</v>
      </c>
      <c r="T242" t="s">
        <v>895</v>
      </c>
      <c r="U242" t="s">
        <v>896</v>
      </c>
      <c r="V242" t="s">
        <v>10</v>
      </c>
      <c r="W242" s="16">
        <v>1</v>
      </c>
      <c r="X242" s="17" t="s">
        <v>1173</v>
      </c>
    </row>
    <row r="243" spans="1:24" ht="18" x14ac:dyDescent="0.2">
      <c r="A243" s="12" t="s">
        <v>676</v>
      </c>
      <c r="B243" s="3">
        <v>88.7</v>
      </c>
      <c r="C243" s="5">
        <v>95.183000000000007</v>
      </c>
      <c r="D243" s="5">
        <f t="shared" si="3"/>
        <v>6.4830000000000041</v>
      </c>
      <c r="E243" t="s">
        <v>674</v>
      </c>
      <c r="F243" t="s">
        <v>10</v>
      </c>
      <c r="G243" t="s">
        <v>677</v>
      </c>
      <c r="H243" t="s">
        <v>678</v>
      </c>
      <c r="I243" s="16">
        <v>27</v>
      </c>
      <c r="J243" s="16">
        <v>20</v>
      </c>
      <c r="K243" s="16">
        <v>15</v>
      </c>
      <c r="L243" s="16">
        <v>76.900000000000006</v>
      </c>
      <c r="M243" t="s">
        <v>891</v>
      </c>
      <c r="N243" s="16">
        <v>77</v>
      </c>
      <c r="O243" t="s">
        <v>891</v>
      </c>
      <c r="P243" s="16">
        <v>29.5</v>
      </c>
      <c r="Q243" t="s">
        <v>892</v>
      </c>
      <c r="R243" t="s">
        <v>926</v>
      </c>
      <c r="S243" t="s">
        <v>1172</v>
      </c>
      <c r="T243" t="s">
        <v>895</v>
      </c>
      <c r="U243" t="s">
        <v>896</v>
      </c>
      <c r="V243" t="s">
        <v>10</v>
      </c>
      <c r="W243" s="16">
        <v>1</v>
      </c>
      <c r="X243" s="17" t="s">
        <v>1174</v>
      </c>
    </row>
    <row r="244" spans="1:24" ht="18" x14ac:dyDescent="0.2">
      <c r="A244" s="12" t="s">
        <v>679</v>
      </c>
      <c r="B244" s="3">
        <v>88.7</v>
      </c>
      <c r="C244" s="5">
        <v>95.183000000000007</v>
      </c>
      <c r="D244" s="5">
        <f t="shared" si="3"/>
        <v>6.4830000000000041</v>
      </c>
      <c r="E244" t="s">
        <v>674</v>
      </c>
      <c r="F244" t="s">
        <v>10</v>
      </c>
      <c r="G244" t="s">
        <v>680</v>
      </c>
      <c r="I244" s="16">
        <v>27</v>
      </c>
      <c r="J244" s="16">
        <v>20</v>
      </c>
      <c r="K244" s="16">
        <v>15</v>
      </c>
      <c r="L244" s="16">
        <v>76.900000000000006</v>
      </c>
      <c r="M244" t="s">
        <v>891</v>
      </c>
      <c r="N244" s="16">
        <v>77</v>
      </c>
      <c r="O244" t="s">
        <v>891</v>
      </c>
      <c r="P244" s="16">
        <v>29.5</v>
      </c>
      <c r="Q244" t="s">
        <v>892</v>
      </c>
      <c r="R244" t="s">
        <v>926</v>
      </c>
      <c r="S244" t="s">
        <v>1172</v>
      </c>
      <c r="T244" t="s">
        <v>895</v>
      </c>
      <c r="U244" t="s">
        <v>896</v>
      </c>
      <c r="V244" t="s">
        <v>10</v>
      </c>
      <c r="W244" s="16">
        <v>1</v>
      </c>
      <c r="X244" s="17" t="s">
        <v>1174</v>
      </c>
    </row>
    <row r="245" spans="1:24" ht="18" x14ac:dyDescent="0.2">
      <c r="A245" s="12" t="s">
        <v>681</v>
      </c>
      <c r="B245" s="3">
        <v>100.59</v>
      </c>
      <c r="C245" s="5">
        <v>113.245</v>
      </c>
      <c r="D245" s="5">
        <f t="shared" si="3"/>
        <v>12.655000000000001</v>
      </c>
      <c r="E245" t="s">
        <v>309</v>
      </c>
      <c r="F245" t="s">
        <v>10</v>
      </c>
      <c r="G245" t="s">
        <v>682</v>
      </c>
      <c r="H245" t="s">
        <v>678</v>
      </c>
      <c r="I245" s="16">
        <v>27</v>
      </c>
      <c r="J245" s="16">
        <v>20</v>
      </c>
      <c r="K245" s="16">
        <v>20</v>
      </c>
      <c r="L245" s="16">
        <v>98.1</v>
      </c>
      <c r="M245" t="s">
        <v>891</v>
      </c>
      <c r="N245" s="16">
        <v>99</v>
      </c>
      <c r="O245" t="s">
        <v>891</v>
      </c>
      <c r="P245" s="16">
        <v>38</v>
      </c>
      <c r="Q245" t="s">
        <v>892</v>
      </c>
      <c r="R245" t="s">
        <v>926</v>
      </c>
      <c r="S245" t="s">
        <v>1172</v>
      </c>
      <c r="T245" t="s">
        <v>895</v>
      </c>
      <c r="U245" t="s">
        <v>896</v>
      </c>
      <c r="V245" t="s">
        <v>10</v>
      </c>
      <c r="W245" s="16">
        <v>1</v>
      </c>
      <c r="X245" s="17" t="s">
        <v>1175</v>
      </c>
    </row>
    <row r="246" spans="1:24" ht="18" x14ac:dyDescent="0.2">
      <c r="A246" s="12" t="s">
        <v>683</v>
      </c>
      <c r="B246" s="3">
        <v>36.44</v>
      </c>
      <c r="C246" s="5">
        <v>38.917999999999999</v>
      </c>
      <c r="D246" s="5">
        <f t="shared" si="3"/>
        <v>2.4780000000000015</v>
      </c>
      <c r="E246" t="s">
        <v>684</v>
      </c>
      <c r="F246" t="s">
        <v>10</v>
      </c>
      <c r="G246" t="s">
        <v>685</v>
      </c>
      <c r="H246" t="s">
        <v>686</v>
      </c>
      <c r="I246" s="16">
        <v>19</v>
      </c>
      <c r="J246" s="16">
        <v>16</v>
      </c>
      <c r="K246" s="16">
        <v>13</v>
      </c>
      <c r="L246" s="16">
        <v>40.700000000000003</v>
      </c>
      <c r="M246" t="s">
        <v>891</v>
      </c>
      <c r="N246" s="16">
        <v>41</v>
      </c>
      <c r="O246" t="s">
        <v>891</v>
      </c>
      <c r="P246" s="16">
        <v>17.23</v>
      </c>
      <c r="Q246" t="s">
        <v>892</v>
      </c>
      <c r="R246" t="s">
        <v>898</v>
      </c>
      <c r="S246" t="s">
        <v>1176</v>
      </c>
      <c r="T246" t="s">
        <v>895</v>
      </c>
      <c r="U246" t="s">
        <v>896</v>
      </c>
      <c r="V246" t="s">
        <v>10</v>
      </c>
      <c r="W246" s="16">
        <v>17.236999999999998</v>
      </c>
      <c r="X246" s="17" t="s">
        <v>1177</v>
      </c>
    </row>
    <row r="247" spans="1:24" ht="18" x14ac:dyDescent="0.2">
      <c r="A247" s="12" t="s">
        <v>687</v>
      </c>
      <c r="B247" s="3">
        <v>95.71</v>
      </c>
      <c r="C247" s="5">
        <v>99.99</v>
      </c>
      <c r="D247" s="5">
        <f t="shared" si="3"/>
        <v>4.2800000000000011</v>
      </c>
      <c r="E247" t="s">
        <v>35</v>
      </c>
      <c r="F247" t="s">
        <v>10</v>
      </c>
      <c r="G247" t="s">
        <v>688</v>
      </c>
      <c r="H247" t="s">
        <v>689</v>
      </c>
      <c r="I247" s="16">
        <v>20</v>
      </c>
      <c r="J247" s="16">
        <v>16</v>
      </c>
      <c r="K247" s="16">
        <v>16</v>
      </c>
      <c r="L247" s="16">
        <v>66.2</v>
      </c>
      <c r="M247" t="s">
        <v>891</v>
      </c>
      <c r="N247" s="16">
        <v>67</v>
      </c>
      <c r="O247" t="s">
        <v>891</v>
      </c>
      <c r="P247" s="16">
        <v>25.4</v>
      </c>
      <c r="Q247" t="s">
        <v>892</v>
      </c>
      <c r="R247" t="s">
        <v>1178</v>
      </c>
      <c r="S247" t="s">
        <v>1179</v>
      </c>
      <c r="T247" t="s">
        <v>895</v>
      </c>
      <c r="U247" t="s">
        <v>896</v>
      </c>
      <c r="V247" t="s">
        <v>10</v>
      </c>
      <c r="W247" s="16">
        <v>25.401</v>
      </c>
      <c r="X247" s="17" t="s">
        <v>972</v>
      </c>
    </row>
    <row r="248" spans="1:24" ht="18" x14ac:dyDescent="0.2">
      <c r="A248" s="12" t="s">
        <v>690</v>
      </c>
      <c r="B248" s="3">
        <v>20.2</v>
      </c>
      <c r="C248" s="5">
        <v>22.858000000000001</v>
      </c>
      <c r="D248" s="5">
        <f t="shared" si="3"/>
        <v>2.6580000000000013</v>
      </c>
      <c r="E248" t="s">
        <v>25</v>
      </c>
      <c r="F248" t="s">
        <v>10</v>
      </c>
      <c r="G248" t="s">
        <v>691</v>
      </c>
      <c r="H248" t="s">
        <v>692</v>
      </c>
      <c r="I248" s="16">
        <v>16</v>
      </c>
      <c r="J248" s="16">
        <v>16</v>
      </c>
      <c r="K248" s="16">
        <v>12</v>
      </c>
      <c r="L248" s="16">
        <v>29.8</v>
      </c>
      <c r="M248" t="s">
        <v>891</v>
      </c>
      <c r="N248" s="16">
        <v>30</v>
      </c>
      <c r="O248" t="s">
        <v>891</v>
      </c>
      <c r="P248" s="16">
        <v>11.34</v>
      </c>
      <c r="Q248" t="s">
        <v>892</v>
      </c>
      <c r="R248" t="s">
        <v>982</v>
      </c>
      <c r="S248" t="s">
        <v>1180</v>
      </c>
      <c r="T248" t="s">
        <v>895</v>
      </c>
      <c r="U248" t="s">
        <v>896</v>
      </c>
      <c r="V248" t="s">
        <v>10</v>
      </c>
      <c r="W248" s="16">
        <v>11.34</v>
      </c>
      <c r="X248" s="17" t="s">
        <v>909</v>
      </c>
    </row>
    <row r="249" spans="1:24" ht="18" x14ac:dyDescent="0.2">
      <c r="A249" s="12" t="s">
        <v>693</v>
      </c>
      <c r="B249" s="3">
        <v>26.2</v>
      </c>
      <c r="C249" s="5">
        <v>30.228000000000002</v>
      </c>
      <c r="D249" s="5">
        <f t="shared" si="3"/>
        <v>4.0280000000000022</v>
      </c>
      <c r="E249" t="s">
        <v>25</v>
      </c>
      <c r="F249" t="s">
        <v>10</v>
      </c>
      <c r="G249" t="s">
        <v>694</v>
      </c>
      <c r="H249" t="s">
        <v>695</v>
      </c>
      <c r="I249" s="16">
        <v>16</v>
      </c>
      <c r="J249" s="16">
        <v>16</v>
      </c>
      <c r="K249" s="16">
        <v>12</v>
      </c>
      <c r="L249" s="16">
        <v>29.8</v>
      </c>
      <c r="M249" t="s">
        <v>891</v>
      </c>
      <c r="N249" s="16">
        <v>30</v>
      </c>
      <c r="O249" t="s">
        <v>891</v>
      </c>
      <c r="P249" s="16">
        <v>11.34</v>
      </c>
      <c r="Q249" t="s">
        <v>892</v>
      </c>
      <c r="R249" t="s">
        <v>991</v>
      </c>
      <c r="S249" t="s">
        <v>1181</v>
      </c>
      <c r="T249" t="s">
        <v>895</v>
      </c>
      <c r="U249" t="s">
        <v>896</v>
      </c>
      <c r="V249" t="s">
        <v>10</v>
      </c>
      <c r="W249" s="16">
        <v>11.34</v>
      </c>
      <c r="X249" s="17" t="s">
        <v>909</v>
      </c>
    </row>
    <row r="250" spans="1:24" ht="18" x14ac:dyDescent="0.2">
      <c r="A250" s="12" t="s">
        <v>696</v>
      </c>
      <c r="B250" s="3">
        <v>26.2</v>
      </c>
      <c r="C250" s="5">
        <v>30.228000000000002</v>
      </c>
      <c r="D250" s="5">
        <f t="shared" si="3"/>
        <v>4.0280000000000022</v>
      </c>
      <c r="E250" t="s">
        <v>25</v>
      </c>
      <c r="F250" t="s">
        <v>10</v>
      </c>
      <c r="G250" t="s">
        <v>697</v>
      </c>
      <c r="H250" t="s">
        <v>698</v>
      </c>
      <c r="I250" s="16">
        <v>16</v>
      </c>
      <c r="J250" s="16">
        <v>16</v>
      </c>
      <c r="K250" s="16">
        <v>12</v>
      </c>
      <c r="L250" s="16">
        <v>29.6</v>
      </c>
      <c r="M250" t="s">
        <v>891</v>
      </c>
      <c r="N250" s="16">
        <v>30</v>
      </c>
      <c r="O250" t="s">
        <v>891</v>
      </c>
      <c r="P250" s="16">
        <v>11.34</v>
      </c>
      <c r="Q250" t="s">
        <v>892</v>
      </c>
      <c r="R250" t="s">
        <v>898</v>
      </c>
      <c r="S250" t="s">
        <v>1182</v>
      </c>
      <c r="T250" t="s">
        <v>895</v>
      </c>
      <c r="U250" t="s">
        <v>896</v>
      </c>
      <c r="V250" t="s">
        <v>10</v>
      </c>
      <c r="W250" s="16">
        <v>11.34</v>
      </c>
      <c r="X250" s="17" t="s">
        <v>909</v>
      </c>
    </row>
    <row r="251" spans="1:24" ht="18" x14ac:dyDescent="0.2">
      <c r="A251" s="12" t="s">
        <v>699</v>
      </c>
      <c r="B251" s="3">
        <v>30.14</v>
      </c>
      <c r="C251" s="5">
        <v>33.604999999999997</v>
      </c>
      <c r="D251" s="5">
        <f t="shared" si="3"/>
        <v>3.4649999999999963</v>
      </c>
      <c r="E251" t="s">
        <v>21</v>
      </c>
      <c r="F251" t="s">
        <v>10</v>
      </c>
      <c r="G251" t="s">
        <v>700</v>
      </c>
      <c r="H251" t="s">
        <v>701</v>
      </c>
      <c r="I251" s="16">
        <v>18</v>
      </c>
      <c r="J251" s="16">
        <v>17</v>
      </c>
      <c r="K251" s="16">
        <v>13</v>
      </c>
      <c r="L251" s="16">
        <v>41.7</v>
      </c>
      <c r="M251" t="s">
        <v>891</v>
      </c>
      <c r="N251" s="16">
        <v>42</v>
      </c>
      <c r="O251" t="s">
        <v>891</v>
      </c>
      <c r="P251" s="16">
        <v>17.23</v>
      </c>
      <c r="Q251" t="s">
        <v>892</v>
      </c>
      <c r="R251" t="s">
        <v>923</v>
      </c>
      <c r="S251" t="s">
        <v>1183</v>
      </c>
      <c r="T251" t="s">
        <v>895</v>
      </c>
      <c r="U251" t="s">
        <v>896</v>
      </c>
      <c r="V251" t="s">
        <v>10</v>
      </c>
      <c r="W251" s="16">
        <v>17.236999999999998</v>
      </c>
      <c r="X251" s="17" t="s">
        <v>906</v>
      </c>
    </row>
    <row r="252" spans="1:24" ht="18" x14ac:dyDescent="0.2">
      <c r="A252" s="12" t="s">
        <v>702</v>
      </c>
      <c r="B252" s="3">
        <v>34.799999999999997</v>
      </c>
      <c r="C252" s="5">
        <v>41.844000000000001</v>
      </c>
      <c r="D252" s="5">
        <f t="shared" si="3"/>
        <v>7.044000000000004</v>
      </c>
      <c r="E252" t="s">
        <v>21</v>
      </c>
      <c r="F252" t="s">
        <v>10</v>
      </c>
      <c r="G252" t="s">
        <v>703</v>
      </c>
      <c r="H252" t="s">
        <v>704</v>
      </c>
      <c r="I252" s="16">
        <v>18</v>
      </c>
      <c r="J252" s="16">
        <v>17</v>
      </c>
      <c r="K252" s="16">
        <v>16</v>
      </c>
      <c r="L252" s="16">
        <v>43.1</v>
      </c>
      <c r="M252" t="s">
        <v>891</v>
      </c>
      <c r="N252" s="16">
        <v>44</v>
      </c>
      <c r="O252" t="s">
        <v>891</v>
      </c>
      <c r="P252" s="16">
        <v>16</v>
      </c>
      <c r="Q252" t="s">
        <v>892</v>
      </c>
      <c r="R252" t="s">
        <v>907</v>
      </c>
      <c r="S252" t="s">
        <v>1184</v>
      </c>
      <c r="T252" t="s">
        <v>895</v>
      </c>
      <c r="U252" t="s">
        <v>896</v>
      </c>
      <c r="V252" t="s">
        <v>10</v>
      </c>
      <c r="W252" s="16">
        <v>1</v>
      </c>
      <c r="X252" s="17" t="s">
        <v>966</v>
      </c>
    </row>
    <row r="253" spans="1:24" ht="18" x14ac:dyDescent="0.2">
      <c r="A253" s="12" t="s">
        <v>705</v>
      </c>
      <c r="B253" s="3">
        <v>21.67</v>
      </c>
      <c r="C253" s="5">
        <v>51.216000000000001</v>
      </c>
      <c r="D253" s="5">
        <f t="shared" si="3"/>
        <v>29.545999999999999</v>
      </c>
      <c r="E253" t="s">
        <v>25</v>
      </c>
      <c r="F253" t="s">
        <v>10</v>
      </c>
      <c r="G253" t="s">
        <v>706</v>
      </c>
      <c r="H253" t="s">
        <v>707</v>
      </c>
      <c r="I253" s="16">
        <v>15</v>
      </c>
      <c r="J253" s="16">
        <v>13</v>
      </c>
      <c r="K253" s="16">
        <v>11</v>
      </c>
      <c r="L253" s="16">
        <v>26.4</v>
      </c>
      <c r="M253" t="s">
        <v>891</v>
      </c>
      <c r="N253" s="16">
        <v>27</v>
      </c>
      <c r="O253" t="s">
        <v>891</v>
      </c>
      <c r="P253" s="16">
        <v>11.34</v>
      </c>
      <c r="Q253" t="s">
        <v>892</v>
      </c>
      <c r="R253" t="s">
        <v>979</v>
      </c>
      <c r="S253" t="s">
        <v>1185</v>
      </c>
      <c r="T253" t="s">
        <v>895</v>
      </c>
      <c r="U253" t="s">
        <v>896</v>
      </c>
      <c r="V253" t="s">
        <v>10</v>
      </c>
      <c r="W253" s="16">
        <v>11.34</v>
      </c>
      <c r="X253" s="17" t="s">
        <v>909</v>
      </c>
    </row>
    <row r="254" spans="1:24" ht="18" x14ac:dyDescent="0.2">
      <c r="A254" s="12" t="s">
        <v>708</v>
      </c>
      <c r="B254" s="3">
        <v>20.38</v>
      </c>
      <c r="C254" s="5">
        <v>39.588999999999999</v>
      </c>
      <c r="D254" s="5">
        <f t="shared" si="3"/>
        <v>19.209</v>
      </c>
      <c r="E254" t="s">
        <v>25</v>
      </c>
      <c r="F254" t="s">
        <v>10</v>
      </c>
      <c r="G254" t="s">
        <v>709</v>
      </c>
      <c r="H254" t="s">
        <v>710</v>
      </c>
      <c r="I254" s="16">
        <v>15</v>
      </c>
      <c r="J254" s="16">
        <v>15</v>
      </c>
      <c r="K254" s="16">
        <v>11</v>
      </c>
      <c r="L254" s="16">
        <v>27</v>
      </c>
      <c r="M254" t="s">
        <v>891</v>
      </c>
      <c r="N254" s="16">
        <v>27</v>
      </c>
      <c r="O254" t="s">
        <v>891</v>
      </c>
      <c r="P254" s="16">
        <v>15</v>
      </c>
      <c r="Q254" t="s">
        <v>892</v>
      </c>
      <c r="R254" t="s">
        <v>893</v>
      </c>
      <c r="S254" t="s">
        <v>1186</v>
      </c>
      <c r="T254" t="s">
        <v>895</v>
      </c>
      <c r="U254" t="s">
        <v>896</v>
      </c>
      <c r="V254" t="s">
        <v>10</v>
      </c>
      <c r="W254" s="16">
        <v>15</v>
      </c>
      <c r="X254" s="17" t="s">
        <v>1187</v>
      </c>
    </row>
    <row r="255" spans="1:24" ht="18" x14ac:dyDescent="0.2">
      <c r="A255" s="12" t="s">
        <v>711</v>
      </c>
      <c r="B255" s="3">
        <v>33.659999999999997</v>
      </c>
      <c r="C255" s="5">
        <v>74.613</v>
      </c>
      <c r="D255" s="5">
        <f t="shared" si="3"/>
        <v>40.953000000000003</v>
      </c>
      <c r="E255" t="s">
        <v>35</v>
      </c>
      <c r="F255" t="s">
        <v>10</v>
      </c>
      <c r="G255" t="s">
        <v>712</v>
      </c>
      <c r="H255" t="s">
        <v>713</v>
      </c>
      <c r="I255" s="16">
        <v>19</v>
      </c>
      <c r="J255" s="16">
        <v>16</v>
      </c>
      <c r="K255" s="16">
        <v>16</v>
      </c>
      <c r="L255" s="16">
        <v>65.400000000000006</v>
      </c>
      <c r="M255" t="s">
        <v>891</v>
      </c>
      <c r="N255" s="16">
        <v>66</v>
      </c>
      <c r="O255" t="s">
        <v>891</v>
      </c>
      <c r="P255" s="16">
        <v>19.5</v>
      </c>
      <c r="Q255" t="s">
        <v>892</v>
      </c>
      <c r="R255" t="s">
        <v>917</v>
      </c>
      <c r="S255" t="s">
        <v>1188</v>
      </c>
      <c r="T255" t="s">
        <v>895</v>
      </c>
      <c r="U255" t="s">
        <v>896</v>
      </c>
      <c r="V255" t="s">
        <v>10</v>
      </c>
      <c r="W255" s="16">
        <v>19.504000000000001</v>
      </c>
      <c r="X255" s="17" t="s">
        <v>1107</v>
      </c>
    </row>
    <row r="256" spans="1:24" ht="18" x14ac:dyDescent="0.2">
      <c r="A256" s="12" t="s">
        <v>714</v>
      </c>
      <c r="B256" s="3">
        <v>18.64</v>
      </c>
      <c r="C256" s="5">
        <v>31.437999999999999</v>
      </c>
      <c r="D256" s="5">
        <f t="shared" si="3"/>
        <v>12.797999999999998</v>
      </c>
      <c r="E256" t="s">
        <v>21</v>
      </c>
      <c r="F256" t="s">
        <v>10</v>
      </c>
      <c r="G256" t="s">
        <v>715</v>
      </c>
      <c r="H256" t="s">
        <v>716</v>
      </c>
      <c r="I256" s="16">
        <v>18</v>
      </c>
      <c r="J256" s="16">
        <v>16</v>
      </c>
      <c r="K256" s="16">
        <v>12</v>
      </c>
      <c r="L256" s="16">
        <v>39.5</v>
      </c>
      <c r="M256" t="s">
        <v>891</v>
      </c>
      <c r="N256" s="16">
        <v>40</v>
      </c>
      <c r="O256" t="s">
        <v>891</v>
      </c>
      <c r="P256" s="16">
        <v>7.71</v>
      </c>
      <c r="Q256" t="s">
        <v>892</v>
      </c>
      <c r="R256" t="s">
        <v>917</v>
      </c>
      <c r="S256" t="s">
        <v>1189</v>
      </c>
      <c r="T256" t="s">
        <v>895</v>
      </c>
      <c r="U256" t="s">
        <v>896</v>
      </c>
      <c r="V256" t="s">
        <v>10</v>
      </c>
      <c r="W256" s="16">
        <v>5.4429999999999996</v>
      </c>
      <c r="X256" s="17" t="s">
        <v>1190</v>
      </c>
    </row>
    <row r="257" spans="1:24" ht="18" x14ac:dyDescent="0.2">
      <c r="A257" s="12" t="s">
        <v>717</v>
      </c>
      <c r="B257" s="3">
        <v>36.630000000000003</v>
      </c>
      <c r="C257" s="5">
        <v>71.543999999999997</v>
      </c>
      <c r="D257" s="5">
        <f t="shared" si="3"/>
        <v>34.913999999999994</v>
      </c>
      <c r="E257" t="s">
        <v>417</v>
      </c>
      <c r="F257" t="s">
        <v>10</v>
      </c>
      <c r="G257" t="s">
        <v>718</v>
      </c>
      <c r="H257" t="s">
        <v>719</v>
      </c>
      <c r="I257" s="16">
        <v>76</v>
      </c>
      <c r="J257" s="16">
        <v>46</v>
      </c>
      <c r="K257" s="16">
        <v>20</v>
      </c>
      <c r="L257" s="16">
        <v>51</v>
      </c>
      <c r="M257" t="s">
        <v>891</v>
      </c>
      <c r="N257" s="16">
        <v>51</v>
      </c>
      <c r="O257" t="s">
        <v>891</v>
      </c>
      <c r="P257" s="16">
        <v>21.5</v>
      </c>
      <c r="Q257" t="s">
        <v>892</v>
      </c>
      <c r="R257" t="s">
        <v>976</v>
      </c>
      <c r="S257" t="s">
        <v>1042</v>
      </c>
      <c r="T257" t="s">
        <v>895</v>
      </c>
      <c r="U257" t="s">
        <v>896</v>
      </c>
      <c r="V257" t="s">
        <v>10</v>
      </c>
      <c r="W257" s="16">
        <v>21.5</v>
      </c>
      <c r="X257" s="17" t="s">
        <v>1191</v>
      </c>
    </row>
    <row r="258" spans="1:24" ht="18" x14ac:dyDescent="0.2">
      <c r="A258" s="12" t="s">
        <v>720</v>
      </c>
      <c r="B258" s="3">
        <v>88.7</v>
      </c>
      <c r="C258" s="5">
        <v>204.71</v>
      </c>
      <c r="D258" s="5">
        <f t="shared" ref="D258:D307" si="4">C258-B258</f>
        <v>116.01</v>
      </c>
      <c r="E258" t="s">
        <v>353</v>
      </c>
      <c r="F258" t="s">
        <v>10</v>
      </c>
      <c r="G258" t="s">
        <v>721</v>
      </c>
      <c r="H258" t="s">
        <v>722</v>
      </c>
      <c r="I258" s="16">
        <v>48</v>
      </c>
      <c r="J258" s="16">
        <v>48</v>
      </c>
      <c r="K258" s="16">
        <v>36</v>
      </c>
      <c r="L258" s="16">
        <v>62.4</v>
      </c>
      <c r="M258" t="s">
        <v>891</v>
      </c>
      <c r="N258" s="16">
        <v>63</v>
      </c>
      <c r="O258" t="s">
        <v>891</v>
      </c>
      <c r="P258" s="16">
        <v>29.03</v>
      </c>
      <c r="Q258" t="s">
        <v>892</v>
      </c>
      <c r="R258" t="s">
        <v>907</v>
      </c>
      <c r="S258" t="s">
        <v>1192</v>
      </c>
      <c r="T258" t="s">
        <v>895</v>
      </c>
      <c r="U258" t="s">
        <v>896</v>
      </c>
      <c r="V258" t="s">
        <v>10</v>
      </c>
      <c r="W258" s="16">
        <v>29.03</v>
      </c>
      <c r="X258" s="17" t="s">
        <v>1193</v>
      </c>
    </row>
    <row r="259" spans="1:24" ht="18" x14ac:dyDescent="0.2">
      <c r="A259" s="12" t="s">
        <v>723</v>
      </c>
      <c r="B259" s="3">
        <v>95.69</v>
      </c>
      <c r="C259" s="5">
        <v>237.83099999999999</v>
      </c>
      <c r="D259" s="5">
        <f t="shared" si="4"/>
        <v>142.14099999999999</v>
      </c>
      <c r="E259" t="s">
        <v>35</v>
      </c>
      <c r="F259" t="s">
        <v>10</v>
      </c>
      <c r="G259" t="s">
        <v>724</v>
      </c>
      <c r="H259" t="s">
        <v>725</v>
      </c>
      <c r="I259" s="16">
        <v>19</v>
      </c>
      <c r="J259" s="16">
        <v>16</v>
      </c>
      <c r="K259" s="16">
        <v>16</v>
      </c>
      <c r="L259" s="16">
        <v>66.099999999999994</v>
      </c>
      <c r="M259" t="s">
        <v>891</v>
      </c>
      <c r="N259" s="16">
        <v>67</v>
      </c>
      <c r="O259" t="s">
        <v>891</v>
      </c>
      <c r="P259" s="16">
        <v>24.04</v>
      </c>
      <c r="Q259" t="s">
        <v>892</v>
      </c>
      <c r="R259" t="s">
        <v>898</v>
      </c>
      <c r="S259" t="s">
        <v>1194</v>
      </c>
      <c r="T259" t="s">
        <v>895</v>
      </c>
      <c r="U259" t="s">
        <v>896</v>
      </c>
      <c r="V259" t="s">
        <v>10</v>
      </c>
      <c r="W259" s="16">
        <v>24.04</v>
      </c>
      <c r="X259" s="17" t="s">
        <v>1195</v>
      </c>
    </row>
    <row r="260" spans="1:24" ht="18" x14ac:dyDescent="0.2">
      <c r="A260" s="12" t="s">
        <v>726</v>
      </c>
      <c r="B260" s="3">
        <v>84.13</v>
      </c>
      <c r="C260" s="5">
        <v>88.66</v>
      </c>
      <c r="D260" s="5">
        <f t="shared" si="4"/>
        <v>4.5300000000000011</v>
      </c>
      <c r="E260" t="s">
        <v>108</v>
      </c>
      <c r="F260" t="s">
        <v>10</v>
      </c>
      <c r="G260" t="s">
        <v>727</v>
      </c>
      <c r="H260" t="s">
        <v>728</v>
      </c>
      <c r="I260" s="16">
        <v>19</v>
      </c>
      <c r="J260" s="16">
        <v>19</v>
      </c>
      <c r="K260" s="16">
        <v>15</v>
      </c>
      <c r="L260" s="16">
        <v>61.2</v>
      </c>
      <c r="M260" t="s">
        <v>891</v>
      </c>
      <c r="N260" s="16">
        <v>62</v>
      </c>
      <c r="O260" t="s">
        <v>891</v>
      </c>
      <c r="P260" s="16">
        <v>25.4</v>
      </c>
      <c r="Q260" t="s">
        <v>892</v>
      </c>
      <c r="R260" t="s">
        <v>967</v>
      </c>
      <c r="S260" t="s">
        <v>1196</v>
      </c>
      <c r="T260" t="s">
        <v>895</v>
      </c>
      <c r="U260" t="s">
        <v>896</v>
      </c>
      <c r="V260" t="s">
        <v>10</v>
      </c>
      <c r="W260" s="16">
        <v>25.401</v>
      </c>
      <c r="X260" s="17" t="s">
        <v>1197</v>
      </c>
    </row>
    <row r="261" spans="1:24" ht="18" x14ac:dyDescent="0.2">
      <c r="A261" s="12" t="s">
        <v>729</v>
      </c>
      <c r="B261" s="3">
        <v>27.26</v>
      </c>
      <c r="C261" s="5">
        <v>30.228000000000002</v>
      </c>
      <c r="D261" s="5">
        <f t="shared" si="4"/>
        <v>2.968</v>
      </c>
      <c r="E261" t="s">
        <v>25</v>
      </c>
      <c r="F261" t="s">
        <v>10</v>
      </c>
      <c r="G261" t="s">
        <v>730</v>
      </c>
      <c r="H261" t="s">
        <v>731</v>
      </c>
      <c r="I261" s="16">
        <v>16</v>
      </c>
      <c r="J261" s="16">
        <v>16</v>
      </c>
      <c r="K261" s="16">
        <v>12</v>
      </c>
      <c r="L261" s="16">
        <v>29.7</v>
      </c>
      <c r="M261" t="s">
        <v>891</v>
      </c>
      <c r="N261" s="16">
        <v>30</v>
      </c>
      <c r="O261" t="s">
        <v>891</v>
      </c>
      <c r="P261" s="16">
        <v>11.5</v>
      </c>
      <c r="Q261" t="s">
        <v>892</v>
      </c>
      <c r="R261" t="s">
        <v>944</v>
      </c>
      <c r="S261" t="s">
        <v>1198</v>
      </c>
      <c r="T261" t="s">
        <v>895</v>
      </c>
      <c r="U261" t="s">
        <v>896</v>
      </c>
      <c r="V261" t="s">
        <v>10</v>
      </c>
      <c r="W261" s="16">
        <v>1</v>
      </c>
      <c r="X261" s="17" t="s">
        <v>1199</v>
      </c>
    </row>
    <row r="262" spans="1:24" ht="18" x14ac:dyDescent="0.2">
      <c r="A262" s="12" t="s">
        <v>732</v>
      </c>
      <c r="B262" s="3">
        <v>24.39</v>
      </c>
      <c r="C262" s="5">
        <v>46.683999999999997</v>
      </c>
      <c r="D262" s="5">
        <f t="shared" si="4"/>
        <v>22.293999999999997</v>
      </c>
      <c r="E262" t="s">
        <v>14</v>
      </c>
      <c r="F262" t="s">
        <v>10</v>
      </c>
      <c r="G262" t="s">
        <v>733</v>
      </c>
      <c r="H262" t="s">
        <v>734</v>
      </c>
      <c r="I262" s="16">
        <v>16</v>
      </c>
      <c r="J262" s="16">
        <v>16</v>
      </c>
      <c r="K262" s="16">
        <v>12</v>
      </c>
      <c r="L262" s="16">
        <v>26.8</v>
      </c>
      <c r="M262" t="s">
        <v>891</v>
      </c>
      <c r="N262" s="16">
        <v>27</v>
      </c>
      <c r="O262" t="s">
        <v>891</v>
      </c>
      <c r="P262" s="16">
        <v>10.199999999999999</v>
      </c>
      <c r="Q262" t="s">
        <v>892</v>
      </c>
      <c r="R262" t="s">
        <v>939</v>
      </c>
      <c r="S262" t="s">
        <v>1200</v>
      </c>
      <c r="T262" t="s">
        <v>895</v>
      </c>
      <c r="U262" t="s">
        <v>896</v>
      </c>
      <c r="V262" t="s">
        <v>10</v>
      </c>
      <c r="W262" s="16">
        <v>10.206</v>
      </c>
      <c r="X262" s="17" t="s">
        <v>1201</v>
      </c>
    </row>
    <row r="263" spans="1:24" ht="18" x14ac:dyDescent="0.2">
      <c r="A263" s="12" t="s">
        <v>735</v>
      </c>
      <c r="B263" s="3">
        <v>65.55</v>
      </c>
      <c r="C263" s="5">
        <v>70.488</v>
      </c>
      <c r="D263" s="5">
        <f t="shared" si="4"/>
        <v>4.9380000000000024</v>
      </c>
      <c r="E263" t="s">
        <v>35</v>
      </c>
      <c r="F263" t="s">
        <v>10</v>
      </c>
      <c r="G263" t="s">
        <v>736</v>
      </c>
      <c r="H263" t="s">
        <v>737</v>
      </c>
      <c r="I263" s="16">
        <v>20</v>
      </c>
      <c r="J263" s="16">
        <v>16</v>
      </c>
      <c r="K263" s="16">
        <v>16</v>
      </c>
      <c r="L263" s="16">
        <v>66.599999999999994</v>
      </c>
      <c r="M263" t="s">
        <v>891</v>
      </c>
      <c r="N263" s="16">
        <v>67</v>
      </c>
      <c r="O263" t="s">
        <v>891</v>
      </c>
      <c r="P263" s="16">
        <v>26.3</v>
      </c>
      <c r="Q263" t="s">
        <v>892</v>
      </c>
      <c r="R263" t="s">
        <v>930</v>
      </c>
      <c r="S263" t="s">
        <v>1202</v>
      </c>
      <c r="T263" t="s">
        <v>895</v>
      </c>
      <c r="U263" t="s">
        <v>896</v>
      </c>
      <c r="V263" t="s">
        <v>10</v>
      </c>
      <c r="W263" s="16">
        <v>26.308</v>
      </c>
      <c r="X263" s="17" t="s">
        <v>1081</v>
      </c>
    </row>
    <row r="264" spans="1:24" ht="18" x14ac:dyDescent="0.2">
      <c r="A264" s="12" t="s">
        <v>738</v>
      </c>
      <c r="B264" s="3">
        <v>27.26</v>
      </c>
      <c r="C264" s="5">
        <v>42.856000000000002</v>
      </c>
      <c r="D264" s="5">
        <f t="shared" si="4"/>
        <v>15.596</v>
      </c>
      <c r="E264" t="s">
        <v>139</v>
      </c>
      <c r="F264" t="s">
        <v>10</v>
      </c>
      <c r="G264" t="s">
        <v>739</v>
      </c>
      <c r="H264" t="s">
        <v>740</v>
      </c>
      <c r="I264" s="16">
        <v>74</v>
      </c>
      <c r="J264" s="16">
        <v>48</v>
      </c>
      <c r="K264" s="16">
        <v>20</v>
      </c>
      <c r="L264" s="16">
        <v>46.3</v>
      </c>
      <c r="M264" t="s">
        <v>891</v>
      </c>
      <c r="N264" s="16">
        <v>47</v>
      </c>
      <c r="O264" t="s">
        <v>891</v>
      </c>
      <c r="P264" s="16">
        <v>2.72</v>
      </c>
      <c r="Q264" t="s">
        <v>892</v>
      </c>
      <c r="R264" t="s">
        <v>901</v>
      </c>
      <c r="S264" t="s">
        <v>1203</v>
      </c>
      <c r="T264" t="s">
        <v>895</v>
      </c>
      <c r="U264" t="s">
        <v>896</v>
      </c>
      <c r="V264" t="s">
        <v>10</v>
      </c>
      <c r="W264" s="16">
        <v>0</v>
      </c>
      <c r="X264" s="17" t="s">
        <v>903</v>
      </c>
    </row>
    <row r="265" spans="1:24" ht="18" x14ac:dyDescent="0.2">
      <c r="A265" s="12" t="s">
        <v>741</v>
      </c>
      <c r="B265" s="3">
        <v>108.51</v>
      </c>
      <c r="C265" s="5">
        <v>270.52300000000002</v>
      </c>
      <c r="D265" s="5">
        <f t="shared" si="4"/>
        <v>162.01300000000003</v>
      </c>
      <c r="E265" t="s">
        <v>742</v>
      </c>
      <c r="F265" t="s">
        <v>10</v>
      </c>
      <c r="G265" t="s">
        <v>743</v>
      </c>
      <c r="H265" t="s">
        <v>744</v>
      </c>
      <c r="I265" s="16">
        <v>71</v>
      </c>
      <c r="J265" s="16">
        <v>51</v>
      </c>
      <c r="K265" s="16">
        <v>51</v>
      </c>
      <c r="L265" s="16">
        <v>113.4</v>
      </c>
      <c r="M265" t="s">
        <v>891</v>
      </c>
      <c r="N265" s="16">
        <v>114</v>
      </c>
      <c r="O265" t="s">
        <v>891</v>
      </c>
      <c r="P265" s="16">
        <v>48.21</v>
      </c>
      <c r="Q265" t="s">
        <v>892</v>
      </c>
      <c r="R265" t="s">
        <v>923</v>
      </c>
      <c r="S265" t="s">
        <v>1204</v>
      </c>
      <c r="T265" t="s">
        <v>895</v>
      </c>
      <c r="U265" t="s">
        <v>896</v>
      </c>
      <c r="V265" t="s">
        <v>10</v>
      </c>
      <c r="W265" s="16">
        <v>48.216999999999999</v>
      </c>
      <c r="X265" s="17" t="s">
        <v>1205</v>
      </c>
    </row>
    <row r="266" spans="1:24" ht="18" x14ac:dyDescent="0.2">
      <c r="A266" s="12" t="s">
        <v>745</v>
      </c>
      <c r="B266" s="3">
        <v>23.72</v>
      </c>
      <c r="C266" s="5">
        <v>30.228000000000002</v>
      </c>
      <c r="D266" s="5">
        <f t="shared" si="4"/>
        <v>6.5080000000000027</v>
      </c>
      <c r="E266" t="s">
        <v>25</v>
      </c>
      <c r="F266" t="s">
        <v>10</v>
      </c>
      <c r="G266" t="s">
        <v>746</v>
      </c>
      <c r="H266" t="s">
        <v>747</v>
      </c>
      <c r="I266" s="16">
        <v>16</v>
      </c>
      <c r="J266" s="16">
        <v>16</v>
      </c>
      <c r="K266" s="16">
        <v>12</v>
      </c>
      <c r="L266" s="16">
        <v>30</v>
      </c>
      <c r="M266" t="s">
        <v>891</v>
      </c>
      <c r="N266" s="16">
        <v>30</v>
      </c>
      <c r="O266" t="s">
        <v>891</v>
      </c>
      <c r="P266" s="16">
        <v>9.8800000000000008</v>
      </c>
      <c r="Q266" t="s">
        <v>892</v>
      </c>
      <c r="R266" t="s">
        <v>898</v>
      </c>
      <c r="S266" t="s">
        <v>1206</v>
      </c>
      <c r="T266" t="s">
        <v>895</v>
      </c>
      <c r="U266" t="s">
        <v>896</v>
      </c>
      <c r="V266" t="s">
        <v>10</v>
      </c>
      <c r="W266" s="16">
        <v>9.8879999999999999</v>
      </c>
      <c r="X266" s="17" t="s">
        <v>1207</v>
      </c>
    </row>
    <row r="267" spans="1:24" ht="18" x14ac:dyDescent="0.2">
      <c r="A267" s="12" t="s">
        <v>748</v>
      </c>
      <c r="B267" s="3">
        <v>32.22</v>
      </c>
      <c r="C267" s="5">
        <v>38.070999999999998</v>
      </c>
      <c r="D267" s="5">
        <f t="shared" si="4"/>
        <v>5.8509999999999991</v>
      </c>
      <c r="E267" t="s">
        <v>25</v>
      </c>
      <c r="F267" t="s">
        <v>10</v>
      </c>
      <c r="G267" t="s">
        <v>749</v>
      </c>
      <c r="H267" t="s">
        <v>750</v>
      </c>
      <c r="I267" s="16">
        <v>20</v>
      </c>
      <c r="J267" s="16">
        <v>16</v>
      </c>
      <c r="K267" s="16">
        <v>15</v>
      </c>
      <c r="L267" s="16">
        <v>29.3</v>
      </c>
      <c r="M267" t="s">
        <v>891</v>
      </c>
      <c r="N267" s="16">
        <v>30</v>
      </c>
      <c r="O267" t="s">
        <v>891</v>
      </c>
      <c r="P267" s="16">
        <v>11.34</v>
      </c>
      <c r="Q267" t="s">
        <v>892</v>
      </c>
      <c r="R267" t="s">
        <v>1178</v>
      </c>
      <c r="S267" t="s">
        <v>1208</v>
      </c>
      <c r="T267" t="s">
        <v>895</v>
      </c>
      <c r="U267" t="s">
        <v>896</v>
      </c>
      <c r="V267" t="s">
        <v>10</v>
      </c>
      <c r="W267" s="16">
        <v>11.34</v>
      </c>
      <c r="X267" s="17" t="s">
        <v>909</v>
      </c>
    </row>
    <row r="268" spans="1:24" ht="18" x14ac:dyDescent="0.2">
      <c r="A268" s="12" t="s">
        <v>751</v>
      </c>
      <c r="B268" s="3">
        <v>19.690000000000001</v>
      </c>
      <c r="C268" s="5">
        <v>44.209000000000003</v>
      </c>
      <c r="D268" s="5">
        <f t="shared" si="4"/>
        <v>24.519000000000002</v>
      </c>
      <c r="E268" t="s">
        <v>47</v>
      </c>
      <c r="F268" t="s">
        <v>10</v>
      </c>
      <c r="G268" t="s">
        <v>752</v>
      </c>
      <c r="H268" t="s">
        <v>753</v>
      </c>
      <c r="I268" s="16">
        <v>17</v>
      </c>
      <c r="J268" s="16">
        <v>13</v>
      </c>
      <c r="K268" s="16">
        <v>10</v>
      </c>
      <c r="L268" s="16">
        <v>13</v>
      </c>
      <c r="M268" t="s">
        <v>891</v>
      </c>
      <c r="N268" s="16">
        <v>16</v>
      </c>
      <c r="O268" t="s">
        <v>891</v>
      </c>
      <c r="P268" s="16">
        <v>4.53</v>
      </c>
      <c r="Q268" t="s">
        <v>892</v>
      </c>
      <c r="R268" t="s">
        <v>944</v>
      </c>
      <c r="S268" t="s">
        <v>1209</v>
      </c>
      <c r="T268" t="s">
        <v>895</v>
      </c>
      <c r="U268" t="s">
        <v>896</v>
      </c>
      <c r="V268" t="s">
        <v>10</v>
      </c>
      <c r="W268" s="16">
        <v>4.5359999999999996</v>
      </c>
      <c r="X268" s="17" t="s">
        <v>1210</v>
      </c>
    </row>
    <row r="269" spans="1:24" ht="18" x14ac:dyDescent="0.2">
      <c r="A269" s="12" t="s">
        <v>754</v>
      </c>
      <c r="B269" s="3">
        <v>26.2</v>
      </c>
      <c r="C269" s="5">
        <v>130.416</v>
      </c>
      <c r="D269" s="5">
        <f t="shared" si="4"/>
        <v>104.21599999999999</v>
      </c>
      <c r="E269" t="s">
        <v>25</v>
      </c>
      <c r="F269" t="s">
        <v>10</v>
      </c>
      <c r="G269" t="s">
        <v>755</v>
      </c>
      <c r="H269" t="s">
        <v>756</v>
      </c>
      <c r="I269" s="16">
        <v>15</v>
      </c>
      <c r="J269" s="16">
        <v>12</v>
      </c>
      <c r="K269" s="16">
        <v>12</v>
      </c>
      <c r="L269" s="16">
        <v>28.2</v>
      </c>
      <c r="M269" t="s">
        <v>891</v>
      </c>
      <c r="N269" s="16">
        <v>29</v>
      </c>
      <c r="O269" t="s">
        <v>891</v>
      </c>
      <c r="P269" s="16">
        <v>11.34</v>
      </c>
      <c r="Q269" t="s">
        <v>892</v>
      </c>
      <c r="R269" t="s">
        <v>1211</v>
      </c>
      <c r="S269" t="s">
        <v>1212</v>
      </c>
      <c r="T269" t="s">
        <v>895</v>
      </c>
      <c r="U269" t="s">
        <v>896</v>
      </c>
      <c r="V269" t="s">
        <v>10</v>
      </c>
      <c r="W269" s="16">
        <v>11.34</v>
      </c>
      <c r="X269" s="17" t="s">
        <v>909</v>
      </c>
    </row>
    <row r="270" spans="1:24" ht="18" x14ac:dyDescent="0.2">
      <c r="A270" s="12" t="s">
        <v>757</v>
      </c>
      <c r="B270" s="3">
        <v>74.12</v>
      </c>
      <c r="C270" s="5">
        <v>89.638999999999996</v>
      </c>
      <c r="D270" s="5">
        <f t="shared" si="4"/>
        <v>15.518999999999991</v>
      </c>
      <c r="E270" t="s">
        <v>309</v>
      </c>
      <c r="F270" t="s">
        <v>10</v>
      </c>
      <c r="G270" t="s">
        <v>758</v>
      </c>
      <c r="H270" t="s">
        <v>759</v>
      </c>
      <c r="I270" s="16">
        <v>28</v>
      </c>
      <c r="J270" s="16">
        <v>20</v>
      </c>
      <c r="K270" s="16">
        <v>20</v>
      </c>
      <c r="L270" s="16">
        <v>95.5</v>
      </c>
      <c r="M270" t="s">
        <v>891</v>
      </c>
      <c r="N270" s="16">
        <v>96</v>
      </c>
      <c r="O270" t="s">
        <v>891</v>
      </c>
      <c r="P270" s="16">
        <v>38.1</v>
      </c>
      <c r="Q270" t="s">
        <v>892</v>
      </c>
      <c r="R270" t="s">
        <v>928</v>
      </c>
      <c r="S270" t="s">
        <v>1213</v>
      </c>
      <c r="T270" t="s">
        <v>895</v>
      </c>
      <c r="U270" t="s">
        <v>896</v>
      </c>
      <c r="V270" t="s">
        <v>10</v>
      </c>
      <c r="W270" s="16">
        <v>0</v>
      </c>
      <c r="X270" s="17" t="s">
        <v>1214</v>
      </c>
    </row>
    <row r="271" spans="1:24" ht="18" x14ac:dyDescent="0.2">
      <c r="A271" s="12" t="s">
        <v>760</v>
      </c>
      <c r="B271" s="3">
        <v>21.73</v>
      </c>
      <c r="C271" s="5">
        <v>25.135000000000002</v>
      </c>
      <c r="D271" s="5">
        <f t="shared" si="4"/>
        <v>3.4050000000000011</v>
      </c>
      <c r="E271" t="s">
        <v>25</v>
      </c>
      <c r="F271" t="s">
        <v>10</v>
      </c>
      <c r="G271" t="s">
        <v>761</v>
      </c>
      <c r="H271" t="s">
        <v>762</v>
      </c>
      <c r="I271" s="16">
        <v>27</v>
      </c>
      <c r="J271" s="16">
        <v>19</v>
      </c>
      <c r="K271" s="16">
        <v>19</v>
      </c>
      <c r="L271" s="16"/>
      <c r="N271" s="16">
        <v>59</v>
      </c>
      <c r="O271" t="s">
        <v>891</v>
      </c>
      <c r="P271" s="16">
        <v>17.23</v>
      </c>
      <c r="Q271" t="s">
        <v>892</v>
      </c>
      <c r="R271" t="s">
        <v>895</v>
      </c>
      <c r="S271" t="s">
        <v>1215</v>
      </c>
      <c r="T271" t="s">
        <v>895</v>
      </c>
      <c r="U271" t="s">
        <v>896</v>
      </c>
      <c r="V271" t="s">
        <v>10</v>
      </c>
      <c r="W271" s="16">
        <v>17.236999999999998</v>
      </c>
      <c r="X271" s="17" t="s">
        <v>906</v>
      </c>
    </row>
    <row r="272" spans="1:24" ht="18" x14ac:dyDescent="0.2">
      <c r="A272" s="12" t="s">
        <v>763</v>
      </c>
      <c r="B272" s="3">
        <v>36.44</v>
      </c>
      <c r="C272" s="5">
        <v>39.039000000000001</v>
      </c>
      <c r="D272" s="5">
        <f t="shared" si="4"/>
        <v>2.5990000000000038</v>
      </c>
      <c r="E272" t="s">
        <v>21</v>
      </c>
      <c r="F272" t="s">
        <v>10</v>
      </c>
      <c r="G272" t="s">
        <v>764</v>
      </c>
      <c r="H272" t="s">
        <v>765</v>
      </c>
      <c r="I272" s="16">
        <v>19</v>
      </c>
      <c r="J272" s="16">
        <v>19</v>
      </c>
      <c r="K272" s="16">
        <v>14</v>
      </c>
      <c r="L272" s="16">
        <v>41.5</v>
      </c>
      <c r="M272" t="s">
        <v>891</v>
      </c>
      <c r="N272" s="16">
        <v>42</v>
      </c>
      <c r="O272" t="s">
        <v>891</v>
      </c>
      <c r="P272" s="16">
        <v>17.23</v>
      </c>
      <c r="Q272" t="s">
        <v>892</v>
      </c>
      <c r="R272" t="s">
        <v>901</v>
      </c>
      <c r="S272" t="s">
        <v>1216</v>
      </c>
      <c r="T272" t="s">
        <v>895</v>
      </c>
      <c r="U272" t="s">
        <v>896</v>
      </c>
      <c r="V272" t="s">
        <v>10</v>
      </c>
      <c r="W272" s="16">
        <v>17.236999999999998</v>
      </c>
      <c r="X272" s="17" t="s">
        <v>906</v>
      </c>
    </row>
    <row r="273" spans="1:24" ht="18" x14ac:dyDescent="0.2">
      <c r="A273" s="12" t="s">
        <v>766</v>
      </c>
      <c r="B273" s="3">
        <v>65.37</v>
      </c>
      <c r="C273" s="5">
        <v>72.028000000000006</v>
      </c>
      <c r="D273" s="5">
        <f t="shared" si="4"/>
        <v>6.6580000000000013</v>
      </c>
      <c r="E273" t="s">
        <v>180</v>
      </c>
      <c r="F273" t="s">
        <v>10</v>
      </c>
      <c r="G273" t="s">
        <v>767</v>
      </c>
      <c r="H273" t="s">
        <v>768</v>
      </c>
      <c r="I273" s="16">
        <v>23</v>
      </c>
      <c r="J273" s="16">
        <v>22</v>
      </c>
      <c r="K273" s="16">
        <v>17</v>
      </c>
      <c r="L273" s="16">
        <v>71.400000000000006</v>
      </c>
      <c r="M273" t="s">
        <v>891</v>
      </c>
      <c r="N273" s="16">
        <v>72</v>
      </c>
      <c r="O273" t="s">
        <v>891</v>
      </c>
      <c r="P273" s="16">
        <v>25.4</v>
      </c>
      <c r="Q273" t="s">
        <v>892</v>
      </c>
      <c r="R273" t="s">
        <v>1029</v>
      </c>
      <c r="S273" t="s">
        <v>1217</v>
      </c>
      <c r="T273" t="s">
        <v>895</v>
      </c>
      <c r="U273" t="s">
        <v>896</v>
      </c>
      <c r="V273" t="s">
        <v>10</v>
      </c>
      <c r="W273" s="16">
        <v>25.401</v>
      </c>
      <c r="X273" s="17" t="s">
        <v>1084</v>
      </c>
    </row>
    <row r="274" spans="1:24" ht="18" x14ac:dyDescent="0.2">
      <c r="A274" s="12" t="s">
        <v>769</v>
      </c>
      <c r="B274" s="3">
        <v>21.67</v>
      </c>
      <c r="C274" s="5">
        <v>24.09</v>
      </c>
      <c r="D274" s="5">
        <f t="shared" si="4"/>
        <v>2.4199999999999982</v>
      </c>
      <c r="E274" t="s">
        <v>25</v>
      </c>
      <c r="F274" t="s">
        <v>10</v>
      </c>
      <c r="G274" t="s">
        <v>770</v>
      </c>
      <c r="H274" t="s">
        <v>771</v>
      </c>
      <c r="I274" s="16">
        <v>17</v>
      </c>
      <c r="J274" s="16">
        <v>12</v>
      </c>
      <c r="K274" s="16">
        <v>12</v>
      </c>
      <c r="L274" s="16">
        <v>27.9</v>
      </c>
      <c r="M274" t="s">
        <v>891</v>
      </c>
      <c r="N274" s="16">
        <v>28</v>
      </c>
      <c r="O274" t="s">
        <v>891</v>
      </c>
      <c r="P274" s="16">
        <v>11.34</v>
      </c>
      <c r="Q274" t="s">
        <v>892</v>
      </c>
      <c r="R274" t="s">
        <v>962</v>
      </c>
      <c r="S274" t="s">
        <v>1218</v>
      </c>
      <c r="T274" t="s">
        <v>895</v>
      </c>
      <c r="U274" t="s">
        <v>896</v>
      </c>
      <c r="V274" t="s">
        <v>10</v>
      </c>
      <c r="W274" s="16">
        <v>11.34</v>
      </c>
      <c r="X274" s="17" t="s">
        <v>909</v>
      </c>
    </row>
    <row r="275" spans="1:24" ht="18" x14ac:dyDescent="0.2">
      <c r="A275" s="12" t="s">
        <v>772</v>
      </c>
      <c r="B275" s="3">
        <v>110.77</v>
      </c>
      <c r="C275" s="5">
        <v>122.595</v>
      </c>
      <c r="D275" s="5">
        <f t="shared" si="4"/>
        <v>11.825000000000003</v>
      </c>
      <c r="E275" t="s">
        <v>773</v>
      </c>
      <c r="F275" t="s">
        <v>10</v>
      </c>
      <c r="G275" t="s">
        <v>774</v>
      </c>
      <c r="H275" t="s">
        <v>775</v>
      </c>
      <c r="I275" s="16">
        <v>66</v>
      </c>
      <c r="J275" s="16">
        <v>56</v>
      </c>
      <c r="K275" s="16">
        <v>41</v>
      </c>
      <c r="L275" s="16">
        <v>77.599999999999994</v>
      </c>
      <c r="M275" t="s">
        <v>891</v>
      </c>
      <c r="N275" s="16">
        <v>78</v>
      </c>
      <c r="O275" t="s">
        <v>891</v>
      </c>
      <c r="P275" s="16">
        <v>28.12</v>
      </c>
      <c r="Q275" t="s">
        <v>892</v>
      </c>
      <c r="R275" t="s">
        <v>910</v>
      </c>
      <c r="S275" t="s">
        <v>1219</v>
      </c>
      <c r="T275" t="s">
        <v>895</v>
      </c>
      <c r="U275" t="s">
        <v>896</v>
      </c>
      <c r="V275" t="s">
        <v>10</v>
      </c>
      <c r="W275" s="16">
        <v>0</v>
      </c>
      <c r="X275" s="17" t="s">
        <v>903</v>
      </c>
    </row>
    <row r="276" spans="1:24" ht="18" x14ac:dyDescent="0.2">
      <c r="A276" s="12" t="s">
        <v>776</v>
      </c>
      <c r="B276" s="3">
        <v>29.94</v>
      </c>
      <c r="C276" s="5">
        <v>38.070999999999998</v>
      </c>
      <c r="D276" s="5">
        <f t="shared" si="4"/>
        <v>8.1309999999999967</v>
      </c>
      <c r="E276" t="s">
        <v>25</v>
      </c>
      <c r="F276" t="s">
        <v>10</v>
      </c>
      <c r="G276" t="s">
        <v>777</v>
      </c>
      <c r="H276" t="s">
        <v>778</v>
      </c>
      <c r="I276" s="16">
        <v>16</v>
      </c>
      <c r="J276" s="16">
        <v>16</v>
      </c>
      <c r="K276" s="16">
        <v>12</v>
      </c>
      <c r="L276" s="16">
        <v>29.6</v>
      </c>
      <c r="M276" t="s">
        <v>891</v>
      </c>
      <c r="N276" s="16">
        <v>30</v>
      </c>
      <c r="O276" t="s">
        <v>891</v>
      </c>
      <c r="P276" s="16">
        <v>10.43</v>
      </c>
      <c r="Q276" t="s">
        <v>892</v>
      </c>
      <c r="R276" t="s">
        <v>1220</v>
      </c>
      <c r="S276" t="s">
        <v>1221</v>
      </c>
      <c r="T276" t="s">
        <v>895</v>
      </c>
      <c r="U276" t="s">
        <v>896</v>
      </c>
      <c r="V276" t="s">
        <v>10</v>
      </c>
      <c r="W276" s="16">
        <v>10.433</v>
      </c>
      <c r="X276" s="17" t="s">
        <v>985</v>
      </c>
    </row>
    <row r="277" spans="1:24" ht="18" x14ac:dyDescent="0.2">
      <c r="A277" s="12" t="s">
        <v>779</v>
      </c>
      <c r="B277" s="3">
        <v>19.43</v>
      </c>
      <c r="C277" s="5">
        <v>23.606000000000002</v>
      </c>
      <c r="D277" s="5">
        <f t="shared" si="4"/>
        <v>4.1760000000000019</v>
      </c>
      <c r="E277" t="s">
        <v>73</v>
      </c>
      <c r="F277" t="s">
        <v>10</v>
      </c>
      <c r="G277" t="s">
        <v>780</v>
      </c>
      <c r="H277" t="s">
        <v>781</v>
      </c>
      <c r="I277" s="16">
        <v>14</v>
      </c>
      <c r="J277" s="16">
        <v>14</v>
      </c>
      <c r="K277" s="16">
        <v>12</v>
      </c>
      <c r="L277" s="16">
        <v>18.8</v>
      </c>
      <c r="M277" t="s">
        <v>891</v>
      </c>
      <c r="N277" s="16">
        <v>19</v>
      </c>
      <c r="O277" t="s">
        <v>891</v>
      </c>
      <c r="P277" s="16">
        <v>5.89</v>
      </c>
      <c r="Q277" t="s">
        <v>892</v>
      </c>
      <c r="R277" t="s">
        <v>898</v>
      </c>
      <c r="S277" t="s">
        <v>1222</v>
      </c>
      <c r="T277" t="s">
        <v>895</v>
      </c>
      <c r="U277" t="s">
        <v>896</v>
      </c>
      <c r="V277" t="s">
        <v>10</v>
      </c>
      <c r="W277" s="16">
        <v>5.8970000000000002</v>
      </c>
      <c r="X277" s="17" t="s">
        <v>937</v>
      </c>
    </row>
    <row r="278" spans="1:24" ht="18" x14ac:dyDescent="0.2">
      <c r="A278" s="12" t="s">
        <v>782</v>
      </c>
      <c r="B278" s="3">
        <v>33.29</v>
      </c>
      <c r="C278" s="5">
        <v>46.343000000000004</v>
      </c>
      <c r="D278" s="5">
        <f t="shared" si="4"/>
        <v>13.053000000000004</v>
      </c>
      <c r="E278" t="s">
        <v>14</v>
      </c>
      <c r="F278" t="s">
        <v>10</v>
      </c>
      <c r="G278" t="s">
        <v>783</v>
      </c>
      <c r="H278" t="s">
        <v>784</v>
      </c>
      <c r="I278" s="16">
        <v>15</v>
      </c>
      <c r="J278" s="16">
        <v>15</v>
      </c>
      <c r="K278" s="16">
        <v>11</v>
      </c>
      <c r="L278" s="16">
        <v>25.6</v>
      </c>
      <c r="M278" t="s">
        <v>891</v>
      </c>
      <c r="N278" s="16">
        <v>26</v>
      </c>
      <c r="O278" t="s">
        <v>891</v>
      </c>
      <c r="P278" s="16">
        <v>7.71</v>
      </c>
      <c r="Q278" t="s">
        <v>892</v>
      </c>
      <c r="R278" t="s">
        <v>1055</v>
      </c>
      <c r="S278" t="s">
        <v>1223</v>
      </c>
      <c r="T278" t="s">
        <v>895</v>
      </c>
      <c r="U278" t="s">
        <v>896</v>
      </c>
      <c r="V278" t="s">
        <v>10</v>
      </c>
      <c r="W278" s="16">
        <v>7.7110000000000003</v>
      </c>
      <c r="X278" s="17" t="s">
        <v>961</v>
      </c>
    </row>
    <row r="279" spans="1:24" ht="18" x14ac:dyDescent="0.2">
      <c r="A279" s="12" t="s">
        <v>785</v>
      </c>
      <c r="B279" s="3">
        <v>23.66</v>
      </c>
      <c r="C279" s="5">
        <v>29.073</v>
      </c>
      <c r="D279" s="5">
        <f t="shared" si="4"/>
        <v>5.4130000000000003</v>
      </c>
      <c r="E279" t="s">
        <v>14</v>
      </c>
      <c r="F279" t="s">
        <v>10</v>
      </c>
      <c r="G279" t="s">
        <v>786</v>
      </c>
      <c r="H279" t="s">
        <v>787</v>
      </c>
      <c r="I279" s="16">
        <v>16</v>
      </c>
      <c r="J279" s="16">
        <v>16</v>
      </c>
      <c r="K279" s="16">
        <v>12</v>
      </c>
      <c r="L279" s="16">
        <v>27.2</v>
      </c>
      <c r="M279" t="s">
        <v>891</v>
      </c>
      <c r="N279" s="16">
        <v>28</v>
      </c>
      <c r="O279" t="s">
        <v>891</v>
      </c>
      <c r="P279" s="16">
        <v>8.16</v>
      </c>
      <c r="Q279" t="s">
        <v>892</v>
      </c>
      <c r="R279" t="s">
        <v>901</v>
      </c>
      <c r="S279" t="s">
        <v>1224</v>
      </c>
      <c r="T279" t="s">
        <v>895</v>
      </c>
      <c r="U279" t="s">
        <v>896</v>
      </c>
      <c r="V279" t="s">
        <v>10</v>
      </c>
      <c r="W279" s="16">
        <v>8.1649999999999991</v>
      </c>
      <c r="X279" s="17" t="s">
        <v>1099</v>
      </c>
    </row>
    <row r="280" spans="1:24" ht="18" x14ac:dyDescent="0.2">
      <c r="A280" s="12" t="s">
        <v>788</v>
      </c>
      <c r="B280" s="3">
        <v>26.25</v>
      </c>
      <c r="C280" s="5">
        <v>68.177999999999997</v>
      </c>
      <c r="D280" s="5">
        <f t="shared" si="4"/>
        <v>41.927999999999997</v>
      </c>
      <c r="E280" t="s">
        <v>25</v>
      </c>
      <c r="F280" t="s">
        <v>10</v>
      </c>
      <c r="G280" t="s">
        <v>789</v>
      </c>
      <c r="H280" t="s">
        <v>790</v>
      </c>
      <c r="I280" s="16">
        <v>14</v>
      </c>
      <c r="J280" s="16">
        <v>12</v>
      </c>
      <c r="K280" s="16">
        <v>11</v>
      </c>
      <c r="L280" s="16">
        <v>25.8</v>
      </c>
      <c r="M280" t="s">
        <v>891</v>
      </c>
      <c r="N280" s="16">
        <v>26</v>
      </c>
      <c r="O280" t="s">
        <v>891</v>
      </c>
      <c r="P280" s="16">
        <v>11.34</v>
      </c>
      <c r="Q280" t="s">
        <v>892</v>
      </c>
      <c r="R280" t="s">
        <v>901</v>
      </c>
      <c r="S280" t="s">
        <v>1225</v>
      </c>
      <c r="T280" t="s">
        <v>895</v>
      </c>
      <c r="U280" t="s">
        <v>896</v>
      </c>
      <c r="V280" t="s">
        <v>10</v>
      </c>
      <c r="W280" s="16">
        <v>11.34</v>
      </c>
      <c r="X280" s="17" t="s">
        <v>909</v>
      </c>
    </row>
    <row r="281" spans="1:24" ht="18" x14ac:dyDescent="0.2">
      <c r="A281" s="12" t="s">
        <v>791</v>
      </c>
      <c r="B281" s="3">
        <v>21.72</v>
      </c>
      <c r="C281" s="5">
        <v>24.31</v>
      </c>
      <c r="D281" s="5">
        <f t="shared" si="4"/>
        <v>2.59</v>
      </c>
      <c r="E281" t="s">
        <v>25</v>
      </c>
      <c r="F281" t="s">
        <v>10</v>
      </c>
      <c r="G281" t="s">
        <v>792</v>
      </c>
      <c r="H281" t="s">
        <v>793</v>
      </c>
      <c r="I281" s="16">
        <v>16</v>
      </c>
      <c r="J281" s="16">
        <v>16</v>
      </c>
      <c r="K281" s="16">
        <v>12</v>
      </c>
      <c r="L281" s="16">
        <v>28.5</v>
      </c>
      <c r="M281" t="s">
        <v>891</v>
      </c>
      <c r="N281" s="16">
        <v>29</v>
      </c>
      <c r="O281" t="s">
        <v>891</v>
      </c>
      <c r="P281" s="16">
        <v>11.34</v>
      </c>
      <c r="Q281" t="s">
        <v>892</v>
      </c>
      <c r="R281" t="s">
        <v>917</v>
      </c>
      <c r="S281" t="s">
        <v>1226</v>
      </c>
      <c r="T281" t="s">
        <v>895</v>
      </c>
      <c r="U281" t="s">
        <v>896</v>
      </c>
      <c r="V281" t="s">
        <v>10</v>
      </c>
      <c r="W281" s="16">
        <v>11.34</v>
      </c>
      <c r="X281" s="17" t="s">
        <v>909</v>
      </c>
    </row>
    <row r="282" spans="1:24" ht="18" x14ac:dyDescent="0.2">
      <c r="A282" s="12" t="s">
        <v>794</v>
      </c>
      <c r="B282" s="3">
        <v>24.44</v>
      </c>
      <c r="C282" s="5">
        <v>29.073</v>
      </c>
      <c r="D282" s="5">
        <f t="shared" si="4"/>
        <v>4.6329999999999991</v>
      </c>
      <c r="E282" t="s">
        <v>25</v>
      </c>
      <c r="F282" t="s">
        <v>10</v>
      </c>
      <c r="G282" t="s">
        <v>795</v>
      </c>
      <c r="H282" t="s">
        <v>82</v>
      </c>
      <c r="I282" s="16">
        <v>16</v>
      </c>
      <c r="J282" s="16">
        <v>16</v>
      </c>
      <c r="K282" s="16">
        <v>12</v>
      </c>
      <c r="L282" s="16">
        <v>28.1</v>
      </c>
      <c r="M282" t="s">
        <v>891</v>
      </c>
      <c r="N282" s="16">
        <v>28</v>
      </c>
      <c r="O282" t="s">
        <v>891</v>
      </c>
      <c r="P282" s="16">
        <v>10.43</v>
      </c>
      <c r="Q282" t="s">
        <v>892</v>
      </c>
      <c r="R282" t="s">
        <v>939</v>
      </c>
      <c r="S282" t="s">
        <v>1227</v>
      </c>
      <c r="T282" t="s">
        <v>895</v>
      </c>
      <c r="U282" t="s">
        <v>896</v>
      </c>
      <c r="V282" t="s">
        <v>10</v>
      </c>
      <c r="W282" s="16">
        <v>10.433</v>
      </c>
      <c r="X282" s="17" t="s">
        <v>985</v>
      </c>
    </row>
    <row r="283" spans="1:24" ht="18" x14ac:dyDescent="0.2">
      <c r="A283" s="12" t="s">
        <v>796</v>
      </c>
      <c r="B283" s="3">
        <v>29.12</v>
      </c>
      <c r="C283" s="5">
        <v>76.724999999999994</v>
      </c>
      <c r="D283" s="5">
        <f t="shared" si="4"/>
        <v>47.60499999999999</v>
      </c>
      <c r="E283" t="s">
        <v>25</v>
      </c>
      <c r="F283" t="s">
        <v>10</v>
      </c>
      <c r="G283" t="s">
        <v>797</v>
      </c>
      <c r="H283" t="s">
        <v>798</v>
      </c>
      <c r="I283" s="16">
        <v>41</v>
      </c>
      <c r="J283" s="16">
        <v>41</v>
      </c>
      <c r="K283" s="16">
        <v>30</v>
      </c>
      <c r="L283" s="16">
        <v>29.7</v>
      </c>
      <c r="M283" t="s">
        <v>891</v>
      </c>
      <c r="N283" s="16">
        <v>30</v>
      </c>
      <c r="O283" t="s">
        <v>891</v>
      </c>
      <c r="P283" s="16">
        <v>12.33</v>
      </c>
      <c r="Q283" t="s">
        <v>892</v>
      </c>
      <c r="R283" t="s">
        <v>939</v>
      </c>
      <c r="S283" t="s">
        <v>1163</v>
      </c>
      <c r="T283" t="s">
        <v>895</v>
      </c>
      <c r="U283" t="s">
        <v>896</v>
      </c>
      <c r="V283" t="s">
        <v>10</v>
      </c>
      <c r="W283" s="16">
        <v>12.337999999999999</v>
      </c>
      <c r="X283" s="17" t="s">
        <v>1165</v>
      </c>
    </row>
    <row r="284" spans="1:24" ht="18" x14ac:dyDescent="0.2">
      <c r="A284" s="12" t="s">
        <v>799</v>
      </c>
      <c r="B284" s="3">
        <v>85.67</v>
      </c>
      <c r="C284" s="5">
        <v>88.715000000000003</v>
      </c>
      <c r="D284" s="5">
        <f t="shared" si="4"/>
        <v>3.0450000000000017</v>
      </c>
      <c r="E284" t="s">
        <v>35</v>
      </c>
      <c r="F284" t="s">
        <v>10</v>
      </c>
      <c r="G284" t="s">
        <v>800</v>
      </c>
      <c r="H284" t="s">
        <v>801</v>
      </c>
      <c r="I284" s="16">
        <v>20</v>
      </c>
      <c r="J284" s="16">
        <v>16</v>
      </c>
      <c r="K284" s="16">
        <v>16</v>
      </c>
      <c r="L284" s="16">
        <v>65.3</v>
      </c>
      <c r="M284" t="s">
        <v>891</v>
      </c>
      <c r="N284" s="16">
        <v>66</v>
      </c>
      <c r="O284" t="s">
        <v>891</v>
      </c>
      <c r="P284" s="16">
        <v>26.29</v>
      </c>
      <c r="Q284" t="s">
        <v>892</v>
      </c>
      <c r="R284" t="s">
        <v>898</v>
      </c>
      <c r="S284" t="s">
        <v>1228</v>
      </c>
      <c r="T284" t="s">
        <v>895</v>
      </c>
      <c r="U284" t="s">
        <v>896</v>
      </c>
      <c r="V284" t="s">
        <v>10</v>
      </c>
      <c r="W284" s="16">
        <v>0</v>
      </c>
      <c r="X284" s="17" t="s">
        <v>934</v>
      </c>
    </row>
    <row r="285" spans="1:24" ht="18" x14ac:dyDescent="0.2">
      <c r="A285" s="12" t="s">
        <v>802</v>
      </c>
      <c r="B285" s="3">
        <v>87.96</v>
      </c>
      <c r="C285" s="5">
        <v>138.97399999999999</v>
      </c>
      <c r="D285" s="5">
        <f t="shared" si="4"/>
        <v>51.013999999999996</v>
      </c>
      <c r="E285" t="s">
        <v>87</v>
      </c>
      <c r="F285" t="s">
        <v>10</v>
      </c>
      <c r="G285" t="s">
        <v>803</v>
      </c>
      <c r="H285" t="s">
        <v>804</v>
      </c>
      <c r="I285" s="16">
        <v>27</v>
      </c>
      <c r="J285" s="16">
        <v>22</v>
      </c>
      <c r="K285" s="16">
        <v>16</v>
      </c>
      <c r="L285" s="16"/>
      <c r="N285" s="16">
        <v>89</v>
      </c>
      <c r="O285" t="s">
        <v>891</v>
      </c>
      <c r="P285" s="16">
        <v>40</v>
      </c>
      <c r="Q285" t="s">
        <v>892</v>
      </c>
      <c r="R285" t="s">
        <v>930</v>
      </c>
      <c r="S285" t="s">
        <v>1229</v>
      </c>
      <c r="T285" t="s">
        <v>895</v>
      </c>
      <c r="U285" t="s">
        <v>896</v>
      </c>
      <c r="V285" t="s">
        <v>10</v>
      </c>
      <c r="W285" s="16">
        <v>1</v>
      </c>
      <c r="X285" s="17" t="s">
        <v>946</v>
      </c>
    </row>
    <row r="286" spans="1:24" ht="18" x14ac:dyDescent="0.2">
      <c r="A286" s="12" t="s">
        <v>805</v>
      </c>
      <c r="B286" s="3">
        <v>36.51</v>
      </c>
      <c r="C286" s="5">
        <v>39.039000000000001</v>
      </c>
      <c r="D286" s="5">
        <f t="shared" si="4"/>
        <v>2.5290000000000035</v>
      </c>
      <c r="E286" t="s">
        <v>21</v>
      </c>
      <c r="F286" t="s">
        <v>10</v>
      </c>
      <c r="G286" t="s">
        <v>806</v>
      </c>
      <c r="H286" t="s">
        <v>807</v>
      </c>
      <c r="I286" s="16">
        <v>17</v>
      </c>
      <c r="J286" s="16">
        <v>16</v>
      </c>
      <c r="K286" s="16">
        <v>13</v>
      </c>
      <c r="L286" s="16">
        <v>41.9</v>
      </c>
      <c r="M286" t="s">
        <v>891</v>
      </c>
      <c r="N286" s="16">
        <v>42</v>
      </c>
      <c r="O286" t="s">
        <v>891</v>
      </c>
      <c r="P286" s="16">
        <v>17.23</v>
      </c>
      <c r="Q286" t="s">
        <v>892</v>
      </c>
      <c r="R286" t="s">
        <v>991</v>
      </c>
      <c r="S286" t="s">
        <v>1230</v>
      </c>
      <c r="T286" t="s">
        <v>895</v>
      </c>
      <c r="U286" t="s">
        <v>896</v>
      </c>
      <c r="V286" t="s">
        <v>10</v>
      </c>
      <c r="W286" s="16">
        <v>17.236999999999998</v>
      </c>
      <c r="X286" s="17" t="s">
        <v>906</v>
      </c>
    </row>
    <row r="287" spans="1:24" ht="18" x14ac:dyDescent="0.2">
      <c r="A287" s="12" t="s">
        <v>808</v>
      </c>
      <c r="B287" s="3">
        <v>21.11</v>
      </c>
      <c r="C287" s="5">
        <v>23.562000000000001</v>
      </c>
      <c r="D287" s="5">
        <f t="shared" si="4"/>
        <v>2.4520000000000017</v>
      </c>
      <c r="E287" t="s">
        <v>313</v>
      </c>
      <c r="F287" t="s">
        <v>10</v>
      </c>
      <c r="G287" t="s">
        <v>809</v>
      </c>
      <c r="H287" t="s">
        <v>810</v>
      </c>
      <c r="I287" s="16">
        <v>13</v>
      </c>
      <c r="J287" s="16">
        <v>11</v>
      </c>
      <c r="K287" s="16">
        <v>8</v>
      </c>
      <c r="L287" s="16">
        <v>10.4</v>
      </c>
      <c r="M287" t="s">
        <v>891</v>
      </c>
      <c r="N287" s="16">
        <v>11</v>
      </c>
      <c r="O287" t="s">
        <v>891</v>
      </c>
      <c r="P287" s="16">
        <v>3.62</v>
      </c>
      <c r="Q287" t="s">
        <v>892</v>
      </c>
      <c r="R287" t="s">
        <v>910</v>
      </c>
      <c r="S287" t="s">
        <v>936</v>
      </c>
      <c r="T287" t="s">
        <v>895</v>
      </c>
      <c r="U287" t="s">
        <v>896</v>
      </c>
      <c r="V287" t="s">
        <v>10</v>
      </c>
      <c r="W287" s="16">
        <v>3.629</v>
      </c>
      <c r="X287" s="17" t="s">
        <v>1231</v>
      </c>
    </row>
    <row r="288" spans="1:24" ht="18" x14ac:dyDescent="0.2">
      <c r="A288" s="12" t="s">
        <v>811</v>
      </c>
      <c r="B288" s="3">
        <v>16.170000000000002</v>
      </c>
      <c r="C288" s="5">
        <v>24.353999999999999</v>
      </c>
      <c r="D288" s="5">
        <f t="shared" si="4"/>
        <v>8.1839999999999975</v>
      </c>
      <c r="E288" t="s">
        <v>812</v>
      </c>
      <c r="F288" t="s">
        <v>10</v>
      </c>
      <c r="G288" t="s">
        <v>813</v>
      </c>
      <c r="H288" t="s">
        <v>814</v>
      </c>
      <c r="I288" s="16">
        <v>24</v>
      </c>
      <c r="J288" s="16">
        <v>14</v>
      </c>
      <c r="K288" s="16">
        <v>14</v>
      </c>
      <c r="L288" s="16">
        <v>8.3000000000000007</v>
      </c>
      <c r="M288" t="s">
        <v>891</v>
      </c>
      <c r="N288" s="16">
        <v>29</v>
      </c>
      <c r="O288" t="s">
        <v>891</v>
      </c>
      <c r="P288" s="16">
        <v>1.36</v>
      </c>
      <c r="Q288" t="s">
        <v>892</v>
      </c>
      <c r="R288" t="s">
        <v>926</v>
      </c>
      <c r="S288" t="s">
        <v>1232</v>
      </c>
      <c r="T288" t="s">
        <v>895</v>
      </c>
      <c r="U288" t="s">
        <v>896</v>
      </c>
      <c r="V288" t="s">
        <v>10</v>
      </c>
      <c r="W288" s="16">
        <v>1.361</v>
      </c>
      <c r="X288" s="17" t="s">
        <v>1233</v>
      </c>
    </row>
    <row r="289" spans="1:24" ht="18" x14ac:dyDescent="0.2">
      <c r="A289" s="12" t="s">
        <v>815</v>
      </c>
      <c r="B289" s="3">
        <v>21.72</v>
      </c>
      <c r="C289" s="5">
        <v>25.388000000000002</v>
      </c>
      <c r="D289" s="5">
        <f t="shared" si="4"/>
        <v>3.6680000000000028</v>
      </c>
      <c r="E289" t="s">
        <v>25</v>
      </c>
      <c r="F289" t="s">
        <v>10</v>
      </c>
      <c r="G289" t="s">
        <v>816</v>
      </c>
      <c r="H289" t="s">
        <v>817</v>
      </c>
      <c r="I289" s="16"/>
      <c r="J289" s="16"/>
      <c r="K289" s="16"/>
      <c r="L289" s="16"/>
      <c r="N289" s="16"/>
      <c r="P289" s="16"/>
      <c r="V289" t="s">
        <v>91</v>
      </c>
      <c r="W289" s="16">
        <v>11.34</v>
      </c>
      <c r="X289" s="17" t="s">
        <v>909</v>
      </c>
    </row>
    <row r="290" spans="1:24" ht="18" x14ac:dyDescent="0.2">
      <c r="A290" s="12" t="s">
        <v>818</v>
      </c>
      <c r="B290" s="3">
        <v>30.19</v>
      </c>
      <c r="C290" s="5">
        <v>33.670999999999999</v>
      </c>
      <c r="D290" s="5">
        <f t="shared" si="4"/>
        <v>3.4809999999999981</v>
      </c>
      <c r="E290" t="s">
        <v>21</v>
      </c>
      <c r="F290" t="s">
        <v>10</v>
      </c>
      <c r="G290" t="s">
        <v>819</v>
      </c>
      <c r="H290" t="s">
        <v>820</v>
      </c>
      <c r="I290" s="16">
        <v>19</v>
      </c>
      <c r="J290" s="16">
        <v>16</v>
      </c>
      <c r="K290" s="16">
        <v>13</v>
      </c>
      <c r="L290" s="16">
        <v>41.8</v>
      </c>
      <c r="M290" t="s">
        <v>891</v>
      </c>
      <c r="N290" s="16">
        <v>42</v>
      </c>
      <c r="O290" t="s">
        <v>891</v>
      </c>
      <c r="P290" s="16">
        <v>17.23</v>
      </c>
      <c r="Q290" t="s">
        <v>892</v>
      </c>
      <c r="R290" t="s">
        <v>923</v>
      </c>
      <c r="S290" t="s">
        <v>1234</v>
      </c>
      <c r="T290" t="s">
        <v>895</v>
      </c>
      <c r="U290" t="s">
        <v>896</v>
      </c>
      <c r="V290" t="s">
        <v>10</v>
      </c>
      <c r="W290" s="16">
        <v>17.236999999999998</v>
      </c>
      <c r="X290" s="17" t="s">
        <v>906</v>
      </c>
    </row>
    <row r="291" spans="1:24" ht="18" x14ac:dyDescent="0.2">
      <c r="A291" s="12" t="s">
        <v>821</v>
      </c>
      <c r="B291" s="3">
        <v>16.170000000000002</v>
      </c>
      <c r="C291" s="5">
        <v>28.204000000000001</v>
      </c>
      <c r="D291" s="5">
        <f t="shared" si="4"/>
        <v>12.033999999999999</v>
      </c>
      <c r="E291" t="s">
        <v>173</v>
      </c>
      <c r="F291" t="s">
        <v>10</v>
      </c>
      <c r="G291" t="s">
        <v>822</v>
      </c>
      <c r="H291" t="s">
        <v>823</v>
      </c>
      <c r="I291" s="16">
        <v>13</v>
      </c>
      <c r="J291" s="16">
        <v>9</v>
      </c>
      <c r="K291" s="16">
        <v>9</v>
      </c>
      <c r="L291" s="16">
        <v>9.1999999999999993</v>
      </c>
      <c r="M291" t="s">
        <v>891</v>
      </c>
      <c r="N291" s="16">
        <v>10</v>
      </c>
      <c r="O291" t="s">
        <v>891</v>
      </c>
      <c r="P291" s="16">
        <v>1.59</v>
      </c>
      <c r="Q291" t="s">
        <v>892</v>
      </c>
      <c r="R291" t="s">
        <v>917</v>
      </c>
      <c r="S291" t="s">
        <v>1235</v>
      </c>
      <c r="T291" t="s">
        <v>895</v>
      </c>
      <c r="U291" t="s">
        <v>896</v>
      </c>
      <c r="V291" t="s">
        <v>10</v>
      </c>
      <c r="W291" s="16">
        <v>1</v>
      </c>
      <c r="X291" s="17" t="s">
        <v>1236</v>
      </c>
    </row>
    <row r="292" spans="1:24" ht="18" x14ac:dyDescent="0.2">
      <c r="A292" s="12" t="s">
        <v>824</v>
      </c>
      <c r="B292" s="3">
        <v>74.739999999999995</v>
      </c>
      <c r="C292" s="5">
        <v>80.861000000000004</v>
      </c>
      <c r="D292" s="5">
        <f t="shared" si="4"/>
        <v>6.1210000000000093</v>
      </c>
      <c r="E292" t="s">
        <v>674</v>
      </c>
      <c r="F292" t="s">
        <v>10</v>
      </c>
      <c r="G292" t="s">
        <v>825</v>
      </c>
      <c r="H292" t="s">
        <v>826</v>
      </c>
      <c r="I292" s="16">
        <v>27</v>
      </c>
      <c r="J292" s="16">
        <v>20</v>
      </c>
      <c r="K292" s="16">
        <v>15</v>
      </c>
      <c r="L292" s="16">
        <v>76.5</v>
      </c>
      <c r="M292" t="s">
        <v>891</v>
      </c>
      <c r="N292" s="16">
        <v>77</v>
      </c>
      <c r="O292" t="s">
        <v>891</v>
      </c>
      <c r="P292" s="16">
        <v>29.5</v>
      </c>
      <c r="Q292" t="s">
        <v>892</v>
      </c>
      <c r="R292" t="s">
        <v>917</v>
      </c>
      <c r="S292" t="s">
        <v>1235</v>
      </c>
      <c r="T292" t="s">
        <v>895</v>
      </c>
      <c r="U292" t="s">
        <v>896</v>
      </c>
      <c r="V292" t="s">
        <v>10</v>
      </c>
      <c r="W292" s="16">
        <v>1</v>
      </c>
      <c r="X292" s="17" t="s">
        <v>1174</v>
      </c>
    </row>
    <row r="293" spans="1:24" ht="18" x14ac:dyDescent="0.2">
      <c r="A293" s="12" t="s">
        <v>827</v>
      </c>
      <c r="B293" s="3">
        <v>88.81</v>
      </c>
      <c r="C293" s="5">
        <v>101.816</v>
      </c>
      <c r="D293" s="5">
        <f t="shared" si="4"/>
        <v>13.006</v>
      </c>
      <c r="E293" t="s">
        <v>309</v>
      </c>
      <c r="F293" t="s">
        <v>10</v>
      </c>
      <c r="G293" t="s">
        <v>828</v>
      </c>
      <c r="I293" s="16">
        <v>27</v>
      </c>
      <c r="J293" s="16">
        <v>20</v>
      </c>
      <c r="K293" s="16">
        <v>20</v>
      </c>
      <c r="L293" s="16">
        <v>97.7</v>
      </c>
      <c r="M293" t="s">
        <v>891</v>
      </c>
      <c r="N293" s="16">
        <v>98</v>
      </c>
      <c r="O293" t="s">
        <v>891</v>
      </c>
      <c r="P293" s="16">
        <v>38</v>
      </c>
      <c r="Q293" t="s">
        <v>892</v>
      </c>
      <c r="R293" t="s">
        <v>917</v>
      </c>
      <c r="S293" t="s">
        <v>1235</v>
      </c>
      <c r="T293" t="s">
        <v>895</v>
      </c>
      <c r="U293" t="s">
        <v>896</v>
      </c>
      <c r="V293" t="s">
        <v>10</v>
      </c>
      <c r="W293" s="16">
        <v>1</v>
      </c>
      <c r="X293" s="17" t="s">
        <v>1175</v>
      </c>
    </row>
    <row r="294" spans="1:24" ht="18" x14ac:dyDescent="0.2">
      <c r="A294" s="12" t="s">
        <v>829</v>
      </c>
      <c r="B294" s="3">
        <v>39.090000000000003</v>
      </c>
      <c r="C294" s="5">
        <v>44.517000000000003</v>
      </c>
      <c r="D294" s="5">
        <f t="shared" si="4"/>
        <v>5.4269999999999996</v>
      </c>
      <c r="E294" t="s">
        <v>25</v>
      </c>
      <c r="F294" t="s">
        <v>10</v>
      </c>
      <c r="G294" t="s">
        <v>830</v>
      </c>
      <c r="H294" t="s">
        <v>831</v>
      </c>
      <c r="I294" s="16">
        <v>16</v>
      </c>
      <c r="J294" s="16">
        <v>16</v>
      </c>
      <c r="K294" s="16">
        <v>12</v>
      </c>
      <c r="L294" s="16">
        <v>29.7</v>
      </c>
      <c r="M294" t="s">
        <v>891</v>
      </c>
      <c r="N294" s="16">
        <v>30</v>
      </c>
      <c r="O294" t="s">
        <v>891</v>
      </c>
      <c r="P294" s="16">
        <v>11.34</v>
      </c>
      <c r="Q294" t="s">
        <v>892</v>
      </c>
      <c r="R294" t="s">
        <v>987</v>
      </c>
      <c r="S294" t="s">
        <v>1237</v>
      </c>
      <c r="T294" t="s">
        <v>895</v>
      </c>
      <c r="U294" t="s">
        <v>896</v>
      </c>
      <c r="V294" t="s">
        <v>10</v>
      </c>
      <c r="W294" s="16">
        <v>11.34</v>
      </c>
      <c r="X294" s="17" t="s">
        <v>909</v>
      </c>
    </row>
    <row r="295" spans="1:24" ht="18" x14ac:dyDescent="0.2">
      <c r="A295" s="12" t="s">
        <v>832</v>
      </c>
      <c r="B295" s="3">
        <v>21.77</v>
      </c>
      <c r="C295" s="5">
        <v>23.782</v>
      </c>
      <c r="D295" s="5">
        <f t="shared" si="4"/>
        <v>2.0120000000000005</v>
      </c>
      <c r="E295" t="s">
        <v>684</v>
      </c>
      <c r="F295" t="s">
        <v>10</v>
      </c>
      <c r="G295" t="s">
        <v>833</v>
      </c>
      <c r="H295" t="s">
        <v>834</v>
      </c>
      <c r="I295" s="16">
        <v>19</v>
      </c>
      <c r="J295" s="16">
        <v>17</v>
      </c>
      <c r="K295" s="16">
        <v>13</v>
      </c>
      <c r="L295" s="16">
        <v>43.1</v>
      </c>
      <c r="M295" t="s">
        <v>891</v>
      </c>
      <c r="N295" s="16">
        <v>44</v>
      </c>
      <c r="O295" t="s">
        <v>891</v>
      </c>
      <c r="P295" s="16">
        <v>17.23</v>
      </c>
      <c r="Q295" t="s">
        <v>892</v>
      </c>
      <c r="R295" t="s">
        <v>979</v>
      </c>
      <c r="S295" t="s">
        <v>1238</v>
      </c>
      <c r="T295" t="s">
        <v>895</v>
      </c>
      <c r="U295" t="s">
        <v>896</v>
      </c>
      <c r="V295" t="s">
        <v>10</v>
      </c>
      <c r="W295" s="16">
        <v>17.236999999999998</v>
      </c>
      <c r="X295" s="17" t="s">
        <v>1177</v>
      </c>
    </row>
    <row r="296" spans="1:24" ht="18" x14ac:dyDescent="0.2">
      <c r="A296" s="12" t="s">
        <v>835</v>
      </c>
      <c r="B296" s="3">
        <v>30.19</v>
      </c>
      <c r="C296" s="5">
        <v>39.116</v>
      </c>
      <c r="D296" s="5">
        <f t="shared" si="4"/>
        <v>8.9259999999999984</v>
      </c>
      <c r="E296" t="s">
        <v>21</v>
      </c>
      <c r="F296" t="s">
        <v>10</v>
      </c>
      <c r="G296" t="s">
        <v>836</v>
      </c>
      <c r="H296" t="s">
        <v>837</v>
      </c>
      <c r="I296" s="16">
        <v>17</v>
      </c>
      <c r="J296" s="16">
        <v>16</v>
      </c>
      <c r="K296" s="16">
        <v>16</v>
      </c>
      <c r="L296" s="16">
        <v>41.2</v>
      </c>
      <c r="M296" t="s">
        <v>891</v>
      </c>
      <c r="N296" s="16">
        <v>42</v>
      </c>
      <c r="O296" t="s">
        <v>891</v>
      </c>
      <c r="P296" s="16">
        <v>17.23</v>
      </c>
      <c r="Q296" t="s">
        <v>892</v>
      </c>
      <c r="R296" t="s">
        <v>1149</v>
      </c>
      <c r="S296" t="s">
        <v>1239</v>
      </c>
      <c r="T296" t="s">
        <v>895</v>
      </c>
      <c r="U296" t="s">
        <v>896</v>
      </c>
      <c r="V296" t="s">
        <v>10</v>
      </c>
      <c r="W296" s="16">
        <v>17.236999999999998</v>
      </c>
      <c r="X296" s="17" t="s">
        <v>906</v>
      </c>
    </row>
    <row r="297" spans="1:24" ht="18" x14ac:dyDescent="0.2">
      <c r="A297" s="12" t="s">
        <v>838</v>
      </c>
      <c r="B297" s="3">
        <v>46.82</v>
      </c>
      <c r="C297" s="5">
        <v>49.929000000000002</v>
      </c>
      <c r="D297" s="5">
        <f t="shared" si="4"/>
        <v>3.1090000000000018</v>
      </c>
      <c r="E297" t="s">
        <v>39</v>
      </c>
      <c r="F297" t="s">
        <v>10</v>
      </c>
      <c r="G297" t="s">
        <v>839</v>
      </c>
      <c r="I297" s="16">
        <v>39</v>
      </c>
      <c r="J297" s="16">
        <v>29</v>
      </c>
      <c r="K297" s="16">
        <v>5</v>
      </c>
      <c r="L297" s="16">
        <v>35.6</v>
      </c>
      <c r="M297" t="s">
        <v>891</v>
      </c>
      <c r="N297" s="16">
        <v>40</v>
      </c>
      <c r="O297" t="s">
        <v>891</v>
      </c>
      <c r="P297" s="16">
        <v>14</v>
      </c>
      <c r="Q297" t="s">
        <v>892</v>
      </c>
      <c r="R297" t="s">
        <v>930</v>
      </c>
      <c r="S297" t="s">
        <v>1240</v>
      </c>
      <c r="T297" t="s">
        <v>895</v>
      </c>
      <c r="U297" t="s">
        <v>896</v>
      </c>
      <c r="V297" t="s">
        <v>10</v>
      </c>
      <c r="W297" s="16" t="s">
        <v>1241</v>
      </c>
      <c r="X297" s="17" t="s">
        <v>1242</v>
      </c>
    </row>
    <row r="298" spans="1:24" ht="18" x14ac:dyDescent="0.2">
      <c r="A298" s="12" t="s">
        <v>840</v>
      </c>
      <c r="B298" s="3">
        <v>56.37</v>
      </c>
      <c r="C298" s="5">
        <v>58.652000000000001</v>
      </c>
      <c r="D298" s="5">
        <f t="shared" si="4"/>
        <v>2.2820000000000036</v>
      </c>
      <c r="E298" t="s">
        <v>9</v>
      </c>
      <c r="F298" t="s">
        <v>10</v>
      </c>
      <c r="G298" t="s">
        <v>841</v>
      </c>
      <c r="H298" t="s">
        <v>842</v>
      </c>
      <c r="I298" s="16">
        <v>19</v>
      </c>
      <c r="J298" s="16">
        <v>19</v>
      </c>
      <c r="K298" s="16">
        <v>15</v>
      </c>
      <c r="L298" s="16">
        <v>62.3</v>
      </c>
      <c r="M298" t="s">
        <v>891</v>
      </c>
      <c r="N298" s="16">
        <v>63</v>
      </c>
      <c r="O298" t="s">
        <v>891</v>
      </c>
      <c r="P298" s="16">
        <v>24.22</v>
      </c>
      <c r="Q298" t="s">
        <v>892</v>
      </c>
      <c r="R298" t="s">
        <v>893</v>
      </c>
      <c r="S298" t="s">
        <v>1243</v>
      </c>
      <c r="T298" t="s">
        <v>895</v>
      </c>
      <c r="U298" t="s">
        <v>896</v>
      </c>
      <c r="V298" t="s">
        <v>10</v>
      </c>
      <c r="W298" s="16">
        <v>0</v>
      </c>
      <c r="X298" s="17" t="s">
        <v>1244</v>
      </c>
    </row>
    <row r="299" spans="1:24" ht="18" x14ac:dyDescent="0.2">
      <c r="A299" s="12" t="s">
        <v>843</v>
      </c>
      <c r="B299" s="3">
        <v>23.84</v>
      </c>
      <c r="C299" s="5">
        <v>118.074</v>
      </c>
      <c r="D299" s="5">
        <f t="shared" si="4"/>
        <v>94.233999999999995</v>
      </c>
      <c r="E299" t="s">
        <v>317</v>
      </c>
      <c r="F299" t="s">
        <v>10</v>
      </c>
      <c r="G299" t="s">
        <v>844</v>
      </c>
      <c r="H299" t="s">
        <v>845</v>
      </c>
      <c r="I299" s="16">
        <v>30</v>
      </c>
      <c r="J299" s="16">
        <v>19</v>
      </c>
      <c r="K299" s="16">
        <v>8</v>
      </c>
      <c r="L299" s="16">
        <v>51.1</v>
      </c>
      <c r="M299" t="s">
        <v>891</v>
      </c>
      <c r="N299" s="16">
        <v>52</v>
      </c>
      <c r="O299" t="s">
        <v>891</v>
      </c>
      <c r="P299" s="16">
        <v>20</v>
      </c>
      <c r="Q299" t="s">
        <v>892</v>
      </c>
      <c r="R299" t="s">
        <v>979</v>
      </c>
      <c r="S299" t="s">
        <v>1121</v>
      </c>
      <c r="T299" t="s">
        <v>895</v>
      </c>
      <c r="U299" t="s">
        <v>896</v>
      </c>
      <c r="V299" t="s">
        <v>10</v>
      </c>
      <c r="W299" s="16">
        <v>20</v>
      </c>
      <c r="X299" s="17" t="s">
        <v>981</v>
      </c>
    </row>
    <row r="300" spans="1:24" ht="18" x14ac:dyDescent="0.2">
      <c r="A300" s="12" t="s">
        <v>846</v>
      </c>
      <c r="B300" s="3">
        <v>26.25</v>
      </c>
      <c r="C300" s="5">
        <v>30.228000000000002</v>
      </c>
      <c r="D300" s="5">
        <f t="shared" si="4"/>
        <v>3.9780000000000015</v>
      </c>
      <c r="E300" t="s">
        <v>25</v>
      </c>
      <c r="F300" t="s">
        <v>10</v>
      </c>
      <c r="G300" t="s">
        <v>847</v>
      </c>
      <c r="H300" t="s">
        <v>848</v>
      </c>
      <c r="I300" s="16">
        <v>16</v>
      </c>
      <c r="J300" s="16">
        <v>16</v>
      </c>
      <c r="K300" s="16">
        <v>12</v>
      </c>
      <c r="L300" s="16">
        <v>29.8</v>
      </c>
      <c r="M300" t="s">
        <v>891</v>
      </c>
      <c r="N300" s="16">
        <v>30</v>
      </c>
      <c r="O300" t="s">
        <v>891</v>
      </c>
      <c r="P300" s="16">
        <v>11.34</v>
      </c>
      <c r="Q300" t="s">
        <v>892</v>
      </c>
      <c r="R300" t="s">
        <v>898</v>
      </c>
      <c r="S300" t="s">
        <v>1000</v>
      </c>
      <c r="T300" t="s">
        <v>895</v>
      </c>
      <c r="U300" t="s">
        <v>896</v>
      </c>
      <c r="V300" t="s">
        <v>10</v>
      </c>
      <c r="W300" s="16">
        <v>0</v>
      </c>
      <c r="X300" s="17" t="s">
        <v>1109</v>
      </c>
    </row>
    <row r="301" spans="1:24" ht="18" x14ac:dyDescent="0.2">
      <c r="A301" s="12" t="s">
        <v>849</v>
      </c>
      <c r="B301" s="3">
        <v>26.25</v>
      </c>
      <c r="C301" s="5">
        <v>29.347999999999999</v>
      </c>
      <c r="D301" s="5">
        <f t="shared" si="4"/>
        <v>3.097999999999999</v>
      </c>
      <c r="E301" t="s">
        <v>25</v>
      </c>
      <c r="F301" t="s">
        <v>10</v>
      </c>
      <c r="G301" t="s">
        <v>850</v>
      </c>
      <c r="H301" t="s">
        <v>851</v>
      </c>
      <c r="I301" s="16">
        <v>15</v>
      </c>
      <c r="J301" s="16">
        <v>13</v>
      </c>
      <c r="K301" s="16">
        <v>11</v>
      </c>
      <c r="L301" s="16">
        <v>28.3</v>
      </c>
      <c r="M301" t="s">
        <v>891</v>
      </c>
      <c r="N301" s="16">
        <v>29</v>
      </c>
      <c r="O301" t="s">
        <v>891</v>
      </c>
      <c r="P301" s="16">
        <v>11.34</v>
      </c>
      <c r="Q301" t="s">
        <v>892</v>
      </c>
      <c r="R301" t="s">
        <v>901</v>
      </c>
      <c r="S301" t="s">
        <v>1245</v>
      </c>
      <c r="T301" t="s">
        <v>895</v>
      </c>
      <c r="U301" t="s">
        <v>896</v>
      </c>
      <c r="V301" t="s">
        <v>10</v>
      </c>
      <c r="W301" s="16">
        <v>11.34</v>
      </c>
      <c r="X301" s="17" t="s">
        <v>909</v>
      </c>
    </row>
    <row r="302" spans="1:24" ht="18" x14ac:dyDescent="0.2">
      <c r="A302" s="12" t="s">
        <v>852</v>
      </c>
      <c r="B302" s="3">
        <v>21.72</v>
      </c>
      <c r="C302" s="5">
        <v>25.277999999999999</v>
      </c>
      <c r="D302" s="5">
        <f t="shared" si="4"/>
        <v>3.5579999999999998</v>
      </c>
      <c r="E302" t="s">
        <v>25</v>
      </c>
      <c r="F302" t="s">
        <v>10</v>
      </c>
      <c r="G302" t="s">
        <v>853</v>
      </c>
      <c r="H302" t="s">
        <v>854</v>
      </c>
      <c r="I302" s="16">
        <v>16</v>
      </c>
      <c r="J302" s="16">
        <v>16</v>
      </c>
      <c r="K302" s="16">
        <v>12</v>
      </c>
      <c r="L302" s="16">
        <v>29.5</v>
      </c>
      <c r="M302" t="s">
        <v>891</v>
      </c>
      <c r="N302" s="16">
        <v>30</v>
      </c>
      <c r="O302" t="s">
        <v>891</v>
      </c>
      <c r="P302" s="16">
        <v>11.34</v>
      </c>
      <c r="Q302" t="s">
        <v>892</v>
      </c>
      <c r="R302" t="s">
        <v>917</v>
      </c>
      <c r="S302" t="s">
        <v>1246</v>
      </c>
      <c r="T302" t="s">
        <v>895</v>
      </c>
      <c r="U302" t="s">
        <v>896</v>
      </c>
      <c r="V302" t="s">
        <v>10</v>
      </c>
      <c r="W302" s="16">
        <v>11.34</v>
      </c>
      <c r="X302" s="17" t="s">
        <v>909</v>
      </c>
    </row>
    <row r="303" spans="1:24" ht="18" x14ac:dyDescent="0.2">
      <c r="A303" s="12" t="s">
        <v>855</v>
      </c>
      <c r="B303" s="3">
        <v>41.86</v>
      </c>
      <c r="C303" s="5">
        <v>83.71</v>
      </c>
      <c r="D303" s="5">
        <f t="shared" si="4"/>
        <v>41.849999999999994</v>
      </c>
      <c r="E303" t="s">
        <v>143</v>
      </c>
      <c r="F303" t="s">
        <v>10</v>
      </c>
      <c r="G303" t="s">
        <v>856</v>
      </c>
      <c r="H303" t="s">
        <v>857</v>
      </c>
      <c r="I303" s="16">
        <v>30</v>
      </c>
      <c r="J303" s="16">
        <v>18</v>
      </c>
      <c r="K303" s="16">
        <v>8</v>
      </c>
      <c r="L303" s="16">
        <v>50.8</v>
      </c>
      <c r="M303" t="s">
        <v>891</v>
      </c>
      <c r="N303" s="16">
        <v>51</v>
      </c>
      <c r="O303" t="s">
        <v>891</v>
      </c>
      <c r="P303" s="16">
        <v>20</v>
      </c>
      <c r="Q303" t="s">
        <v>892</v>
      </c>
      <c r="R303" t="s">
        <v>898</v>
      </c>
      <c r="S303" t="s">
        <v>1247</v>
      </c>
      <c r="T303" t="s">
        <v>895</v>
      </c>
      <c r="U303" t="s">
        <v>896</v>
      </c>
      <c r="V303" t="s">
        <v>10</v>
      </c>
      <c r="W303" s="16">
        <v>20</v>
      </c>
      <c r="X303" s="17" t="s">
        <v>981</v>
      </c>
    </row>
    <row r="304" spans="1:24" ht="18" x14ac:dyDescent="0.2">
      <c r="A304" s="12" t="s">
        <v>858</v>
      </c>
      <c r="B304" s="3">
        <v>45.03</v>
      </c>
      <c r="C304" s="5">
        <v>49.103999999999999</v>
      </c>
      <c r="D304" s="5">
        <f t="shared" si="4"/>
        <v>4.0739999999999981</v>
      </c>
      <c r="E304" t="s">
        <v>21</v>
      </c>
      <c r="F304" t="s">
        <v>10</v>
      </c>
      <c r="G304" t="s">
        <v>859</v>
      </c>
      <c r="H304" t="s">
        <v>860</v>
      </c>
      <c r="I304" s="16">
        <v>19</v>
      </c>
      <c r="J304" s="16">
        <v>17</v>
      </c>
      <c r="K304" s="16">
        <v>13</v>
      </c>
      <c r="L304" s="16">
        <v>41.1</v>
      </c>
      <c r="M304" t="s">
        <v>891</v>
      </c>
      <c r="N304" s="16">
        <v>41</v>
      </c>
      <c r="O304" t="s">
        <v>891</v>
      </c>
      <c r="P304" s="16">
        <v>17.23</v>
      </c>
      <c r="Q304" t="s">
        <v>892</v>
      </c>
      <c r="R304" t="s">
        <v>987</v>
      </c>
      <c r="S304" t="s">
        <v>1248</v>
      </c>
      <c r="T304" t="s">
        <v>895</v>
      </c>
      <c r="U304" t="s">
        <v>896</v>
      </c>
      <c r="V304" t="s">
        <v>10</v>
      </c>
      <c r="W304" s="16">
        <v>17.236999999999998</v>
      </c>
      <c r="X304" s="17" t="s">
        <v>906</v>
      </c>
    </row>
    <row r="305" spans="1:24" ht="18" x14ac:dyDescent="0.2">
      <c r="A305" s="12" t="s">
        <v>861</v>
      </c>
      <c r="B305" s="3">
        <v>24.44</v>
      </c>
      <c r="C305" s="5">
        <v>49.94</v>
      </c>
      <c r="D305" s="5">
        <f t="shared" si="4"/>
        <v>25.499999999999996</v>
      </c>
      <c r="E305" t="s">
        <v>14</v>
      </c>
      <c r="F305" t="s">
        <v>10</v>
      </c>
      <c r="G305" t="s">
        <v>334</v>
      </c>
      <c r="H305" t="s">
        <v>862</v>
      </c>
      <c r="I305" s="16">
        <v>15</v>
      </c>
      <c r="J305" s="16">
        <v>15</v>
      </c>
      <c r="K305" s="16">
        <v>11</v>
      </c>
      <c r="L305" s="16">
        <v>25.7</v>
      </c>
      <c r="M305" t="s">
        <v>891</v>
      </c>
      <c r="N305" s="16">
        <v>26</v>
      </c>
      <c r="O305" t="s">
        <v>891</v>
      </c>
      <c r="P305" s="16">
        <v>10.199999999999999</v>
      </c>
      <c r="Q305" t="s">
        <v>892</v>
      </c>
      <c r="R305" t="s">
        <v>939</v>
      </c>
      <c r="S305" t="s">
        <v>1249</v>
      </c>
      <c r="T305" t="s">
        <v>895</v>
      </c>
      <c r="U305" t="s">
        <v>896</v>
      </c>
      <c r="V305" t="s">
        <v>10</v>
      </c>
      <c r="W305" s="16">
        <v>1</v>
      </c>
      <c r="X305" s="17" t="s">
        <v>955</v>
      </c>
    </row>
    <row r="306" spans="1:24" ht="18" x14ac:dyDescent="0.25">
      <c r="A306" s="13" t="s">
        <v>863</v>
      </c>
      <c r="B306" s="2">
        <v>31.24</v>
      </c>
      <c r="C306" s="6">
        <v>171.512</v>
      </c>
      <c r="D306" s="5">
        <f t="shared" si="4"/>
        <v>140.27199999999999</v>
      </c>
      <c r="E306" t="s">
        <v>21</v>
      </c>
      <c r="F306" t="s">
        <v>10</v>
      </c>
      <c r="G306" t="s">
        <v>864</v>
      </c>
      <c r="H306" t="s">
        <v>865</v>
      </c>
      <c r="I306" s="16"/>
      <c r="J306" s="16"/>
      <c r="K306" s="16"/>
      <c r="L306" s="16"/>
      <c r="N306" s="16"/>
      <c r="P306" s="16"/>
      <c r="V306" t="s">
        <v>91</v>
      </c>
      <c r="W306" s="16">
        <v>17.236999999999998</v>
      </c>
      <c r="X306" s="17" t="s">
        <v>906</v>
      </c>
    </row>
    <row r="307" spans="1:24" ht="18" x14ac:dyDescent="0.2">
      <c r="A307" s="13" t="s">
        <v>866</v>
      </c>
      <c r="B307" s="3">
        <v>11.82</v>
      </c>
      <c r="C307" s="5">
        <v>33.92</v>
      </c>
      <c r="D307" s="5">
        <f t="shared" si="4"/>
        <v>22.1</v>
      </c>
      <c r="E307" t="s">
        <v>867</v>
      </c>
      <c r="F307" t="s">
        <v>10</v>
      </c>
      <c r="G307" t="s">
        <v>868</v>
      </c>
      <c r="H307" t="s">
        <v>869</v>
      </c>
      <c r="I307" s="16"/>
      <c r="J307" s="16"/>
      <c r="K307" s="16"/>
      <c r="L307" s="16"/>
      <c r="N307" s="16"/>
      <c r="P307" s="16"/>
      <c r="V307" t="s">
        <v>91</v>
      </c>
      <c r="W307" s="16">
        <v>1</v>
      </c>
      <c r="X307" s="17" t="s">
        <v>1250</v>
      </c>
    </row>
    <row r="308" spans="1:24" ht="18" x14ac:dyDescent="0.2">
      <c r="A308" s="13"/>
      <c r="B308" s="3">
        <f t="shared" ref="B308:D308" si="5">SUM(B2:B307)</f>
        <v>12777.080000000009</v>
      </c>
      <c r="C308" s="7">
        <f t="shared" si="5"/>
        <v>17493.560999999983</v>
      </c>
      <c r="D308" s="7">
        <f t="shared" si="5"/>
        <v>4716.4810000000034</v>
      </c>
    </row>
  </sheetData>
  <phoneticPr fontId="5" type="noConversion"/>
  <conditionalFormatting sqref="A306">
    <cfRule type="duplicateValues" dxfId="2" priority="2"/>
  </conditionalFormatting>
  <conditionalFormatting sqref="A307">
    <cfRule type="duplicateValues" dxfId="1" priority="1"/>
  </conditionalFormatting>
  <conditionalFormatting sqref="A308 A1:D1 A2:A305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4.25" x14ac:dyDescent="0.2"/>
  <cols>
    <col min="1" max="1" width="26" customWidth="1"/>
    <col min="2" max="2" width="20" customWidth="1"/>
    <col min="4" max="4" width="100" customWidth="1"/>
  </cols>
  <sheetData>
    <row r="1" spans="1:4" x14ac:dyDescent="0.2">
      <c r="A1" s="9" t="s">
        <v>870</v>
      </c>
      <c r="B1" s="9" t="s">
        <v>871</v>
      </c>
      <c r="D1" t="s">
        <v>872</v>
      </c>
    </row>
    <row r="2" spans="1:4" x14ac:dyDescent="0.2">
      <c r="A2" t="s">
        <v>9</v>
      </c>
      <c r="B2">
        <v>2</v>
      </c>
      <c r="D2" t="s">
        <v>873</v>
      </c>
    </row>
    <row r="3" spans="1:4" x14ac:dyDescent="0.2">
      <c r="A3" t="s">
        <v>14</v>
      </c>
      <c r="B3">
        <v>19</v>
      </c>
    </row>
    <row r="4" spans="1:4" x14ac:dyDescent="0.2">
      <c r="A4" t="s">
        <v>21</v>
      </c>
      <c r="B4">
        <v>45</v>
      </c>
      <c r="D4" t="s">
        <v>874</v>
      </c>
    </row>
    <row r="5" spans="1:4" x14ac:dyDescent="0.2">
      <c r="A5" t="s">
        <v>25</v>
      </c>
      <c r="B5">
        <v>81</v>
      </c>
    </row>
    <row r="6" spans="1:4" x14ac:dyDescent="0.2">
      <c r="A6" t="s">
        <v>35</v>
      </c>
      <c r="B6">
        <v>18</v>
      </c>
    </row>
    <row r="7" spans="1:4" x14ac:dyDescent="0.2">
      <c r="A7" t="s">
        <v>39</v>
      </c>
      <c r="B7">
        <v>3</v>
      </c>
    </row>
    <row r="8" spans="1:4" x14ac:dyDescent="0.2">
      <c r="A8" t="s">
        <v>43</v>
      </c>
      <c r="B8">
        <v>2</v>
      </c>
    </row>
    <row r="9" spans="1:4" x14ac:dyDescent="0.2">
      <c r="A9" t="s">
        <v>47</v>
      </c>
      <c r="B9">
        <v>3</v>
      </c>
    </row>
    <row r="10" spans="1:4" x14ac:dyDescent="0.2">
      <c r="A10" t="s">
        <v>62</v>
      </c>
      <c r="B10">
        <v>3</v>
      </c>
    </row>
    <row r="11" spans="1:4" x14ac:dyDescent="0.2">
      <c r="A11" t="s">
        <v>66</v>
      </c>
      <c r="B11">
        <v>1</v>
      </c>
    </row>
    <row r="12" spans="1:4" x14ac:dyDescent="0.2">
      <c r="A12" t="s">
        <v>73</v>
      </c>
      <c r="B12">
        <v>4</v>
      </c>
    </row>
    <row r="13" spans="1:4" x14ac:dyDescent="0.2">
      <c r="A13" t="s">
        <v>80</v>
      </c>
      <c r="B13">
        <v>1</v>
      </c>
    </row>
    <row r="14" spans="1:4" x14ac:dyDescent="0.2">
      <c r="A14" t="s">
        <v>87</v>
      </c>
      <c r="B14">
        <v>9</v>
      </c>
    </row>
    <row r="15" spans="1:4" x14ac:dyDescent="0.2">
      <c r="A15" t="s">
        <v>108</v>
      </c>
      <c r="B15">
        <v>3</v>
      </c>
    </row>
    <row r="16" spans="1:4" x14ac:dyDescent="0.2">
      <c r="A16" t="s">
        <v>139</v>
      </c>
      <c r="B16">
        <v>3</v>
      </c>
    </row>
    <row r="17" spans="1:2" x14ac:dyDescent="0.2">
      <c r="A17" t="s">
        <v>143</v>
      </c>
      <c r="B17">
        <v>2</v>
      </c>
    </row>
    <row r="18" spans="1:2" x14ac:dyDescent="0.2">
      <c r="A18" t="s">
        <v>147</v>
      </c>
      <c r="B18">
        <v>8</v>
      </c>
    </row>
    <row r="19" spans="1:2" x14ac:dyDescent="0.2">
      <c r="A19" t="s">
        <v>173</v>
      </c>
      <c r="B19">
        <v>2</v>
      </c>
    </row>
    <row r="20" spans="1:2" x14ac:dyDescent="0.2">
      <c r="A20" t="s">
        <v>180</v>
      </c>
      <c r="B20">
        <v>11</v>
      </c>
    </row>
    <row r="21" spans="1:2" x14ac:dyDescent="0.2">
      <c r="A21" t="s">
        <v>200</v>
      </c>
      <c r="B21">
        <v>1</v>
      </c>
    </row>
    <row r="22" spans="1:2" x14ac:dyDescent="0.2">
      <c r="A22" t="s">
        <v>240</v>
      </c>
      <c r="B22">
        <v>2</v>
      </c>
    </row>
    <row r="23" spans="1:2" x14ac:dyDescent="0.2">
      <c r="A23" t="s">
        <v>875</v>
      </c>
      <c r="B23">
        <v>1</v>
      </c>
    </row>
    <row r="24" spans="1:2" x14ac:dyDescent="0.2">
      <c r="A24" t="s">
        <v>309</v>
      </c>
      <c r="B24">
        <v>10</v>
      </c>
    </row>
    <row r="25" spans="1:2" x14ac:dyDescent="0.2">
      <c r="A25" t="s">
        <v>313</v>
      </c>
      <c r="B25">
        <v>2</v>
      </c>
    </row>
    <row r="26" spans="1:2" x14ac:dyDescent="0.2">
      <c r="A26" t="s">
        <v>317</v>
      </c>
      <c r="B26">
        <v>4</v>
      </c>
    </row>
    <row r="27" spans="1:2" x14ac:dyDescent="0.2">
      <c r="A27" t="s">
        <v>327</v>
      </c>
      <c r="B27">
        <v>1</v>
      </c>
    </row>
    <row r="28" spans="1:2" x14ac:dyDescent="0.2">
      <c r="A28" t="s">
        <v>349</v>
      </c>
      <c r="B28">
        <v>2</v>
      </c>
    </row>
    <row r="29" spans="1:2" x14ac:dyDescent="0.2">
      <c r="A29" t="s">
        <v>353</v>
      </c>
      <c r="B29">
        <v>3</v>
      </c>
    </row>
    <row r="30" spans="1:2" x14ac:dyDescent="0.2">
      <c r="A30" t="s">
        <v>417</v>
      </c>
      <c r="B30">
        <v>3</v>
      </c>
    </row>
    <row r="31" spans="1:2" x14ac:dyDescent="0.2">
      <c r="A31" t="s">
        <v>443</v>
      </c>
      <c r="B31">
        <v>1</v>
      </c>
    </row>
    <row r="32" spans="1:2" x14ac:dyDescent="0.2">
      <c r="A32" t="s">
        <v>455</v>
      </c>
      <c r="B32">
        <v>1</v>
      </c>
    </row>
    <row r="33" spans="1:2" x14ac:dyDescent="0.2">
      <c r="A33" t="s">
        <v>493</v>
      </c>
      <c r="B33">
        <v>1</v>
      </c>
    </row>
    <row r="34" spans="1:2" x14ac:dyDescent="0.2">
      <c r="A34" t="s">
        <v>572</v>
      </c>
      <c r="B34">
        <v>1</v>
      </c>
    </row>
    <row r="35" spans="1:2" x14ac:dyDescent="0.2">
      <c r="A35" t="s">
        <v>612</v>
      </c>
      <c r="B35">
        <v>1</v>
      </c>
    </row>
    <row r="36" spans="1:2" x14ac:dyDescent="0.2">
      <c r="A36" t="s">
        <v>674</v>
      </c>
      <c r="B36">
        <v>4</v>
      </c>
    </row>
    <row r="37" spans="1:2" x14ac:dyDescent="0.2">
      <c r="A37" t="s">
        <v>684</v>
      </c>
      <c r="B37">
        <v>2</v>
      </c>
    </row>
    <row r="38" spans="1:2" x14ac:dyDescent="0.2">
      <c r="A38" t="s">
        <v>742</v>
      </c>
      <c r="B38">
        <v>1</v>
      </c>
    </row>
    <row r="39" spans="1:2" x14ac:dyDescent="0.2">
      <c r="A39" t="s">
        <v>773</v>
      </c>
      <c r="B39">
        <v>1</v>
      </c>
    </row>
    <row r="40" spans="1:2" x14ac:dyDescent="0.2">
      <c r="A40" t="s">
        <v>812</v>
      </c>
      <c r="B40">
        <v>1</v>
      </c>
    </row>
    <row r="41" spans="1:2" x14ac:dyDescent="0.2">
      <c r="A41" t="s">
        <v>867</v>
      </c>
      <c r="B41">
        <v>1</v>
      </c>
    </row>
    <row r="42" spans="1:2" x14ac:dyDescent="0.2">
      <c r="A42" t="s">
        <v>876</v>
      </c>
      <c r="B42">
        <v>264</v>
      </c>
    </row>
    <row r="43" spans="1:2" x14ac:dyDescent="0.2">
      <c r="A43" t="s">
        <v>91</v>
      </c>
      <c r="B43">
        <v>42</v>
      </c>
    </row>
    <row r="44" spans="1:2" x14ac:dyDescent="0.2">
      <c r="A44" t="s">
        <v>877</v>
      </c>
      <c r="B44">
        <v>306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25" x14ac:dyDescent="0.2"/>
  <cols>
    <col min="1" max="1" width="22" customWidth="1"/>
    <col min="2" max="2" width="105" customWidth="1"/>
  </cols>
  <sheetData>
    <row r="1" spans="1:2" ht="15" customHeight="1" x14ac:dyDescent="0.2">
      <c r="A1" s="14" t="s">
        <v>1251</v>
      </c>
      <c r="B1" s="15" t="s">
        <v>1252</v>
      </c>
    </row>
    <row r="2" spans="1:2" ht="15" customHeight="1" x14ac:dyDescent="0.2">
      <c r="A2" t="s">
        <v>1253</v>
      </c>
      <c r="B2" s="17" t="s">
        <v>1254</v>
      </c>
    </row>
    <row r="3" spans="1:2" ht="15" customHeight="1" x14ac:dyDescent="0.2">
      <c r="A3" t="s">
        <v>1255</v>
      </c>
      <c r="B3" s="17" t="s">
        <v>1256</v>
      </c>
    </row>
    <row r="4" spans="1:2" ht="15" customHeight="1" x14ac:dyDescent="0.2">
      <c r="A4" t="s">
        <v>1257</v>
      </c>
      <c r="B4" s="17" t="s">
        <v>1258</v>
      </c>
    </row>
    <row r="5" spans="1:2" ht="15" customHeight="1" x14ac:dyDescent="0.2">
      <c r="A5" t="s">
        <v>1259</v>
      </c>
      <c r="B5" s="17" t="s">
        <v>1260</v>
      </c>
    </row>
    <row r="6" spans="1:2" ht="15" customHeight="1" x14ac:dyDescent="0.2">
      <c r="A6" t="s">
        <v>1261</v>
      </c>
      <c r="B6" s="17" t="s">
        <v>1262</v>
      </c>
    </row>
    <row r="7" spans="1:2" ht="15" customHeight="1" x14ac:dyDescent="0.2">
      <c r="A7" t="s">
        <v>1263</v>
      </c>
      <c r="B7" s="17" t="s">
        <v>1264</v>
      </c>
    </row>
    <row r="8" spans="1:2" ht="15" customHeight="1" x14ac:dyDescent="0.2">
      <c r="A8" t="s">
        <v>1265</v>
      </c>
      <c r="B8" s="17" t="s">
        <v>1266</v>
      </c>
    </row>
    <row r="9" spans="1:2" ht="15" customHeight="1" x14ac:dyDescent="0.2">
      <c r="A9" t="s">
        <v>1267</v>
      </c>
      <c r="B9" s="17" t="s">
        <v>1268</v>
      </c>
    </row>
    <row r="10" spans="1:2" ht="15" customHeight="1" x14ac:dyDescent="0.2">
      <c r="A10" t="s">
        <v>1269</v>
      </c>
      <c r="B10" s="17" t="s">
        <v>1270</v>
      </c>
    </row>
    <row r="11" spans="1:2" ht="15" customHeight="1" x14ac:dyDescent="0.2">
      <c r="A11" t="s">
        <v>1271</v>
      </c>
      <c r="B11" s="17" t="s">
        <v>1272</v>
      </c>
    </row>
    <row r="12" spans="1:2" ht="15" customHeight="1" x14ac:dyDescent="0.2">
      <c r="A12" t="s">
        <v>889</v>
      </c>
      <c r="B12" s="17" t="s">
        <v>1273</v>
      </c>
    </row>
    <row r="13" spans="1:2" ht="15" customHeight="1" x14ac:dyDescent="0.2">
      <c r="A13" t="s">
        <v>1274</v>
      </c>
      <c r="B13" s="17" t="s">
        <v>1275</v>
      </c>
    </row>
    <row r="14" spans="1:2" ht="15" customHeight="1" x14ac:dyDescent="0.2">
      <c r="A14" t="s">
        <v>1276</v>
      </c>
      <c r="B14" s="17" t="s">
        <v>1277</v>
      </c>
    </row>
    <row r="15" spans="1:2" ht="15" customHeight="1" x14ac:dyDescent="0.2">
      <c r="A15" t="s">
        <v>1278</v>
      </c>
      <c r="B15" s="17" t="s">
        <v>1279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匹配机型汇总</vt:lpstr>
      <vt:lpstr>尺寸重量匹配说明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Chen</cp:lastModifiedBy>
  <dcterms:modified xsi:type="dcterms:W3CDTF">2026-10-19T20:08:50Z</dcterms:modified>
</cp:coreProperties>
</file>