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775543a29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f1fc6f428c46d3"/>
    <x:sheet xmlns:r="http://schemas.openxmlformats.org/officeDocument/2006/relationships" name="匹配机型汇总" sheetId="2" r:id="R03e038655e2e4a2e"/>
    <x:sheet xmlns:r="http://schemas.openxmlformats.org/officeDocument/2006/relationships" name="尺寸地址匹配说明" sheetId="3" r:id="Ree39bdb79558473d"/>
  </x:sheets>
</x:workbook>
</file>

<file path=xl/sharedStrings.xml><?xml version="1.0" encoding="utf-8"?>
<x:sst xmlns:x="http://schemas.openxmlformats.org/spreadsheetml/2006/main">
  <x:si>
    <x:t xml:space="preserve">跟踪号</x:t>
  </x:si>
  <x:si>
    <x:t xml:space="preserve">预收</x:t>
  </x:si>
  <x:si>
    <x:t xml:space="preserve">实收</x:t>
  </x:si>
  <x:si>
    <x:t xml:space="preserve">差额</x:t>
  </x:si>
  <x:si>
    <x:t xml:space="preserve">机型（收货记录）</x:t>
  </x:si>
  <x:si>
    <x:t xml:space="preserve">匹配状态</x:t>
  </x:si>
  <x:si>
    <x:t xml:space="preserve">SN（收货记录）</x:t>
  </x:si>
  <x:si>
    <x:t xml:space="preserve">RMA编号</x:t>
  </x:si>
  <x:si>
    <x:t xml:space="preserve">873757186200</x:t>
  </x:si>
  <x:si>
    <x:t xml:space="preserve">EL200V2</x:t>
  </x:si>
  <x:si>
    <x:t xml:space="preserve">已匹配</x:t>
  </x:si>
  <x:si>
    <x:t xml:space="preserve">Elite 200 V22543139430611</x:t>
  </x:si>
  <x:si>
    <x:t xml:space="preserve">LOG-SRD26070872</x:t>
  </x:si>
  <x:si>
    <x:t xml:space="preserve">873755731950</x:t>
  </x:si>
  <x:si>
    <x:t xml:space="preserve">AC70</x:t>
  </x:si>
  <x:si>
    <x:t xml:space="preserve">AC702540000234211</x:t>
  </x:si>
  <x:si>
    <x:t xml:space="preserve">LOG-SRD26070862</x:t>
  </x:si>
  <x:si>
    <x:t xml:space="preserve">873750602294</x:t>
  </x:si>
  <x:si>
    <x:t xml:space="preserve">AC702540001750146</x:t>
  </x:si>
  <x:si>
    <x:t xml:space="preserve">LOG-SRD26063322</x:t>
  </x:si>
  <x:si>
    <x:t xml:space="preserve">873749424392</x:t>
  </x:si>
  <x:si>
    <x:t xml:space="preserve">AC180</x:t>
  </x:si>
  <x:si>
    <x:t xml:space="preserve">AC1802521100705900</x:t>
  </x:si>
  <x:si>
    <x:t xml:space="preserve">LOG-SRL26063308</x:t>
  </x:si>
  <x:si>
    <x:t xml:space="preserve">873748387608</x:t>
  </x:si>
  <x:si>
    <x:t xml:space="preserve">EL100V2</x:t>
  </x:si>
  <x:si>
    <x:t xml:space="preserve">EL100V22542003222246</x:t>
  </x:si>
  <x:si>
    <x:t xml:space="preserve">LOG-SRL26063289</x:t>
  </x:si>
  <x:si>
    <x:t xml:space="preserve">873747943918</x:t>
  </x:si>
  <x:si>
    <x:t xml:space="preserve">EL100V22543331262852</x:t>
  </x:si>
  <x:si>
    <x:t xml:space="preserve">LOG-SRL26063286</x:t>
  </x:si>
  <x:si>
    <x:t xml:space="preserve">873747342683</x:t>
  </x:si>
  <x:si>
    <x:t xml:space="preserve">AC1802451000794146</x:t>
  </x:si>
  <x:si>
    <x:t xml:space="preserve">LOG-SRL26063282</x:t>
  </x:si>
  <x:si>
    <x:t xml:space="preserve">873744716460</x:t>
  </x:si>
  <x:si>
    <x:t xml:space="preserve">EL300</x:t>
  </x:si>
  <x:si>
    <x:t xml:space="preserve">EL3002613132562620</x:t>
  </x:si>
  <x:si>
    <x:t xml:space="preserve">LOG-SRL26063256</x:t>
  </x:si>
  <x:si>
    <x:t xml:space="preserve">873743038264</x:t>
  </x:si>
  <x:si>
    <x:t xml:space="preserve">PV350</x:t>
  </x:si>
  <x:si>
    <x:t xml:space="preserve">DGM2524PV350D00662</x:t>
  </x:si>
  <x:si>
    <x:t xml:space="preserve">LOG-SRD26073974</x:t>
  </x:si>
  <x:si>
    <x:t xml:space="preserve">873689062051</x:t>
  </x:si>
  <x:si>
    <x:t xml:space="preserve">EL100</x:t>
  </x:si>
  <x:si>
    <x:t xml:space="preserve">EL100V22525020514468</x:t>
  </x:si>
  <x:si>
    <x:t xml:space="preserve">LOG-SRL26063144</x:t>
  </x:si>
  <x:si>
    <x:t xml:space="preserve">873686666786</x:t>
  </x:si>
  <x:si>
    <x:t xml:space="preserve">EL30V2</x:t>
  </x:si>
  <x:si>
    <x:t xml:space="preserve">EL30V22550131226061</x:t>
  </x:si>
  <x:si>
    <x:t xml:space="preserve">873685329559</x:t>
  </x:si>
  <x:si>
    <x:t xml:space="preserve">AC1802441000095273</x:t>
  </x:si>
  <x:si>
    <x:t xml:space="preserve">LOG-SRL26063299</x:t>
  </x:si>
  <x:si>
    <x:t xml:space="preserve">873684283590</x:t>
  </x:si>
  <x:si>
    <x:t xml:space="preserve">AC1802438001442972</x:t>
  </x:si>
  <x:si>
    <x:t xml:space="preserve">LOG-SRL26063100</x:t>
  </x:si>
  <x:si>
    <x:t xml:space="preserve">873682371233</x:t>
  </x:si>
  <x:si>
    <x:t xml:space="preserve">AC702337000393011</x:t>
  </x:si>
  <x:si>
    <x:t xml:space="preserve">LOG-CRP26063084</x:t>
  </x:si>
  <x:si>
    <x:t xml:space="preserve">873679799079</x:t>
  </x:si>
  <x:si>
    <x:t xml:space="preserve">EL100V22541000218106</x:t>
  </x:si>
  <x:si>
    <x:t xml:space="preserve">LOG-SRL26063064</x:t>
  </x:si>
  <x:si>
    <x:t xml:space="preserve">873668650078</x:t>
  </x:si>
  <x:si>
    <x:t xml:space="preserve">RV5</x:t>
  </x:si>
  <x:si>
    <x:t xml:space="preserve">RV52534020622093</x:t>
  </x:si>
  <x:si>
    <x:t xml:space="preserve">LOG-SRD26063011</x:t>
  </x:si>
  <x:si>
    <x:t xml:space="preserve">873651415340</x:t>
  </x:si>
  <x:si>
    <x:t xml:space="preserve">AC200M</x:t>
  </x:si>
  <x:si>
    <x:t xml:space="preserve">AC200M2342001617281</x:t>
  </x:si>
  <x:si>
    <x:t xml:space="preserve">LOG-CRP26063079</x:t>
  </x:si>
  <x:si>
    <x:t xml:space="preserve">873651295526</x:t>
  </x:si>
  <x:si>
    <x:t xml:space="preserve">EL3002613132466776</x:t>
  </x:si>
  <x:si>
    <x:t xml:space="preserve">LOG-SRD26070406</x:t>
  </x:si>
  <x:si>
    <x:t xml:space="preserve">873651184982</x:t>
  </x:si>
  <x:si>
    <x:t xml:space="preserve">AC50B</x:t>
  </x:si>
  <x:si>
    <x:t xml:space="preserve">AC50B2547131580192</x:t>
  </x:si>
  <x:si>
    <x:t xml:space="preserve">LOG-SRD26063067</x:t>
  </x:si>
  <x:si>
    <x:t xml:space="preserve">873648195891</x:t>
  </x:si>
  <x:si>
    <x:t xml:space="preserve">EL3002613135059172</x:t>
  </x:si>
  <x:si>
    <x:t xml:space="preserve">LOG-SRL26062972</x:t>
  </x:si>
  <x:si>
    <x:t xml:space="preserve">873602771330</x:t>
  </x:si>
  <x:si>
    <x:t xml:space="preserve">AB3A</x:t>
  </x:si>
  <x:si>
    <x:t xml:space="preserve">EB3A2438003052560</x:t>
  </x:si>
  <x:si>
    <x:t xml:space="preserve">无源头退货已入库</x:t>
  </x:si>
  <x:si>
    <x:t xml:space="preserve">873601492219</x:t>
  </x:si>
  <x:si>
    <x:t xml:space="preserve">EL100V22539002717051</x:t>
  </x:si>
  <x:si>
    <x:t xml:space="preserve">LOG-SRL26062892</x:t>
  </x:si>
  <x:si>
    <x:t xml:space="preserve">873601056047</x:t>
  </x:si>
  <x:si>
    <x:t xml:space="preserve">EL400</x:t>
  </x:si>
  <x:si>
    <x:t xml:space="preserve">EL4002538110028933</x:t>
  </x:si>
  <x:si>
    <x:t xml:space="preserve">LOG-SRL26062885</x:t>
  </x:si>
  <x:si>
    <x:t xml:space="preserve">873599566482</x:t>
  </x:si>
  <x:si>
    <x:t xml:space="preserve">未匹配</x:t>
  </x:si>
  <x:si>
    <x:t xml:space="preserve">873598300616</x:t>
  </x:si>
  <x:si>
    <x:t xml:space="preserve">EL100V22541020872702</x:t>
  </x:si>
  <x:si>
    <x:t xml:space="preserve">LOG-SRL26062855</x:t>
  </x:si>
  <x:si>
    <x:t xml:space="preserve">873597902928</x:t>
  </x:si>
  <x:si>
    <x:t xml:space="preserve">AC1802435001053047</x:t>
  </x:si>
  <x:si>
    <x:t xml:space="preserve">LOG-SRL26062850</x:t>
  </x:si>
  <x:si>
    <x:t xml:space="preserve">873595316833</x:t>
  </x:si>
  <x:si>
    <x:t xml:space="preserve">AC702549233082734</x:t>
  </x:si>
  <x:si>
    <x:t xml:space="preserve">LOG-SRD26062823</x:t>
  </x:si>
  <x:si>
    <x:t xml:space="preserve">873591534306</x:t>
  </x:si>
  <x:si>
    <x:t xml:space="preserve">AC702424003001484</x:t>
  </x:si>
  <x:si>
    <x:t xml:space="preserve">LOG-CRP26062781</x:t>
  </x:si>
  <x:si>
    <x:t xml:space="preserve">873551801515</x:t>
  </x:si>
  <x:si>
    <x:t xml:space="preserve">AC702539011288995</x:t>
  </x:si>
  <x:si>
    <x:t xml:space="preserve">LOG-SRD26062911</x:t>
  </x:si>
  <x:si>
    <x:t xml:space="preserve">873550710598</x:t>
  </x:si>
  <x:si>
    <x:t xml:space="preserve">EL200</x:t>
  </x:si>
  <x:si>
    <x:t xml:space="preserve">Elite 200 V22543137014462</x:t>
  </x:si>
  <x:si>
    <x:t xml:space="preserve">LOG-SRD26062910</x:t>
  </x:si>
  <x:si>
    <x:t xml:space="preserve">873550060825</x:t>
  </x:si>
  <x:si>
    <x:t xml:space="preserve">AC702540000074422</x:t>
  </x:si>
  <x:si>
    <x:t xml:space="preserve">LOG-SRD26062908</x:t>
  </x:si>
  <x:si>
    <x:t xml:space="preserve">873544383510</x:t>
  </x:si>
  <x:si>
    <x:t xml:space="preserve">EL100V22539003607450</x:t>
  </x:si>
  <x:si>
    <x:t xml:space="preserve">LOG-SRL26062687</x:t>
  </x:si>
  <x:si>
    <x:t xml:space="preserve">873543285720</x:t>
  </x:si>
  <x:si>
    <x:t xml:space="preserve">EL100V22545131315498</x:t>
  </x:si>
  <x:si>
    <x:t xml:space="preserve">LOG-SRL26062679</x:t>
  </x:si>
  <x:si>
    <x:t xml:space="preserve">873543235287</x:t>
  </x:si>
  <x:si>
    <x:t xml:space="preserve">AC1802330004071213</x:t>
  </x:si>
  <x:si>
    <x:t xml:space="preserve">LOG-CRP26062678</x:t>
  </x:si>
  <x:si>
    <x:t xml:space="preserve">873490306183</x:t>
  </x:si>
  <x:si>
    <x:t xml:space="preserve">AC702539011591410</x:t>
  </x:si>
  <x:si>
    <x:t xml:space="preserve">LOG-SRD26062550</x:t>
  </x:si>
  <x:si>
    <x:t xml:space="preserve">873487241521</x:t>
  </x:si>
  <x:si>
    <x:t xml:space="preserve">AC1802535025210237</x:t>
  </x:si>
  <x:si>
    <x:t xml:space="preserve">LOG-SRD26062549</x:t>
  </x:si>
  <x:si>
    <x:t xml:space="preserve">873485268926</x:t>
  </x:si>
  <x:si>
    <x:t xml:space="preserve">EL3002613134977908</x:t>
  </x:si>
  <x:si>
    <x:t xml:space="preserve">LOG-SRL26062502</x:t>
  </x:si>
  <x:si>
    <x:t xml:space="preserve">873481838718</x:t>
  </x:si>
  <x:si>
    <x:t xml:space="preserve">EL100V22542132609892</x:t>
  </x:si>
  <x:si>
    <x:t xml:space="preserve">LOG-SRL26062464</x:t>
  </x:si>
  <x:si>
    <x:t xml:space="preserve">873478624488</x:t>
  </x:si>
  <x:si>
    <x:t xml:space="preserve">EL4002604130313330</x:t>
  </x:si>
  <x:si>
    <x:t xml:space="preserve">LOG-SRD26062444</x:t>
  </x:si>
  <x:si>
    <x:t xml:space="preserve">873476103347</x:t>
  </x:si>
  <x:si>
    <x:t xml:space="preserve">BC200</x:t>
  </x:si>
  <x:si>
    <x:t xml:space="preserve">BC2002603133742207</x:t>
  </x:si>
  <x:si>
    <x:t xml:space="preserve">LOG-SRL26062421</x:t>
  </x:si>
  <x:si>
    <x:t xml:space="preserve">873475760387</x:t>
  </x:si>
  <x:si>
    <x:t xml:space="preserve">FridgePower</x:t>
  </x:si>
  <x:si>
    <x:t xml:space="preserve">FP2604137198368</x:t>
  </x:si>
  <x:si>
    <x:t xml:space="preserve">LOG-SRL26062415</x:t>
  </x:si>
  <x:si>
    <x:t xml:space="preserve">873469399623</x:t>
  </x:si>
  <x:si>
    <x:t xml:space="preserve">AC300</x:t>
  </x:si>
  <x:si>
    <x:t xml:space="preserve">AC3002211001587941</x:t>
  </x:si>
  <x:si>
    <x:t xml:space="preserve">LOG-CRP26062385</x:t>
  </x:si>
  <x:si>
    <x:t xml:space="preserve">873426897860</x:t>
  </x:si>
  <x:si>
    <x:t xml:space="preserve">EL100V22540001629856</x:t>
  </x:si>
  <x:si>
    <x:t xml:space="preserve">LOG-SRD26062352</x:t>
  </x:si>
  <x:si>
    <x:t xml:space="preserve">873425107021</x:t>
  </x:si>
  <x:si>
    <x:t xml:space="preserve">AC1802337002296499</x:t>
  </x:si>
  <x:si>
    <x:t xml:space="preserve">LOG-CRP26062320</x:t>
  </x:si>
  <x:si>
    <x:t xml:space="preserve">873425039388</x:t>
  </x:si>
  <x:si>
    <x:t xml:space="preserve">EL100V22539003697873</x:t>
  </x:si>
  <x:si>
    <x:t xml:space="preserve">LOG-SRD26062319</x:t>
  </x:si>
  <x:si>
    <x:t xml:space="preserve">873424752756</x:t>
  </x:si>
  <x:si>
    <x:t xml:space="preserve">EL100V22537006085458</x:t>
  </x:si>
  <x:si>
    <x:t xml:space="preserve">LOG-SRL26062317</x:t>
  </x:si>
  <x:si>
    <x:t xml:space="preserve">873424570680</x:t>
  </x:si>
  <x:si>
    <x:t xml:space="preserve">EL100V22541000465267</x:t>
  </x:si>
  <x:si>
    <x:t xml:space="preserve">LOG-SRL26062316</x:t>
  </x:si>
  <x:si>
    <x:t xml:space="preserve">873424093974</x:t>
  </x:si>
  <x:si>
    <x:t xml:space="preserve">EL100V22540002907523</x:t>
  </x:si>
  <x:si>
    <x:t xml:space="preserve">LOG-SRL26062309</x:t>
  </x:si>
  <x:si>
    <x:t xml:space="preserve">873423033354</x:t>
  </x:si>
  <x:si>
    <x:t xml:space="preserve">873417139073</x:t>
  </x:si>
  <x:si>
    <x:t xml:space="preserve">AC1802441003667662</x:t>
  </x:si>
  <x:si>
    <x:t xml:space="preserve">LOG-CRP26062258</x:t>
  </x:si>
  <x:si>
    <x:t xml:space="preserve">873416411900</x:t>
  </x:si>
  <x:si>
    <x:t xml:space="preserve">CHANGER2</x:t>
  </x:si>
  <x:si>
    <x:t xml:space="preserve">CHARGER 22544115581684</x:t>
  </x:si>
  <x:si>
    <x:t xml:space="preserve">LOG-SRN26062425</x:t>
  </x:si>
  <x:si>
    <x:t xml:space="preserve">873371346866</x:t>
  </x:si>
  <x:si>
    <x:t xml:space="preserve">AC702540001411677</x:t>
  </x:si>
  <x:si>
    <x:t xml:space="preserve">LOG-SRD26070186</x:t>
  </x:si>
  <x:si>
    <x:t xml:space="preserve">873364626827</x:t>
  </x:si>
  <x:si>
    <x:t xml:space="preserve">AC200L</x:t>
  </x:si>
  <x:si>
    <x:t xml:space="preserve">AC200L2424003457898</x:t>
  </x:si>
  <x:si>
    <x:t xml:space="preserve">LOG-SRD26062181</x:t>
  </x:si>
  <x:si>
    <x:t xml:space="preserve">873363411682</x:t>
  </x:si>
  <x:si>
    <x:t xml:space="preserve">873362675888</x:t>
  </x:si>
  <x:si>
    <x:t xml:space="preserve">AC3002221001473503</x:t>
  </x:si>
  <x:si>
    <x:t xml:space="preserve">LOG-SRL26062173</x:t>
  </x:si>
  <x:si>
    <x:t xml:space="preserve">873354707385</x:t>
  </x:si>
  <x:si>
    <x:t xml:space="preserve">EL3002613132581421</x:t>
  </x:si>
  <x:si>
    <x:t xml:space="preserve">LOG-SRD26062350</x:t>
  </x:si>
  <x:si>
    <x:t xml:space="preserve">873354490358</x:t>
  </x:si>
  <x:si>
    <x:t xml:space="preserve">AC702540000057568</x:t>
  </x:si>
  <x:si>
    <x:t xml:space="preserve">LOG-SRD26062106</x:t>
  </x:si>
  <x:si>
    <x:t xml:space="preserve">873342102865</x:t>
  </x:si>
  <x:si>
    <x:t xml:space="preserve">EL100V22542130396164</x:t>
  </x:si>
  <x:si>
    <x:t xml:space="preserve">LOG-SRD26062057</x:t>
  </x:si>
  <x:si>
    <x:t xml:space="preserve">873341905734</x:t>
  </x:si>
  <x:si>
    <x:t xml:space="preserve">EL100V22528040699658</x:t>
  </x:si>
  <x:si>
    <x:t xml:space="preserve">LOG-SRD26062484</x:t>
  </x:si>
  <x:si>
    <x:t xml:space="preserve">873341808833</x:t>
  </x:si>
  <x:si>
    <x:t xml:space="preserve">SOLARX 4K</x:t>
  </x:si>
  <x:si>
    <x:t xml:space="preserve">SolarX 4K2537110084548</x:t>
  </x:si>
  <x:si>
    <x:t xml:space="preserve">LOG-SRL26062052</x:t>
  </x:si>
  <x:si>
    <x:t xml:space="preserve">873341053904</x:t>
  </x:si>
  <x:si>
    <x:t xml:space="preserve">EL4002604130141003</x:t>
  </x:si>
  <x:si>
    <x:t xml:space="preserve">LOG-SRD26062048</x:t>
  </x:si>
  <x:si>
    <x:t xml:space="preserve">873246589963</x:t>
  </x:si>
  <x:si>
    <x:t xml:space="preserve">RV52534020463834</x:t>
  </x:si>
  <x:si>
    <x:t xml:space="preserve">LOG-SRL26062014</x:t>
  </x:si>
  <x:si>
    <x:t xml:space="preserve">873244180333</x:t>
  </x:si>
  <x:si>
    <x:t xml:space="preserve">Elite 200 V22541002430109</x:t>
  </x:si>
  <x:si>
    <x:t xml:space="preserve">LOG-SRD26062194</x:t>
  </x:si>
  <x:si>
    <x:t xml:space="preserve">873243819966</x:t>
  </x:si>
  <x:si>
    <x:t xml:space="preserve">EL100V22540001070868</x:t>
  </x:si>
  <x:si>
    <x:t xml:space="preserve">LOG-SRL26062005</x:t>
  </x:si>
  <x:si>
    <x:t xml:space="preserve">873243276841</x:t>
  </x:si>
  <x:si>
    <x:t xml:space="preserve">AC1802538000767268</x:t>
  </x:si>
  <x:si>
    <x:t xml:space="preserve">LOG-SRD26062002</x:t>
  </x:si>
  <x:si>
    <x:t xml:space="preserve">873236800602</x:t>
  </x:si>
  <x:si>
    <x:t xml:space="preserve">AC1802411002384297</x:t>
  </x:si>
  <x:si>
    <x:t xml:space="preserve">LOG-SRL26061953</x:t>
  </x:si>
  <x:si>
    <x:t xml:space="preserve">873236734387</x:t>
  </x:si>
  <x:si>
    <x:t xml:space="preserve">EL100V22528040309553</x:t>
  </x:si>
  <x:si>
    <x:t xml:space="preserve">LOG-SRL26061952</x:t>
  </x:si>
  <x:si>
    <x:t xml:space="preserve">873225513272</x:t>
  </x:si>
  <x:si>
    <x:t xml:space="preserve">AC1802451005876659</x:t>
  </x:si>
  <x:si>
    <x:t xml:space="preserve">LOG-CRP26061894</x:t>
  </x:si>
  <x:si>
    <x:t xml:space="preserve">873223702212</x:t>
  </x:si>
  <x:si>
    <x:t xml:space="preserve">AC1802444001000219</x:t>
  </x:si>
  <x:si>
    <x:t xml:space="preserve">LOG-CRP26061892</x:t>
  </x:si>
  <x:si>
    <x:t xml:space="preserve">873188705179</x:t>
  </x:si>
  <x:si>
    <x:t xml:space="preserve">EL100V22542000453127</x:t>
  </x:si>
  <x:si>
    <x:t xml:space="preserve">LOG-SRL26061868</x:t>
  </x:si>
  <x:si>
    <x:t xml:space="preserve">873185409203</x:t>
  </x:si>
  <x:si>
    <x:t xml:space="preserve">AC1802447000956014</x:t>
  </x:si>
  <x:si>
    <x:t xml:space="preserve">LOG-SRL26061825</x:t>
  </x:si>
  <x:si>
    <x:t xml:space="preserve">873185263260</x:t>
  </x:si>
  <x:si>
    <x:t xml:space="preserve">EL100V22542001679458</x:t>
  </x:si>
  <x:si>
    <x:t xml:space="preserve">LOG-SRL26070320</x:t>
  </x:si>
  <x:si>
    <x:t xml:space="preserve">873180402870</x:t>
  </x:si>
  <x:si>
    <x:t xml:space="preserve">B300</x:t>
  </x:si>
  <x:si>
    <x:t xml:space="preserve">80446Z22350481</x:t>
  </x:si>
  <x:si>
    <x:t xml:space="preserve">LOG-CRP26061779</x:t>
  </x:si>
  <x:si>
    <x:t xml:space="preserve">873177517802</x:t>
  </x:si>
  <x:si>
    <x:t xml:space="preserve">AC1802411001631567</x:t>
  </x:si>
  <x:si>
    <x:t xml:space="preserve">LOG-CRP26061736</x:t>
  </x:si>
  <x:si>
    <x:t xml:space="preserve">873169813564</x:t>
  </x:si>
  <x:si>
    <x:t xml:space="preserve">873162864479</x:t>
  </x:si>
  <x:si>
    <x:t xml:space="preserve">873149110472</x:t>
  </x:si>
  <x:si>
    <x:t xml:space="preserve">873133287628</x:t>
  </x:si>
  <x:si>
    <x:t xml:space="preserve">AC1802535000107167</x:t>
  </x:si>
  <x:si>
    <x:t xml:space="preserve">LOG-SRL26061703</x:t>
  </x:si>
  <x:si>
    <x:t xml:space="preserve">873132283590</x:t>
  </x:si>
  <x:si>
    <x:t xml:space="preserve">LOG-SRL26061700</x:t>
  </x:si>
  <x:si>
    <x:t xml:space="preserve">873129844982</x:t>
  </x:si>
  <x:si>
    <x:t xml:space="preserve">EL100V22534008916185</x:t>
  </x:si>
  <x:si>
    <x:t xml:space="preserve">LOG-SRD26061668</x:t>
  </x:si>
  <x:si>
    <x:t xml:space="preserve">873125800348</x:t>
  </x:si>
  <x:si>
    <x:t xml:space="preserve">AC1802339003131620</x:t>
  </x:si>
  <x:si>
    <x:t xml:space="preserve">LOG-SRL26061634</x:t>
  </x:si>
  <x:si>
    <x:t xml:space="preserve">873124536230</x:t>
  </x:si>
  <x:si>
    <x:t xml:space="preserve">EL4002604130341605</x:t>
  </x:si>
  <x:si>
    <x:t xml:space="preserve">LOG-SRD26061707</x:t>
  </x:si>
  <x:si>
    <x:t xml:space="preserve">873123390590</x:t>
  </x:si>
  <x:si>
    <x:t xml:space="preserve">AC1802438000691508</x:t>
  </x:si>
  <x:si>
    <x:t xml:space="preserve">LOG-CRP26061613</x:t>
  </x:si>
  <x:si>
    <x:t xml:space="preserve">873122402042</x:t>
  </x:si>
  <x:si>
    <x:t xml:space="preserve">AC1802419004125947</x:t>
  </x:si>
  <x:si>
    <x:t xml:space="preserve">LOG-SRL26061598</x:t>
  </x:si>
  <x:si>
    <x:t xml:space="preserve">873114830593</x:t>
  </x:si>
  <x:si>
    <x:t xml:space="preserve">873112849706</x:t>
  </x:si>
  <x:si>
    <x:t xml:space="preserve">873109425609</x:t>
  </x:si>
  <x:si>
    <x:t xml:space="preserve">873109426178</x:t>
  </x:si>
  <x:si>
    <x:t xml:space="preserve">873109425778</x:t>
  </x:si>
  <x:si>
    <x:t xml:space="preserve">873109426101</x:t>
  </x:si>
  <x:si>
    <x:t xml:space="preserve">873109423812</x:t>
  </x:si>
  <x:si>
    <x:t xml:space="preserve">873109427862</x:t>
  </x:si>
  <x:si>
    <x:t xml:space="preserve">873109425403</x:t>
  </x:si>
  <x:si>
    <x:t xml:space="preserve">873109426156</x:t>
  </x:si>
  <x:si>
    <x:t xml:space="preserve">873109423503</x:t>
  </x:si>
  <x:si>
    <x:t xml:space="preserve">873109426362</x:t>
  </x:si>
  <x:si>
    <x:t xml:space="preserve">873109426329</x:t>
  </x:si>
  <x:si>
    <x:t xml:space="preserve">873109426400</x:t>
  </x:si>
  <x:si>
    <x:t xml:space="preserve">873109426866</x:t>
  </x:si>
  <x:si>
    <x:t xml:space="preserve">873109427196</x:t>
  </x:si>
  <x:si>
    <x:t xml:space="preserve">873109427428</x:t>
  </x:si>
  <x:si>
    <x:t xml:space="preserve">873109424418</x:t>
  </x:si>
  <x:si>
    <x:t xml:space="preserve">873109425701</x:t>
  </x:si>
  <x:si>
    <x:t xml:space="preserve">873109428001</x:t>
  </x:si>
  <x:si>
    <x:t xml:space="preserve">873109426682</x:t>
  </x:si>
  <x:si>
    <x:t xml:space="preserve">873109424680</x:t>
  </x:si>
  <x:si>
    <x:t xml:space="preserve">873109425642</x:t>
  </x:si>
  <x:si>
    <x:t xml:space="preserve">873109425620</x:t>
  </x:si>
  <x:si>
    <x:t xml:space="preserve">873109426410</x:t>
  </x:si>
  <x:si>
    <x:t xml:space="preserve">873109426796</x:t>
  </x:si>
  <x:si>
    <x:t xml:space="preserve">873097759126</x:t>
  </x:si>
  <x:si>
    <x:t xml:space="preserve">AC1802452001026857</x:t>
  </x:si>
  <x:si>
    <x:t xml:space="preserve">LOG-CRP26061565</x:t>
  </x:si>
  <x:si>
    <x:t xml:space="preserve">873067151160</x:t>
  </x:si>
  <x:si>
    <x:t xml:space="preserve">EL100V22523010258882</x:t>
  </x:si>
  <x:si>
    <x:t xml:space="preserve">LOG-SRL26061514</x:t>
  </x:si>
  <x:si>
    <x:t xml:space="preserve">873066802429</x:t>
  </x:si>
  <x:si>
    <x:t xml:space="preserve">AC200L2451000987452</x:t>
  </x:si>
  <x:si>
    <x:t xml:space="preserve">LOG-SRL26061508</x:t>
  </x:si>
  <x:si>
    <x:t xml:space="preserve">873062619570</x:t>
  </x:si>
  <x:si>
    <x:t xml:space="preserve">EL100V22537013898576</x:t>
  </x:si>
  <x:si>
    <x:t xml:space="preserve">LOG-SRL26061457</x:t>
  </x:si>
  <x:si>
    <x:t xml:space="preserve">875147813128</x:t>
  </x:si>
  <x:si>
    <x:t xml:space="preserve">875141356162</x:t>
  </x:si>
  <x:si>
    <x:t xml:space="preserve">AP300</x:t>
  </x:si>
  <x:si>
    <x:t xml:space="preserve">AP3002543130695346</x:t>
  </x:si>
  <x:si>
    <x:t xml:space="preserve">LOG-SRL26075085</x:t>
  </x:si>
  <x:si>
    <x:t xml:space="preserve">875136838411</x:t>
  </x:si>
  <x:si>
    <x:t xml:space="preserve">AC2A</x:t>
  </x:si>
  <x:si>
    <x:t xml:space="preserve">AC2A2341000690656</x:t>
  </x:si>
  <x:si>
    <x:t xml:space="preserve">LOG-CRP26074611</x:t>
  </x:si>
  <x:si>
    <x:t xml:space="preserve">875134297499</x:t>
  </x:si>
  <x:si>
    <x:t xml:space="preserve">FRPOWER</x:t>
  </x:si>
  <x:si>
    <x:t xml:space="preserve">FP2543112485057</x:t>
  </x:si>
  <x:si>
    <x:t xml:space="preserve">LOG-SRL26074999</x:t>
  </x:si>
  <x:si>
    <x:t xml:space="preserve">875132753001</x:t>
  </x:si>
  <x:si>
    <x:t xml:space="preserve">EL3002609135922544</x:t>
  </x:si>
  <x:si>
    <x:t xml:space="preserve">LOG-SRL26074983</x:t>
  </x:si>
  <x:si>
    <x:t xml:space="preserve">875130751304</x:t>
  </x:si>
  <x:si>
    <x:t xml:space="preserve">FP2542115928489</x:t>
  </x:si>
  <x:si>
    <x:t xml:space="preserve">LOG-SRL26074971</x:t>
  </x:si>
  <x:si>
    <x:t xml:space="preserve">875130496183</x:t>
  </x:si>
  <x:si>
    <x:t xml:space="preserve">B300K2</x:t>
  </x:si>
  <x:si>
    <x:t xml:space="preserve">B300K2541003502035</x:t>
  </x:si>
  <x:si>
    <x:t xml:space="preserve">LOG-SRL26074970</x:t>
  </x:si>
  <x:si>
    <x:t xml:space="preserve">875086683086</x:t>
  </x:si>
  <x:si>
    <x:t xml:space="preserve">60300Q22250755</x:t>
  </x:si>
  <x:si>
    <x:t xml:space="preserve">LOG-SRL26074883</x:t>
  </x:si>
  <x:si>
    <x:t xml:space="preserve">875083885545</x:t>
  </x:si>
  <x:si>
    <x:t xml:space="preserve">AC702444001363827</x:t>
  </x:si>
  <x:si>
    <x:t xml:space="preserve">LOG-SRL26074856</x:t>
  </x:si>
  <x:si>
    <x:t xml:space="preserve">875083140676</x:t>
  </x:si>
  <x:si>
    <x:t xml:space="preserve">AC200L2343920386246</x:t>
  </x:si>
  <x:si>
    <x:t xml:space="preserve">LOG-CRP26074838</x:t>
  </x:si>
  <x:si>
    <x:t xml:space="preserve">875082163177</x:t>
  </x:si>
  <x:si>
    <x:t xml:space="preserve">EL100V22539005496313</x:t>
  </x:si>
  <x:si>
    <x:t xml:space="preserve">LOG-SRL26074825</x:t>
  </x:si>
  <x:si>
    <x:t xml:space="preserve">875079467174</x:t>
  </x:si>
  <x:si>
    <x:t xml:space="preserve">AC50B2547231937934</x:t>
  </x:si>
  <x:si>
    <x:t xml:space="preserve">LOG-SRD26074792</x:t>
  </x:si>
  <x:si>
    <x:t xml:space="preserve">875031214446</x:t>
  </x:si>
  <x:si>
    <x:t xml:space="preserve">EL100V22532011413915</x:t>
  </x:si>
  <x:si>
    <x:t xml:space="preserve">LOG-SRD26074727</x:t>
  </x:si>
  <x:si>
    <x:t xml:space="preserve">875030499683</x:t>
  </x:si>
  <x:si>
    <x:t xml:space="preserve">B300S</x:t>
  </x:si>
  <x:si>
    <x:t xml:space="preserve">90259Q22390169</x:t>
  </x:si>
  <x:si>
    <x:t xml:space="preserve">LOG-CRP26080245</x:t>
  </x:si>
  <x:si>
    <x:t xml:space="preserve">875028998897</x:t>
  </x:si>
  <x:si>
    <x:t xml:space="preserve">Elite 200 V2</x:t>
  </x:si>
  <x:si>
    <x:t xml:space="preserve">Elite 200 V22537022642545</x:t>
  </x:si>
  <x:si>
    <x:t xml:space="preserve">LOG-SRD26074726</x:t>
  </x:si>
  <x:si>
    <x:t xml:space="preserve">875028961352</x:t>
  </x:si>
  <x:si>
    <x:t xml:space="preserve">AC1802413002116772</x:t>
  </x:si>
  <x:si>
    <x:t xml:space="preserve">LOG-SRL26074677</x:t>
  </x:si>
  <x:si>
    <x:t xml:space="preserve">875028256192</x:t>
  </x:si>
  <x:si>
    <x:t xml:space="preserve">AC1802411002562652</x:t>
  </x:si>
  <x:si>
    <x:t xml:space="preserve">LOG-CRP26075056</x:t>
  </x:si>
  <x:si>
    <x:t xml:space="preserve">875026925112</x:t>
  </x:si>
  <x:si>
    <x:t xml:space="preserve">EL100V22528042929301</x:t>
  </x:si>
  <x:si>
    <x:t xml:space="preserve">LOG-SRL26074640</x:t>
  </x:si>
  <x:si>
    <x:t xml:space="preserve">875025668912</x:t>
  </x:si>
  <x:si>
    <x:t xml:space="preserve">EL100V22542000642131</x:t>
  </x:si>
  <x:si>
    <x:t xml:space="preserve">LOG-SRL26074615</x:t>
  </x:si>
  <x:si>
    <x:t xml:space="preserve">875025544912</x:t>
  </x:si>
  <x:si>
    <x:t xml:space="preserve">AP3002543130016795</x:t>
  </x:si>
  <x:si>
    <x:t xml:space="preserve">LOG-CRP26074614</x:t>
  </x:si>
  <x:si>
    <x:t xml:space="preserve">875025330119</x:t>
  </x:si>
  <x:si>
    <x:t xml:space="preserve">EL4002604130362161</x:t>
  </x:si>
  <x:si>
    <x:t xml:space="preserve">875025085242</x:t>
  </x:si>
  <x:si>
    <x:t xml:space="preserve">EL100V22526091127598</x:t>
  </x:si>
  <x:si>
    <x:t xml:space="preserve">LOG-SRD26074607</x:t>
  </x:si>
  <x:si>
    <x:t xml:space="preserve">875023902513</x:t>
  </x:si>
  <x:si>
    <x:t xml:space="preserve">EL100V22537000934596</x:t>
  </x:si>
  <x:si>
    <x:t xml:space="preserve">LOG-SRD26075055</x:t>
  </x:si>
  <x:si>
    <x:t xml:space="preserve">875020713663</x:t>
  </x:si>
  <x:si>
    <x:t xml:space="preserve">AC3002224000438005</x:t>
  </x:si>
  <x:si>
    <x:t xml:space="preserve">LOG-CRP26075025</x:t>
  </x:si>
  <x:si>
    <x:t xml:space="preserve">874984443910</x:t>
  </x:si>
  <x:si>
    <x:t xml:space="preserve">AC200L2439001643472</x:t>
  </x:si>
  <x:si>
    <x:t xml:space="preserve">LOG-SRL26073921</x:t>
  </x:si>
  <x:si>
    <x:t xml:space="preserve">874973366473</x:t>
  </x:si>
  <x:si>
    <x:t xml:space="preserve">AC1802419003205560</x:t>
  </x:si>
  <x:si>
    <x:t xml:space="preserve">LOG-CRP26074531</x:t>
  </x:si>
  <x:si>
    <x:t xml:space="preserve">874972476665</x:t>
  </x:si>
  <x:si>
    <x:t xml:space="preserve">1120218L287225100421</x:t>
  </x:si>
  <x:si>
    <x:t xml:space="preserve">LOG-CRP26074359</x:t>
  </x:si>
  <x:si>
    <x:t xml:space="preserve">874970642534</x:t>
  </x:si>
  <x:si>
    <x:t xml:space="preserve">874961321496</x:t>
  </x:si>
  <x:si>
    <x:t xml:space="preserve">AC50B2547231810566</x:t>
  </x:si>
  <x:si>
    <x:t xml:space="preserve">LOG-SRD26074360</x:t>
  </x:si>
  <x:si>
    <x:t xml:space="preserve">874909437335</x:t>
  </x:si>
  <x:si>
    <x:t xml:space="preserve">EL100V22534009763257</x:t>
  </x:si>
  <x:si>
    <x:t xml:space="preserve">LOG-SRL26074265</x:t>
  </x:si>
  <x:si>
    <x:t xml:space="preserve">874906233666</x:t>
  </x:si>
  <x:si>
    <x:t xml:space="preserve">AC1802339002100985</x:t>
  </x:si>
  <x:si>
    <x:t xml:space="preserve">LOG-CRP26074229</x:t>
  </x:si>
  <x:si>
    <x:t xml:space="preserve">874897403844</x:t>
  </x:si>
  <x:si>
    <x:t xml:space="preserve">EL100V22532031567917</x:t>
  </x:si>
  <x:si>
    <x:t xml:space="preserve">LOG-SRL26074148</x:t>
  </x:si>
  <x:si>
    <x:t xml:space="preserve">874895163253</x:t>
  </x:si>
  <x:si>
    <x:t xml:space="preserve">EL4002604234002484</x:t>
  </x:si>
  <x:si>
    <x:t xml:space="preserve">LOG-SRD26074133</x:t>
  </x:si>
  <x:si>
    <x:t xml:space="preserve">874871743570</x:t>
  </x:si>
  <x:si>
    <x:t xml:space="preserve">EL3002609134370408</x:t>
  </x:si>
  <x:si>
    <x:t xml:space="preserve">LOG-SRL26074251</x:t>
  </x:si>
  <x:si>
    <x:t xml:space="preserve">874871197059</x:t>
  </x:si>
  <x:si>
    <x:t xml:space="preserve">AC702452000303662</x:t>
  </x:si>
  <x:si>
    <x:t xml:space="preserve">LOG-SRD26074114</x:t>
  </x:si>
  <x:si>
    <x:t xml:space="preserve">874829655122</x:t>
  </x:si>
  <x:si>
    <x:t xml:space="preserve">EL100V22532000436611</x:t>
  </x:si>
  <x:si>
    <x:t xml:space="preserve">LOG-SRD26074113</x:t>
  </x:si>
  <x:si>
    <x:t xml:space="preserve">874825347598</x:t>
  </x:si>
  <x:si>
    <x:t xml:space="preserve">FP2</x:t>
  </x:si>
  <x:si>
    <x:t xml:space="preserve">FP2604137177596</x:t>
  </x:si>
  <x:si>
    <x:t xml:space="preserve">LOG-SRD26074040</x:t>
  </x:si>
  <x:si>
    <x:t xml:space="preserve">874820585846</x:t>
  </x:si>
  <x:si>
    <x:t xml:space="preserve">EL100V22532000190186</x:t>
  </x:si>
  <x:si>
    <x:t xml:space="preserve">LOG-SRL26074058</x:t>
  </x:si>
  <x:si>
    <x:t xml:space="preserve">874819305254</x:t>
  </x:si>
  <x:si>
    <x:t xml:space="preserve">EL100V22539000267905</x:t>
  </x:si>
  <x:si>
    <x:t xml:space="preserve">LOG-SRL26073982</x:t>
  </x:si>
  <x:si>
    <x:t xml:space="preserve">874818799127</x:t>
  </x:si>
  <x:si>
    <x:t xml:space="preserve">AP3002543130297268</x:t>
  </x:si>
  <x:si>
    <x:t xml:space="preserve">LOG-SRN26080381</x:t>
  </x:si>
  <x:si>
    <x:t xml:space="preserve">874770576523</x:t>
  </x:si>
  <x:si>
    <x:t xml:space="preserve">AC200L2439001729599</x:t>
  </x:si>
  <x:si>
    <x:t xml:space="preserve">LOG-SRL26073837</x:t>
  </x:si>
  <x:si>
    <x:t xml:space="preserve">874766473687</x:t>
  </x:si>
  <x:si>
    <x:t xml:space="preserve">AC702434000348875</x:t>
  </x:si>
  <x:si>
    <x:t xml:space="preserve">LOG-SRD26073900</x:t>
  </x:si>
  <x:si>
    <x:t xml:space="preserve">874765539780</x:t>
  </x:si>
  <x:si>
    <x:t xml:space="preserve">AC200L2439001467611</x:t>
  </x:si>
  <x:si>
    <x:t xml:space="preserve">LOG-SRD26073899</x:t>
  </x:si>
  <x:si>
    <x:t xml:space="preserve">874764947246</x:t>
  </x:si>
  <x:si>
    <x:t xml:space="preserve">874762837228</x:t>
  </x:si>
  <x:si>
    <x:t xml:space="preserve">AC1802339002969144</x:t>
  </x:si>
  <x:si>
    <x:t xml:space="preserve">LOG-CRP26073709</x:t>
  </x:si>
  <x:si>
    <x:t xml:space="preserve">874757565183</x:t>
  </x:si>
  <x:si>
    <x:t xml:space="preserve">SolarX 4K</x:t>
  </x:si>
  <x:si>
    <x:t xml:space="preserve">SolarX 4K2543111442133</x:t>
  </x:si>
  <x:si>
    <x:t xml:space="preserve">LOG-SRL26073684</x:t>
  </x:si>
  <x:si>
    <x:t xml:space="preserve">874715484054</x:t>
  </x:si>
  <x:si>
    <x:t xml:space="preserve">EL100V22528040811317</x:t>
  </x:si>
  <x:si>
    <x:t xml:space="preserve">LOG-SRL26073595</x:t>
  </x:si>
  <x:si>
    <x:t xml:space="preserve">874714646339</x:t>
  </x:si>
  <x:si>
    <x:t xml:space="preserve">874713748029</x:t>
  </x:si>
  <x:si>
    <x:t xml:space="preserve">874712976955</x:t>
  </x:si>
  <x:si>
    <x:t xml:space="preserve">Elite 200 V22620130288148</x:t>
  </x:si>
  <x:si>
    <x:t xml:space="preserve">LOG-SRD26073661</x:t>
  </x:si>
  <x:si>
    <x:t xml:space="preserve">874712418775</x:t>
  </x:si>
  <x:si>
    <x:t xml:space="preserve">EL100V</x:t>
  </x:si>
  <x:si>
    <x:t xml:space="preserve">EL100V22540000462666</x:t>
  </x:si>
  <x:si>
    <x:t xml:space="preserve">LOG-SRL26073559</x:t>
  </x:si>
  <x:si>
    <x:t xml:space="preserve">874710843270</x:t>
  </x:si>
  <x:si>
    <x:t xml:space="preserve">AC1802411002101493</x:t>
  </x:si>
  <x:si>
    <x:t xml:space="preserve">LOG-CRP26073543</x:t>
  </x:si>
  <x:si>
    <x:t xml:space="preserve">874660302430</x:t>
  </x:si>
  <x:si>
    <x:t xml:space="preserve">874658545575</x:t>
  </x:si>
  <x:si>
    <x:t xml:space="preserve">AC200L2450001902634</x:t>
  </x:si>
  <x:si>
    <x:t xml:space="preserve">LOG-SRD26073516</x:t>
  </x:si>
  <x:si>
    <x:t xml:space="preserve">874657686413</x:t>
  </x:si>
  <x:si>
    <x:t xml:space="preserve">AC1802531010160112</x:t>
  </x:si>
  <x:si>
    <x:t xml:space="preserve">LOG-SRL26073354</x:t>
  </x:si>
  <x:si>
    <x:t xml:space="preserve">874653084452</x:t>
  </x:si>
  <x:si>
    <x:t xml:space="preserve">EL100V22541020820909</x:t>
  </x:si>
  <x:si>
    <x:t xml:space="preserve">LOG-CRP26073141</x:t>
  </x:si>
  <x:si>
    <x:t xml:space="preserve">874652959380</x:t>
  </x:si>
  <x:si>
    <x:t xml:space="preserve">AC1802432000825829</x:t>
  </x:si>
  <x:si>
    <x:t xml:space="preserve">LOG-CRP26073289</x:t>
  </x:si>
  <x:si>
    <x:t xml:space="preserve">874647411990</x:t>
  </x:si>
  <x:si>
    <x:t xml:space="preserve">AC3002143000061545</x:t>
  </x:si>
  <x:si>
    <x:t xml:space="preserve">LOG-SRL26071959</x:t>
  </x:si>
  <x:si>
    <x:t xml:space="preserve">874596029426</x:t>
  </x:si>
  <x:si>
    <x:t xml:space="preserve">DMM04-22PV35000376</x:t>
  </x:si>
  <x:si>
    <x:t xml:space="preserve">LOG-SRD26073158</x:t>
  </x:si>
  <x:si>
    <x:t xml:space="preserve">874595913300</x:t>
  </x:si>
  <x:si>
    <x:t xml:space="preserve">AP3002531000582565</x:t>
  </x:si>
  <x:si>
    <x:t xml:space="preserve">874595862247</x:t>
  </x:si>
  <x:si>
    <x:t xml:space="preserve">AC1802439001089315</x:t>
  </x:si>
  <x:si>
    <x:t xml:space="preserve">LOG-CRP26073157</x:t>
  </x:si>
  <x:si>
    <x:t xml:space="preserve">874595829270</x:t>
  </x:si>
  <x:si>
    <x:t xml:space="preserve">AP3002531000579287</x:t>
  </x:si>
  <x:si>
    <x:t xml:space="preserve">874595766890</x:t>
  </x:si>
  <x:si>
    <x:t xml:space="preserve">AP3002531000578751</x:t>
  </x:si>
  <x:si>
    <x:t xml:space="preserve">874595143529</x:t>
  </x:si>
  <x:si>
    <x:t xml:space="preserve">EL100V22523000172308</x:t>
  </x:si>
  <x:si>
    <x:t xml:space="preserve">LOG-SRL26073145</x:t>
  </x:si>
  <x:si>
    <x:t xml:space="preserve">874592682792</x:t>
  </x:si>
  <x:si>
    <x:t xml:space="preserve">B4810</x:t>
  </x:si>
  <x:si>
    <x:t xml:space="preserve">B48102539000115601</x:t>
  </x:si>
  <x:si>
    <x:t xml:space="preserve">LOG-SRL26073114</x:t>
  </x:si>
  <x:si>
    <x:t xml:space="preserve">874591397757</x:t>
  </x:si>
  <x:si>
    <x:t xml:space="preserve">874588862256</x:t>
  </x:si>
  <x:si>
    <x:t xml:space="preserve">EL4002604232467100</x:t>
  </x:si>
  <x:si>
    <x:t xml:space="preserve">LOG-SRD26073064</x:t>
  </x:si>
  <x:si>
    <x:t xml:space="preserve">874587829088</x:t>
  </x:si>
  <x:si>
    <x:t xml:space="preserve">AC3002233000181346</x:t>
  </x:si>
  <x:si>
    <x:t xml:space="preserve">LOG-CRP26073816</x:t>
  </x:si>
  <x:si>
    <x:t xml:space="preserve">874587773324</x:t>
  </x:si>
  <x:si>
    <x:t xml:space="preserve">AC1802529000731298</x:t>
  </x:si>
  <x:si>
    <x:t xml:space="preserve">LOG-SRL26073048</x:t>
  </x:si>
  <x:si>
    <x:t xml:space="preserve">874586407410</x:t>
  </x:si>
  <x:si>
    <x:t xml:space="preserve">AC1802439000801439</x:t>
  </x:si>
  <x:si>
    <x:t xml:space="preserve">LOG-SRL26073027</x:t>
  </x:si>
  <x:si>
    <x:t xml:space="preserve">874585659895</x:t>
  </x:si>
  <x:si>
    <x:t xml:space="preserve">AC3002142000035526</x:t>
  </x:si>
  <x:si>
    <x:t xml:space="preserve">LOG-CRP26073021</x:t>
  </x:si>
  <x:si>
    <x:t xml:space="preserve">874563668509</x:t>
  </x:si>
  <x:si>
    <x:t xml:space="preserve">AC702447001227239</x:t>
  </x:si>
  <x:si>
    <x:t xml:space="preserve">LOG-SRD26073313</x:t>
  </x:si>
  <x:si>
    <x:t xml:space="preserve">874517506130</x:t>
  </x:si>
  <x:si>
    <x:t xml:space="preserve">RV52534020183909</x:t>
  </x:si>
  <x:si>
    <x:t xml:space="preserve">LOG-SRL26072828</x:t>
  </x:si>
  <x:si>
    <x:t xml:space="preserve">874516692368</x:t>
  </x:si>
  <x:si>
    <x:t xml:space="preserve">FP2543112288908</x:t>
  </x:si>
  <x:si>
    <x:t xml:space="preserve">LOG-SRL26072823</x:t>
  </x:si>
  <x:si>
    <x:t xml:space="preserve">874515937995</x:t>
  </x:si>
  <x:si>
    <x:t xml:space="preserve">874515197234</x:t>
  </x:si>
  <x:si>
    <x:t xml:space="preserve">EL3002613131820918</x:t>
  </x:si>
  <x:si>
    <x:t xml:space="preserve">LOG-SRL26072799</x:t>
  </x:si>
  <x:si>
    <x:t xml:space="preserve">874514671390</x:t>
  </x:si>
  <x:si>
    <x:t xml:space="preserve">EL100V22532070150150</x:t>
  </x:si>
  <x:si>
    <x:t xml:space="preserve">LOG-SRD26073308</x:t>
  </x:si>
  <x:si>
    <x:t xml:space="preserve">874499950834</x:t>
  </x:si>
  <x:si>
    <x:t xml:space="preserve">AP3002539000203873</x:t>
  </x:si>
  <x:si>
    <x:t xml:space="preserve">LOG-CRP26072673</x:t>
  </x:si>
  <x:si>
    <x:t xml:space="preserve">874462330644</x:t>
  </x:si>
  <x:si>
    <x:t xml:space="preserve">EL100V22526090401572</x:t>
  </x:si>
  <x:si>
    <x:t xml:space="preserve">LOG-SRL26072582</x:t>
  </x:si>
  <x:si>
    <x:t xml:space="preserve">874461667390</x:t>
  </x:si>
  <x:si>
    <x:t xml:space="preserve">EL3002613132758700</x:t>
  </x:si>
  <x:si>
    <x:t xml:space="preserve">LOG-SRL26072858</x:t>
  </x:si>
  <x:si>
    <x:t xml:space="preserve">874461107975</x:t>
  </x:si>
  <x:si>
    <x:t xml:space="preserve">EL100V22542001499797</x:t>
  </x:si>
  <x:si>
    <x:t xml:space="preserve">LOG-SRL26072566</x:t>
  </x:si>
  <x:si>
    <x:t xml:space="preserve">874457397667</x:t>
  </x:si>
  <x:si>
    <x:t xml:space="preserve">874456457692</x:t>
  </x:si>
  <x:si>
    <x:t xml:space="preserve">EL100V22528000660820</x:t>
  </x:si>
  <x:si>
    <x:t xml:space="preserve">LOG-CRP26072497</x:t>
  </x:si>
  <x:si>
    <x:t xml:space="preserve">874454755548</x:t>
  </x:si>
  <x:si>
    <x:t xml:space="preserve">EL100V22528042956425</x:t>
  </x:si>
  <x:si>
    <x:t xml:space="preserve">LOG-SRL26074433</x:t>
  </x:si>
  <x:si>
    <x:t xml:space="preserve">874454129625</x:t>
  </x:si>
  <x:si>
    <x:t xml:space="preserve">EL3002601136729676</x:t>
  </x:si>
  <x:si>
    <x:t xml:space="preserve">LOG-SRL26072467</x:t>
  </x:si>
  <x:si>
    <x:t xml:space="preserve">874413246789</x:t>
  </x:si>
  <x:si>
    <x:t xml:space="preserve">EL100V22532031372968</x:t>
  </x:si>
  <x:si>
    <x:t xml:space="preserve">LOG-SRD26072768</x:t>
  </x:si>
  <x:si>
    <x:t xml:space="preserve">874409838052</x:t>
  </x:si>
  <x:si>
    <x:t xml:space="preserve">EL100V22525020352140</x:t>
  </x:si>
  <x:si>
    <x:t xml:space="preserve">LOG-SRL26072383</x:t>
  </x:si>
  <x:si>
    <x:t xml:space="preserve">874409571020</x:t>
  </x:si>
  <x:si>
    <x:t xml:space="preserve">EL3002613133425247</x:t>
  </x:si>
  <x:si>
    <x:t xml:space="preserve">LOG-SRL26072380</x:t>
  </x:si>
  <x:si>
    <x:t xml:space="preserve">874406749367</x:t>
  </x:si>
  <x:si>
    <x:t xml:space="preserve">EL100V22525511770952</x:t>
  </x:si>
  <x:si>
    <x:t xml:space="preserve">LOG-CRP26073734</x:t>
  </x:si>
  <x:si>
    <x:t xml:space="preserve">874406439920</x:t>
  </x:si>
  <x:si>
    <x:t xml:space="preserve">AC1802448002575233</x:t>
  </x:si>
  <x:si>
    <x:t xml:space="preserve">LOG-SRL26072343</x:t>
  </x:si>
  <x:si>
    <x:t xml:space="preserve">874405572227</x:t>
  </x:si>
  <x:si>
    <x:t xml:space="preserve">EL100V22535000846280</x:t>
  </x:si>
  <x:si>
    <x:t xml:space="preserve">LOG-SRL26072327</x:t>
  </x:si>
  <x:si>
    <x:t xml:space="preserve">874403929269</x:t>
  </x:si>
  <x:si>
    <x:t xml:space="preserve">AC200L2436002069869</x:t>
  </x:si>
  <x:si>
    <x:t xml:space="preserve">LOG-SRL26072301</x:t>
  </x:si>
  <x:si>
    <x:t xml:space="preserve">874402086860</x:t>
  </x:si>
  <x:si>
    <x:t xml:space="preserve">EL00V2</x:t>
  </x:si>
  <x:si>
    <x:t xml:space="preserve">EL100V22537005659923</x:t>
  </x:si>
  <x:si>
    <x:t xml:space="preserve">LOG-SRD26072404</x:t>
  </x:si>
  <x:si>
    <x:t xml:space="preserve">874401213522</x:t>
  </x:si>
  <x:si>
    <x:t xml:space="preserve">EL100V22527006402107</x:t>
  </x:si>
  <x:si>
    <x:t xml:space="preserve">LOG-SRD26073441</x:t>
  </x:si>
  <x:si>
    <x:t xml:space="preserve">874399921537</x:t>
  </x:si>
  <x:si>
    <x:t xml:space="preserve">EL100V22532011038355</x:t>
  </x:si>
  <x:si>
    <x:t xml:space="preserve">LOG-SRD26073332</x:t>
  </x:si>
  <x:si>
    <x:t xml:space="preserve">874399527902</x:t>
  </x:si>
  <x:si>
    <x:t xml:space="preserve">AC3002140000807295</x:t>
  </x:si>
  <x:si>
    <x:t xml:space="preserve">LOG-CRP26072236</x:t>
  </x:si>
  <x:si>
    <x:t xml:space="preserve">874356934394</x:t>
  </x:si>
  <x:si>
    <x:t xml:space="preserve">EL100V22542002253087</x:t>
  </x:si>
  <x:si>
    <x:t xml:space="preserve">LOG-SRD26072403</x:t>
  </x:si>
  <x:si>
    <x:t xml:space="preserve">874354963354</x:t>
  </x:si>
  <x:si>
    <x:t xml:space="preserve">EL4002604235362146</x:t>
  </x:si>
  <x:si>
    <x:t xml:space="preserve">LOG-SRD26072402</x:t>
  </x:si>
  <x:si>
    <x:t xml:space="preserve">874352788599</x:t>
  </x:si>
  <x:si>
    <x:t xml:space="preserve">AC1802435001578484</x:t>
  </x:si>
  <x:si>
    <x:t xml:space="preserve">LOG-CRP26072140</x:t>
  </x:si>
  <x:si>
    <x:t xml:space="preserve">874350386169</x:t>
  </x:si>
  <x:si>
    <x:t xml:space="preserve">AC1802442002355773</x:t>
  </x:si>
  <x:si>
    <x:t xml:space="preserve">LOG-SRL26072053</x:t>
  </x:si>
  <x:si>
    <x:t xml:space="preserve">874349396659</x:t>
  </x:si>
  <x:si>
    <x:t xml:space="preserve">FP2604137071496</x:t>
  </x:si>
  <x:si>
    <x:t xml:space="preserve">LOG-SRL26072073</x:t>
  </x:si>
  <x:si>
    <x:t xml:space="preserve">874350305338</x:t>
  </x:si>
  <x:si>
    <x:t xml:space="preserve">EL100V22537012017994</x:t>
  </x:si>
  <x:si>
    <x:t xml:space="preserve">LOG-SRL26073611</x:t>
  </x:si>
  <x:si>
    <x:t xml:space="preserve">874290703451</x:t>
  </x:si>
  <x:si>
    <x:t xml:space="preserve">EL100V22532031490099</x:t>
  </x:si>
  <x:si>
    <x:t xml:space="preserve">LOG-SRL26071881</x:t>
  </x:si>
  <x:si>
    <x:t xml:space="preserve">874289169525</x:t>
  </x:si>
  <x:si>
    <x:t xml:space="preserve">EL100V22537005256355</x:t>
  </x:si>
  <x:si>
    <x:t xml:space="preserve">LOG-SRL26071866</x:t>
  </x:si>
  <x:si>
    <x:t xml:space="preserve">874288041990</x:t>
  </x:si>
  <x:si>
    <x:t xml:space="preserve">AC1802411002158064</x:t>
  </x:si>
  <x:si>
    <x:t xml:space="preserve">LOG-CRP26071850</x:t>
  </x:si>
  <x:si>
    <x:t xml:space="preserve">874284543204</x:t>
  </x:si>
  <x:si>
    <x:t xml:space="preserve">EL30V</x:t>
  </x:si>
  <x:si>
    <x:t xml:space="preserve">EL30V22617131159222</x:t>
  </x:si>
  <x:si>
    <x:t xml:space="preserve">LOG-SRD26071818</x:t>
  </x:si>
  <x:si>
    <x:t xml:space="preserve">874284365236</x:t>
  </x:si>
  <x:si>
    <x:t xml:space="preserve">AC3002512000790361</x:t>
  </x:si>
  <x:si>
    <x:t xml:space="preserve">LOG-SRI26071814</x:t>
  </x:si>
  <x:si>
    <x:t xml:space="preserve">874283142645</x:t>
  </x:si>
  <x:si>
    <x:t xml:space="preserve">EL100V22525020071055</x:t>
  </x:si>
  <x:si>
    <x:t xml:space="preserve">LOG-SRL26071810</x:t>
  </x:si>
  <x:si>
    <x:t xml:space="preserve">874280719368</x:t>
  </x:si>
  <x:si>
    <x:t xml:space="preserve">AC200L2441001179415</x:t>
  </x:si>
  <x:si>
    <x:t xml:space="preserve">LOG-SRL26071782</x:t>
  </x:si>
  <x:si>
    <x:t xml:space="preserve">874276968840</x:t>
  </x:si>
  <x:si>
    <x:t xml:space="preserve">EL3002610132713288</x:t>
  </x:si>
  <x:si>
    <x:t xml:space="preserve">LOG-SRL26072015</x:t>
  </x:si>
  <x:si>
    <x:t xml:space="preserve">874252749187</x:t>
  </x:si>
  <x:si>
    <x:t xml:space="preserve">874207551259</x:t>
  </x:si>
  <x:si>
    <x:t xml:space="preserve">AC702539011206091</x:t>
  </x:si>
  <x:si>
    <x:t xml:space="preserve">LOG-SRD26073438</x:t>
  </x:si>
  <x:si>
    <x:t xml:space="preserve">874206828837</x:t>
  </x:si>
  <x:si>
    <x:t xml:space="preserve">EL3002613135066933</x:t>
  </x:si>
  <x:si>
    <x:t xml:space="preserve">LOG-SRD26071539</x:t>
  </x:si>
  <x:si>
    <x:t xml:space="preserve">874206087834</x:t>
  </x:si>
  <x:si>
    <x:t xml:space="preserve">EL100V22539001340413</x:t>
  </x:si>
  <x:si>
    <x:t xml:space="preserve">LOG-SRL26071531</x:t>
  </x:si>
  <x:si>
    <x:t xml:space="preserve">874202849656</x:t>
  </x:si>
  <x:si>
    <x:t xml:space="preserve">EL100V22542003581853</x:t>
  </x:si>
  <x:si>
    <x:t xml:space="preserve">LOG-SRL26071997</x:t>
  </x:si>
  <x:si>
    <x:t xml:space="preserve">874200404197</x:t>
  </x:si>
  <x:si>
    <x:t xml:space="preserve">EL100V22532000220296</x:t>
  </x:si>
  <x:si>
    <x:t xml:space="preserve">LOG-SRD26072366</x:t>
  </x:si>
  <x:si>
    <x:t xml:space="preserve">874199745095</x:t>
  </x:si>
  <x:si>
    <x:t xml:space="preserve">EL100V22535000999492</x:t>
  </x:si>
  <x:si>
    <x:t xml:space="preserve">LOG-SRL26071465</x:t>
  </x:si>
  <x:si>
    <x:t xml:space="preserve">874199056704</x:t>
  </x:si>
  <x:si>
    <x:t xml:space="preserve">AC200L2451000880622</x:t>
  </x:si>
  <x:si>
    <x:t xml:space="preserve">LOG-SRL26071448</x:t>
  </x:si>
  <x:si>
    <x:t xml:space="preserve">874150247998</x:t>
  </x:si>
  <x:si>
    <x:t xml:space="preserve">EL100V22532030940566</x:t>
  </x:si>
  <x:si>
    <x:t xml:space="preserve">LOG-SRL26071323</x:t>
  </x:si>
  <x:si>
    <x:t xml:space="preserve">874148614747</x:t>
  </x:si>
  <x:si>
    <x:t xml:space="preserve">BC2002603133775644</x:t>
  </x:si>
  <x:si>
    <x:t xml:space="preserve">LOG-SRD26071299</x:t>
  </x:si>
  <x:si>
    <x:t xml:space="preserve">874147241971</x:t>
  </x:si>
  <x:si>
    <x:t xml:space="preserve">EL100V22522010423113</x:t>
  </x:si>
  <x:si>
    <x:t xml:space="preserve">LOG-SRL26071276</x:t>
  </x:si>
  <x:si>
    <x:t xml:space="preserve">874146533931</x:t>
  </x:si>
  <x:si>
    <x:t xml:space="preserve">EL100V22523100352974</x:t>
  </x:si>
  <x:si>
    <x:t xml:space="preserve">LOG-SRL26071262</x:t>
  </x:si>
  <x:si>
    <x:t xml:space="preserve">874145467698</x:t>
  </x:si>
  <x:si>
    <x:t xml:space="preserve">AC1802452001975363</x:t>
  </x:si>
  <x:si>
    <x:t xml:space="preserve">LOG-SRL26071244</x:t>
  </x:si>
  <x:si>
    <x:t xml:space="preserve">874145228294</x:t>
  </x:si>
  <x:si>
    <x:t xml:space="preserve">EL30V22616130373363</x:t>
  </x:si>
  <x:si>
    <x:t xml:space="preserve">LOG-SRD26071242</x:t>
  </x:si>
  <x:si>
    <x:t xml:space="preserve">874143420642</x:t>
  </x:si>
  <x:si>
    <x:t xml:space="preserve">EL100V22545130139138</x:t>
  </x:si>
  <x:si>
    <x:t xml:space="preserve">LOG-SRD26071217</x:t>
  </x:si>
  <x:si>
    <x:t xml:space="preserve">874140339270</x:t>
  </x:si>
  <x:si>
    <x:t xml:space="preserve">EL100V22541001969167</x:t>
  </x:si>
  <x:si>
    <x:t xml:space="preserve">LOG-SRL26071179</x:t>
  </x:si>
  <x:si>
    <x:t xml:space="preserve">874095894992</x:t>
  </x:si>
  <x:si>
    <x:t xml:space="preserve">B300K</x:t>
  </x:si>
  <x:si>
    <x:t xml:space="preserve">B300K2541003524321</x:t>
  </x:si>
  <x:si>
    <x:t xml:space="preserve">874095731138</x:t>
  </x:si>
  <x:si>
    <x:t xml:space="preserve">B300K2541003517353</x:t>
  </x:si>
  <x:si>
    <x:t xml:space="preserve">LOG-SRD26071110</x:t>
  </x:si>
  <x:si>
    <x:t xml:space="preserve">874095660326</x:t>
  </x:si>
  <x:si>
    <x:t xml:space="preserve">B300K2541004046266</x:t>
  </x:si>
  <x:si>
    <x:t xml:space="preserve">874095581056</x:t>
  </x:si>
  <x:si>
    <x:t xml:space="preserve">AP3002606132467317</x:t>
  </x:si>
  <x:si>
    <x:t xml:space="preserve">874094969130</x:t>
  </x:si>
  <x:si>
    <x:t xml:space="preserve">AC180P</x:t>
  </x:si>
  <x:si>
    <x:t xml:space="preserve">AC180P2436000672684</x:t>
  </x:si>
  <x:si>
    <x:t xml:space="preserve">LOG-SRL26071105</x:t>
  </x:si>
  <x:si>
    <x:t xml:space="preserve">874088892027</x:t>
  </x:si>
  <x:si>
    <x:t xml:space="preserve">EL3002610133089791</x:t>
  </x:si>
  <x:si>
    <x:t xml:space="preserve">LOG-SRL26071019</x:t>
  </x:si>
  <x:si>
    <x:t xml:space="preserve">874087725260</x:t>
  </x:si>
  <x:si>
    <x:t xml:space="preserve">EL100V22532031082356</x:t>
  </x:si>
  <x:si>
    <x:t xml:space="preserve">LOG-SRL26071003</x:t>
  </x:si>
  <x:si>
    <x:t xml:space="preserve">874087509761</x:t>
  </x:si>
  <x:si>
    <x:t xml:space="preserve">EL100V22532031253432</x:t>
  </x:si>
  <x:si>
    <x:t xml:space="preserve">LOG-SRL26070999</x:t>
  </x:si>
  <x:si>
    <x:t xml:space="preserve">874086007450</x:t>
  </x:si>
  <x:si>
    <x:t xml:space="preserve">EL100V22542001313262</x:t>
  </x:si>
  <x:si>
    <x:t xml:space="preserve">LOG-SRL26070971</x:t>
  </x:si>
  <x:si>
    <x:t xml:space="preserve">874085878859</x:t>
  </x:si>
  <x:si>
    <x:t xml:space="preserve">AC1802534002776785</x:t>
  </x:si>
  <x:si>
    <x:t xml:space="preserve">LOG-SRD26070969</x:t>
  </x:si>
  <x:si>
    <x:t xml:space="preserve">874085323892</x:t>
  </x:si>
  <x:si>
    <x:t xml:space="preserve">AC1802436006185857</x:t>
  </x:si>
  <x:si>
    <x:t xml:space="preserve">LOG-SRL26070963</x:t>
  </x:si>
  <x:si>
    <x:t xml:space="preserve">874085171465</x:t>
  </x:si>
  <x:si>
    <x:t xml:space="preserve">EL100V22542002821789</x:t>
  </x:si>
  <x:si>
    <x:t xml:space="preserve">LOG-SRL26070954</x:t>
  </x:si>
  <x:si>
    <x:t xml:space="preserve">874085169204</x:t>
  </x:si>
  <x:si>
    <x:t xml:space="preserve">EL100V22526090615723</x:t>
  </x:si>
  <x:si>
    <x:t xml:space="preserve">LOG-CRP26070960</x:t>
  </x:si>
  <x:si>
    <x:t xml:space="preserve">874042653905</x:t>
  </x:si>
  <x:si>
    <x:t xml:space="preserve">EL3002613132691982</x:t>
  </x:si>
  <x:si>
    <x:t xml:space="preserve">LOG-SRL26070958</x:t>
  </x:si>
  <x:si>
    <x:t xml:space="preserve">874039858376</x:t>
  </x:si>
  <x:si>
    <x:t xml:space="preserve">AC1802441001023528</x:t>
  </x:si>
  <x:si>
    <x:t xml:space="preserve">LOG-SRL26073411</x:t>
  </x:si>
  <x:si>
    <x:t xml:space="preserve">874036973093</x:t>
  </x:si>
  <x:si>
    <x:t xml:space="preserve">FP2543112120624</x:t>
  </x:si>
  <x:si>
    <x:t xml:space="preserve">LOG-SRD26071378</x:t>
  </x:si>
  <x:si>
    <x:t xml:space="preserve">874033170005</x:t>
  </x:si>
  <x:si>
    <x:t xml:space="preserve">Elite 200 V22541002249456</x:t>
  </x:si>
  <x:si>
    <x:t xml:space="preserve">LOG-SRD26070884</x:t>
  </x:si>
  <x:si>
    <x:t xml:space="preserve">874031949101</x:t>
  </x:si>
  <x:si>
    <x:t xml:space="preserve">EL3002613132055849</x:t>
  </x:si>
  <x:si>
    <x:t xml:space="preserve">LOG-SRD26070956</x:t>
  </x:si>
  <x:si>
    <x:t xml:space="preserve">874031007832</x:t>
  </x:si>
  <x:si>
    <x:t xml:space="preserve">Elite 200 V22522001840521</x:t>
  </x:si>
  <x:si>
    <x:t xml:space="preserve">LOG-SRL26070825</x:t>
  </x:si>
  <x:si>
    <x:t xml:space="preserve">874028982045</x:t>
  </x:si>
  <x:si>
    <x:t xml:space="preserve">EL100V22540003355860</x:t>
  </x:si>
  <x:si>
    <x:t xml:space="preserve">LOG-SRL26070789</x:t>
  </x:si>
  <x:si>
    <x:t xml:space="preserve">874027781816</x:t>
  </x:si>
  <x:si>
    <x:t xml:space="preserve">AC702549233529809</x:t>
  </x:si>
  <x:si>
    <x:t xml:space="preserve">LOG-SRD26070770</x:t>
  </x:si>
  <x:si>
    <x:t xml:space="preserve">874026150582</x:t>
  </x:si>
  <x:si>
    <x:t xml:space="preserve">EL3002609134369156</x:t>
  </x:si>
  <x:si>
    <x:t xml:space="preserve">LOG-SRL26070756</x:t>
  </x:si>
  <x:si>
    <x:t xml:space="preserve">874009375269</x:t>
  </x:si>
  <x:si>
    <x:t xml:space="preserve">BC2002548131905223</x:t>
  </x:si>
  <x:si>
    <x:t xml:space="preserve">LOG-SRD26070732</x:t>
  </x:si>
  <x:si>
    <x:t xml:space="preserve">873982034526</x:t>
  </x:si>
  <x:si>
    <x:t xml:space="preserve">B500K</x:t>
  </x:si>
  <x:si>
    <x:t xml:space="preserve">B500K2548131349613</x:t>
  </x:si>
  <x:si>
    <x:t xml:space="preserve">LOG-SRD26070955</x:t>
  </x:si>
  <x:si>
    <x:t xml:space="preserve">873970977872</x:t>
  </x:si>
  <x:si>
    <x:t xml:space="preserve">EL100V22541000391554</x:t>
  </x:si>
  <x:si>
    <x:t xml:space="preserve">LOG-SRL26070882</x:t>
  </x:si>
  <x:si>
    <x:t xml:space="preserve">873968966408</x:t>
  </x:si>
  <x:si>
    <x:t xml:space="preserve">EL100V22525510790109</x:t>
  </x:si>
  <x:si>
    <x:t xml:space="preserve">LOG-SRL26070668</x:t>
  </x:si>
  <x:si>
    <x:t xml:space="preserve">873967903896</x:t>
  </x:si>
  <x:si>
    <x:t xml:space="preserve">EL30V22539000645863</x:t>
  </x:si>
  <x:si>
    <x:t xml:space="preserve">LOG-SRL26070651</x:t>
  </x:si>
  <x:si>
    <x:t xml:space="preserve">873966246974</x:t>
  </x:si>
  <x:si>
    <x:t xml:space="preserve">EL100V22540002578241</x:t>
  </x:si>
  <x:si>
    <x:t xml:space="preserve">LOG-SRL26070642</x:t>
  </x:si>
  <x:si>
    <x:t xml:space="preserve">873965250992</x:t>
  </x:si>
  <x:si>
    <x:t xml:space="preserve">AP3002514008008536</x:t>
  </x:si>
  <x:si>
    <x:t xml:space="preserve">LOG-SRL26070632</x:t>
  </x:si>
  <x:si>
    <x:t xml:space="preserve">873964145814</x:t>
  </x:si>
  <x:si>
    <x:t xml:space="preserve">EL100V22527005746151</x:t>
  </x:si>
  <x:si>
    <x:t xml:space="preserve">LOG-SRL26070820</x:t>
  </x:si>
  <x:si>
    <x:t xml:space="preserve">873964041286</x:t>
  </x:si>
  <x:si>
    <x:t xml:space="preserve">AC1802419000816877</x:t>
  </x:si>
  <x:si>
    <x:t xml:space="preserve">LOG-SRL26070623</x:t>
  </x:si>
  <x:si>
    <x:t xml:space="preserve">873963892087</x:t>
  </x:si>
  <x:si>
    <x:t xml:space="preserve">AC200L2449000953954</x:t>
  </x:si>
  <x:si>
    <x:t xml:space="preserve">LOG-SRL26070622</x:t>
  </x:si>
  <x:si>
    <x:t xml:space="preserve">873963408616</x:t>
  </x:si>
  <x:si>
    <x:t xml:space="preserve">EL100V22532010208560</x:t>
  </x:si>
  <x:si>
    <x:t xml:space="preserve">LOG-SRL26070616</x:t>
  </x:si>
  <x:si>
    <x:t xml:space="preserve">873956334836</x:t>
  </x:si>
  <x:si>
    <x:t xml:space="preserve">AC500</x:t>
  </x:si>
  <x:si>
    <x:t xml:space="preserve">AC5002452000245165</x:t>
  </x:si>
  <x:si>
    <x:t xml:space="preserve">LOG-SRL26070934</x:t>
  </x:si>
  <x:si>
    <x:t xml:space="preserve">873942029979</x:t>
  </x:si>
  <x:si>
    <x:t xml:space="preserve">EL100V22532030948697</x:t>
  </x:si>
  <x:si>
    <x:t xml:space="preserve">LOG-SRD26070566</x:t>
  </x:si>
  <x:si>
    <x:t xml:space="preserve">873941715541</x:t>
  </x:si>
  <x:si>
    <x:t xml:space="preserve">AC50B2547231919958</x:t>
  </x:si>
  <x:si>
    <x:t xml:space="preserve">LOG-SRD26070878</x:t>
  </x:si>
  <x:si>
    <x:t xml:space="preserve">873941111469</x:t>
  </x:si>
  <x:si>
    <x:t xml:space="preserve">AC702540002003470</x:t>
  </x:si>
  <x:si>
    <x:t xml:space="preserve">LOG-SRD26070649</x:t>
  </x:si>
  <x:si>
    <x:t xml:space="preserve">873915271930</x:t>
  </x:si>
  <x:si>
    <x:t xml:space="preserve">AC702540000453560</x:t>
  </x:si>
  <x:si>
    <x:t xml:space="preserve">LOG-SRD26070567</x:t>
  </x:si>
  <x:si>
    <x:t xml:space="preserve">873914785670</x:t>
  </x:si>
  <x:si>
    <x:t xml:space="preserve">EL100V22542002250703</x:t>
  </x:si>
  <x:si>
    <x:t xml:space="preserve">LOG-SRL26070470</x:t>
  </x:si>
  <x:si>
    <x:t xml:space="preserve">873913263995</x:t>
  </x:si>
  <x:si>
    <x:t xml:space="preserve">EL100V22541001452990</x:t>
  </x:si>
  <x:si>
    <x:t xml:space="preserve">LOG-SRL26070445</x:t>
  </x:si>
  <x:si>
    <x:t xml:space="preserve">873910736860</x:t>
  </x:si>
  <x:si>
    <x:t xml:space="preserve">EL100V22542003624397</x:t>
  </x:si>
  <x:si>
    <x:t xml:space="preserve">873910359390</x:t>
  </x:si>
  <x:si>
    <x:t xml:space="preserve">EL100V22532070085748</x:t>
  </x:si>
  <x:si>
    <x:t xml:space="preserve">LOG-SRL26070871</x:t>
  </x:si>
  <x:si>
    <x:t xml:space="preserve">873909174173</x:t>
  </x:si>
  <x:si>
    <x:t xml:space="preserve">EL3002613131868311</x:t>
  </x:si>
  <x:si>
    <x:t xml:space="preserve">LOG-CRP26070394</x:t>
  </x:si>
  <x:si>
    <x:t xml:space="preserve">873867357360</x:t>
  </x:si>
  <x:si>
    <x:t xml:space="preserve">EL4002538211414193</x:t>
  </x:si>
  <x:si>
    <x:t xml:space="preserve">LOG-SRL26070337</x:t>
  </x:si>
  <x:si>
    <x:t xml:space="preserve">873866458032</x:t>
  </x:si>
  <x:si>
    <x:t xml:space="preserve">AC1802451004304094</x:t>
  </x:si>
  <x:si>
    <x:t xml:space="preserve">LOG-SRL26070332</x:t>
  </x:si>
  <x:si>
    <x:t xml:space="preserve">873861801661</x:t>
  </x:si>
  <x:si>
    <x:t xml:space="preserve">AC2A2348000291983</x:t>
  </x:si>
  <x:si>
    <x:t xml:space="preserve">LOG-CRP26074175</x:t>
  </x:si>
  <x:si>
    <x:t xml:space="preserve">873861658919</x:t>
  </x:si>
  <x:si>
    <x:t xml:space="preserve">背包</x:t>
  </x:si>
  <x:si>
    <x:t xml:space="preserve">No SN</x:t>
  </x:si>
  <x:si>
    <x:t xml:space="preserve">LOG-SRD26070271</x:t>
  </x:si>
  <x:si>
    <x:t xml:space="preserve">873857958281</x:t>
  </x:si>
  <x:si>
    <x:t xml:space="preserve">EL100V22542130445084</x:t>
  </x:si>
  <x:si>
    <x:t xml:space="preserve">LOG-SRL26071212</x:t>
  </x:si>
  <x:si>
    <x:t xml:space="preserve">873857594738</x:t>
  </x:si>
  <x:si>
    <x:t xml:space="preserve">AC1802520100618684</x:t>
  </x:si>
  <x:si>
    <x:t xml:space="preserve">LOG-SRL26070232</x:t>
  </x:si>
  <x:si>
    <x:t xml:space="preserve">873857232775</x:t>
  </x:si>
  <x:si>
    <x:t xml:space="preserve">CHARGER 22605139779702</x:t>
  </x:si>
  <x:si>
    <x:t xml:space="preserve">LOG-SRD26070229</x:t>
  </x:si>
  <x:si>
    <x:t xml:space="preserve">873857070792</x:t>
  </x:si>
  <x:si>
    <x:t xml:space="preserve">B300K2541004272622</x:t>
  </x:si>
  <x:si>
    <x:t xml:space="preserve">LOG-SRD26070227</x:t>
  </x:si>
  <x:si>
    <x:t xml:space="preserve">873856999804</x:t>
  </x:si>
  <x:si>
    <x:t xml:space="preserve">AP3002606132505012</x:t>
  </x:si>
  <x:si>
    <x:t xml:space="preserve">873856906303</x:t>
  </x:si>
  <x:si>
    <x:t xml:space="preserve">EL100V22532070070024</x:t>
  </x:si>
  <x:si>
    <x:t xml:space="preserve">LOG-SRL26070408</x:t>
  </x:si>
  <x:si>
    <x:t xml:space="preserve">873855911898</x:t>
  </x:si>
  <x:si>
    <x:t xml:space="preserve">AC180P2547138070371</x:t>
  </x:si>
  <x:si>
    <x:t xml:space="preserve">LOG-SRL26070217</x:t>
  </x:si>
  <x:si>
    <x:t xml:space="preserve">873814694782</x:t>
  </x:si>
  <x:si>
    <x:t xml:space="preserve">AC1802439001099683</x:t>
  </x:si>
  <x:si>
    <x:t xml:space="preserve">LOG-CRP26070869</x:t>
  </x:si>
  <x:si>
    <x:t xml:space="preserve">873812786100</x:t>
  </x:si>
  <x:si>
    <x:t xml:space="preserve">DMM40-252PV35000242</x:t>
  </x:si>
  <x:si>
    <x:t xml:space="preserve">873809596522</x:t>
  </x:si>
  <x:si>
    <x:t xml:space="preserve">Elite 200 V22543134271597</x:t>
  </x:si>
  <x:si>
    <x:t xml:space="preserve">LOG-SRD26070145</x:t>
  </x:si>
  <x:si>
    <x:t xml:space="preserve">873808852054</x:t>
  </x:si>
  <x:si>
    <x:t xml:space="preserve">FP2604139141537</x:t>
  </x:si>
  <x:si>
    <x:t xml:space="preserve">LOG-SRL26070135</x:t>
  </x:si>
  <x:si>
    <x:t xml:space="preserve">873807141577</x:t>
  </x:si>
  <x:si>
    <x:t xml:space="preserve">EL100V22525511822555</x:t>
  </x:si>
  <x:si>
    <x:t xml:space="preserve">LOG-CRP26070116</x:t>
  </x:si>
  <x:si>
    <x:t xml:space="preserve">873806431486</x:t>
  </x:si>
  <x:si>
    <x:t xml:space="preserve">EL100V22541001516172</x:t>
  </x:si>
  <x:si>
    <x:t xml:space="preserve">LOG-SRL26070096</x:t>
  </x:si>
  <x:si>
    <x:t xml:space="preserve">873805604665</x:t>
  </x:si>
  <x:si>
    <x:t xml:space="preserve">EL100V22540001100382</x:t>
  </x:si>
  <x:si>
    <x:t xml:space="preserve">LOG-SRL26070089</x:t>
  </x:si>
  <x:si>
    <x:t xml:space="preserve">873804755283</x:t>
  </x:si>
  <x:si>
    <x:t xml:space="preserve">FP2604139100585</x:t>
  </x:si>
  <x:si>
    <x:t xml:space="preserve">LOG-SRL26070086</x:t>
  </x:si>
  <x:si>
    <x:t xml:space="preserve">873804075069</x:t>
  </x:si>
  <x:si>
    <x:t xml:space="preserve">AC1802420000351549</x:t>
  </x:si>
  <x:si>
    <x:t xml:space="preserve">LOG-SRL26070077</x:t>
  </x:si>
  <x:si>
    <x:t xml:space="preserve">873803439087</x:t>
  </x:si>
  <x:si>
    <x:t xml:space="preserve">LOG-CRP26070066</x:t>
  </x:si>
  <x:si>
    <x:t xml:space="preserve">872732293053</x:t>
  </x:si>
  <x:si>
    <x:t xml:space="preserve">AC1802443001422018</x:t>
  </x:si>
  <x:si>
    <x:t xml:space="preserve">LOG-CRP26060658</x:t>
  </x:si>
  <x:si>
    <x:t xml:space="preserve">872831064790</x:t>
  </x:si>
  <x:si>
    <x:t xml:space="preserve">CHARGER2</x:t>
  </x:si>
  <x:si>
    <x:t xml:space="preserve">CHARGER22605139113776</x:t>
  </x:si>
  <x:si>
    <x:t xml:space="preserve">LOG-SRN26060945</x:t>
  </x:si>
  <x:si>
    <x:t xml:space="preserve">机型</x:t>
  </x:si>
  <x:si>
    <x:t xml:space="preserve">基础表记录数</x:t>
  </x:si>
  <x:si>
    <x:t xml:space="preserve">匹配依据：基础表跟踪号 ↔ 收货记录物流单号；FedEx纯数字长单号取后12位。</x:t>
  </x:si>
  <x:si>
    <x:t xml:space="preserve">同单多条记录保留全部不同机型；未匹配记录不推测机型。</x:t>
  </x:si>
  <x:si>
    <x:t xml:space="preserve">来源：美国Logistar仓收件登记表-更新版9.02.csv（行号含前两行表头）</x:t>
  </x:si>
  <x:si>
    <x:t xml:space="preserve">机型为空</x:t>
  </x:si>
  <x:si>
    <x:t xml:space="preserve">已匹配合计</x:t>
  </x:si>
  <x:si>
    <x:t xml:space="preserve">基础表记录合计</x:t>
  </x:si>
</x:sst>
</file>

<file path=xl/styles.xml><?xml version="1.0" encoding="utf-8"?>
<x:styleSheet xmlns:x="http://schemas.openxmlformats.org/spreadsheetml/2006/main">
  <x:numFmts count="3">
    <x:numFmt numFmtId="26" formatCode="\$#,##0.00_);[Red]\(\$#,##0.00\)"/>
    <x:numFmt numFmtId="176" formatCode="\$#,##0.00;\-\$#,##0.00"/>
    <x:numFmt numFmtId="200" formatCode="0.##"/>
  </x:numFmts>
  <x:fonts count="6">
    <x:font>
      <x:sz val="11"/>
      <x:color theme="1"/>
      <x:name val="等线"/>
      <x:family val="2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  <x:font>
      <x:sz val="9"/>
      <x:name val="等线"/>
      <x:family val="3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0" borderId="0" xfId="0" applyFont="1"/>
    <x:xf numFmtId="176" fontId="2" fillId="0" borderId="0" xfId="0" applyNumberFormat="1" applyFont="1" applyAlignment="1">
      <x:alignment horizontal="center" vertical="center"/>
    </x:xf>
    <x:xf numFmtId="26" fontId="1" fillId="2" borderId="1" xfId="0" applyNumberFormat="1" applyFont="1" applyFill="1" applyBorder="1" applyAlignment="1">
      <x:alignment horizontal="center" vertical="center" wrapText="1"/>
    </x:xf>
    <x:xf numFmtId="26" fontId="2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vertical="center"/>
    </x:xf>
    <x:xf numFmtId="26" fontId="2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2" fillId="0" borderId="0" xfId="0" applyNumberFormat="1" applyFont="1" applyFill="1" applyBorder="1" applyAlignment="1">
      <x:alignment horizontal="center" vertical="center"/>
    </x:xf>
    <x:xf numFmtId="49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18fe9920c4f9f" /><Relationship Type="http://schemas.openxmlformats.org/officeDocument/2006/relationships/theme" Target="/xl/theme/theme1.xml" Id="R7c8450b58be14a72" /><Relationship Type="http://schemas.openxmlformats.org/officeDocument/2006/relationships/sharedStrings" Target="/xl/sharedStrings.xml" Id="Rc8483bf5cfb34f96" /><Relationship Type="http://schemas.openxmlformats.org/officeDocument/2006/relationships/worksheet" Target="/xl/worksheets/sheet1.xml" Id="R5af1fc6f428c46d3" /><Relationship Type="http://schemas.openxmlformats.org/officeDocument/2006/relationships/worksheet" Target="/xl/worksheets/sheet2.xml" Id="R03e038655e2e4a2e" /><Relationship Type="http://schemas.openxmlformats.org/officeDocument/2006/relationships/worksheet" Target="/xl/worksheets/sheet3.xml" Id="Ree39bdb7955847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2" customWidth="1"/>
    <x:col min="2" max="2" width="14.375" customWidth="1"/>
    <x:col min="3" max="3" width="15.25" style="8" customWidth="1"/>
    <x:col min="4" max="4" width="13.75" style="8" customWidth="1"/>
    <x:col min="5" max="6" width="17.25" customWidth="1"/>
    <x:col min="7" max="7" width="25.625" customWidth="1"/>
    <x:col min="8" max="8" width="20.375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30" hidden="0" customWidth="1"/>
    <x:col min="15" max="15" width="23" hidden="0" customWidth="1"/>
    <x:col min="16" max="16" width="30" hidden="0" customWidth="1"/>
    <x:col min="17" max="17" width="23" hidden="0" customWidth="1"/>
    <x:col min="18" max="18" width="23" hidden="0" customWidth="1"/>
  </x:cols>
  <x:sheetData>
    <x:row r="1" ht="42" customHeight="1">
      <x:c r="A1" s="11" t="s">
        <x:v>0</x:v>
      </x:c>
      <x:c r="B1" s="1" t="s">
        <x:v>1</x:v>
      </x:c>
      <x:c r="C1" s="4" t="s">
        <x:v>2</x:v>
      </x:c>
      <x:c r="D1" s="4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6" t="str">
        <x:v>包裹长度（成本表）</x:v>
      </x:c>
      <x:c r="J1" s="16" t="str">
        <x:v>包裹宽度（成本表）</x:v>
      </x:c>
      <x:c r="K1" s="16" t="str">
        <x:v>包裹高度（成本表）</x:v>
      </x:c>
      <x:c r="L1" s="16" t="str">
        <x:v>尺寸单位（原代码）</x:v>
      </x:c>
      <x:c r="M1" s="16" t="str">
        <x:v>寄件人州/省</x:v>
      </x:c>
      <x:c r="N1" s="16" t="str">
        <x:v>寄件人城市</x:v>
      </x:c>
      <x:c r="O1" s="16" t="str">
        <x:v>收件人州/省</x:v>
      </x:c>
      <x:c r="P1" s="16" t="str">
        <x:v>收件人城市</x:v>
      </x:c>
      <x:c r="Q1" s="16" t="str">
        <x:v>成本表匹配状态</x:v>
      </x:c>
      <x:c r="R1" s="16" t="str">
        <x:v>成本表来源行号</x:v>
      </x:c>
    </x:row>
    <x:row r="2" ht="18">
      <x:c r="A2" s="12" t="s">
        <x:v>8</x:v>
      </x:c>
      <x:c r="B2" s="3">
        <x:v>59.37</x:v>
      </x:c>
      <x:c r="C2" s="5">
        <x:v>120.637</x:v>
      </x:c>
      <x:c r="D2" s="5" t="n">
        <x:f t="shared" ref="D2:D65" si="0">C2-B2</x:f>
        <x:v>61.267</x:v>
      </x:c>
      <x:c r="E2" t="s">
        <x:v>9</x:v>
      </x:c>
      <x:c r="F2" t="s">
        <x:v>10</x:v>
      </x:c>
      <x:c r="G2" t="s">
        <x:v>11</x:v>
      </x:c>
      <x:c r="H2" t="s">
        <x:v>12</x:v>
      </x:c>
      <x:c r="I2" s="17" t="n">
        <x:v>48</x:v>
      </x:c>
      <x:c r="J2" s="17" t="n">
        <x:v>46</x:v>
      </x:c>
      <x:c r="K2" s="17" t="n">
        <x:v>38</x:v>
      </x:c>
      <x:c r="L2" t="str">
        <x:v>C</x:v>
      </x:c>
      <x:c r="M2" t="str">
        <x:v>MD</x:v>
      </x:c>
      <x:c r="N2" t="str">
        <x:v>LAUREL</x:v>
      </x:c>
      <x:c r="O2" t="str">
        <x:v>NJ</x:v>
      </x:c>
      <x:c r="P2" t="str">
        <x:v>NEW BRUNSWICK</x:v>
      </x:c>
      <x:c r="Q2" t="str">
        <x:v>已匹配</x:v>
      </x:c>
      <x:c r="R2" t="n">
        <x:v>264</x:v>
      </x:c>
    </x:row>
    <x:row r="3" ht="18">
      <x:c r="A3" s="12" t="s">
        <x:v>13</x:v>
      </x:c>
      <x:c r="B3" s="3">
        <x:v>24.44</x:v>
      </x:c>
      <x:c r="C3" s="5">
        <x:v>29.073</x:v>
      </x:c>
      <x:c r="D3" s="5">
        <x:f t="shared" si="0"/>
        <x:v>4.6329999999999991</x:v>
      </x:c>
      <x:c r="E3" t="s">
        <x:v>14</x:v>
      </x:c>
      <x:c r="F3" t="s">
        <x:v>10</x:v>
      </x:c>
      <x:c r="G3" t="s">
        <x:v>15</x:v>
      </x:c>
      <x:c r="H3" t="s">
        <x:v>16</x:v>
      </x:c>
      <x:c r="I3" s="17" t="n">
        <x:v>38</x:v>
      </x:c>
      <x:c r="J3" s="17" t="n">
        <x:v>38</x:v>
      </x:c>
      <x:c r="K3" s="17" t="n">
        <x:v>30</x:v>
      </x:c>
      <x:c r="L3" t="str">
        <x:v>C</x:v>
      </x:c>
      <x:c r="M3" t="str">
        <x:v>FL</x:v>
      </x:c>
      <x:c r="N3" t="str">
        <x:v>LAKE WORTH</x:v>
      </x:c>
      <x:c r="O3" t="str">
        <x:v>NJ</x:v>
      </x:c>
      <x:c r="P3" t="str">
        <x:v>NEW BRUNSWICK</x:v>
      </x:c>
      <x:c r="Q3" t="str">
        <x:v>已匹配</x:v>
      </x:c>
      <x:c r="R3" t="n">
        <x:v>318</x:v>
      </x:c>
    </x:row>
    <x:row r="4" ht="18">
      <x:c r="A4" s="12" t="s">
        <x:v>17</x:v>
      </x:c>
      <x:c r="B4" s="3">
        <x:v>24.44</x:v>
      </x:c>
      <x:c r="C4" s="5">
        <x:v>29.128</x:v>
      </x:c>
      <x:c r="D4" s="5">
        <x:f t="shared" si="0"/>
        <x:v>4.6879999999999988</x:v>
      </x:c>
      <x:c r="E4" t="s">
        <x:v>14</x:v>
      </x:c>
      <x:c r="F4" t="s">
        <x:v>10</x:v>
      </x:c>
      <x:c r="G4" t="s">
        <x:v>18</x:v>
      </x:c>
      <x:c r="H4" t="s">
        <x:v>19</x:v>
      </x:c>
      <x:c r="I4" s="17" t="n">
        <x:v>16</x:v>
      </x:c>
      <x:c r="J4" s="17" t="n">
        <x:v>16</x:v>
      </x:c>
      <x:c r="K4" s="17" t="n">
        <x:v>12</x:v>
      </x:c>
      <x:c r="L4" t="str">
        <x:v>I</x:v>
      </x:c>
      <x:c r="M4" t="str">
        <x:v>AL</x:v>
      </x:c>
      <x:c r="N4" t="str">
        <x:v>MAYLENE</x:v>
      </x:c>
      <x:c r="O4" t="str">
        <x:v>NJ</x:v>
      </x:c>
      <x:c r="P4" t="str">
        <x:v>NEW BRUNSWICK</x:v>
      </x:c>
      <x:c r="Q4" t="str">
        <x:v>已匹配</x:v>
      </x:c>
      <x:c r="R4" t="n">
        <x:v>231</x:v>
      </x:c>
    </x:row>
    <x:row r="5" ht="18">
      <x:c r="A5" s="12" t="s">
        <x:v>20</x:v>
      </x:c>
      <x:c r="B5" s="3">
        <x:v>45.03</x:v>
      </x:c>
      <x:c r="C5" s="5">
        <x:v>49.313000000000002</x:v>
      </x:c>
      <x:c r="D5" s="5">
        <x:f t="shared" si="0"/>
        <x:v>4.2830000000000013</x:v>
      </x:c>
      <x:c r="E5" t="s">
        <x:v>21</x:v>
      </x:c>
      <x:c r="F5" t="s">
        <x:v>10</x:v>
      </x:c>
      <x:c r="G5" t="s">
        <x:v>22</x:v>
      </x:c>
      <x:c r="H5" t="s">
        <x:v>23</x:v>
      </x:c>
      <x:c r="I5" s="17" t="n">
        <x:v>19</x:v>
      </x:c>
      <x:c r="J5" s="17" t="n">
        <x:v>16</x:v>
      </x:c>
      <x:c r="K5" s="17" t="n">
        <x:v>13</x:v>
      </x:c>
      <x:c r="L5" t="str">
        <x:v>I</x:v>
      </x:c>
      <x:c r="M5" t="str">
        <x:v>LA</x:v>
      </x:c>
      <x:c r="N5" t="str">
        <x:v>PRAIRIEVILLE</x:v>
      </x:c>
      <x:c r="O5" t="str">
        <x:v>NJ</x:v>
      </x:c>
      <x:c r="P5" t="str">
        <x:v>NEW BRUNSWICK</x:v>
      </x:c>
      <x:c r="Q5" t="str">
        <x:v>已匹配</x:v>
      </x:c>
      <x:c r="R5" t="n">
        <x:v>230</x:v>
      </x:c>
    </x:row>
    <x:row r="6" ht="18">
      <x:c r="A6" s="12" t="s">
        <x:v>24</x:v>
      </x:c>
      <x:c r="B6" s="3">
        <x:v>26.25</x:v>
      </x:c>
      <x:c r="C6" s="5">
        <x:v>29.073</x:v>
      </x:c>
      <x:c r="D6" s="5">
        <x:f t="shared" si="0"/>
        <x:v>2.8230000000000004</x:v>
      </x:c>
      <x:c r="E6" t="s">
        <x:v>25</x:v>
      </x:c>
      <x:c r="F6" t="s">
        <x:v>10</x:v>
      </x:c>
      <x:c r="G6" t="s">
        <x:v>26</x:v>
      </x:c>
      <x:c r="H6" t="s">
        <x:v>27</x:v>
      </x:c>
      <x:c r="I6" s="17" t="n">
        <x:v>15</x:v>
      </x:c>
      <x:c r="J6" s="17" t="n">
        <x:v>15</x:v>
      </x:c>
      <x:c r="K6" s="17" t="n">
        <x:v>14</x:v>
      </x:c>
      <x:c r="L6" t="str">
        <x:v>I</x:v>
      </x:c>
      <x:c r="M6" t="str">
        <x:v>IL</x:v>
      </x:c>
      <x:c r="N6" t="str">
        <x:v>ALBION</x:v>
      </x:c>
      <x:c r="O6" t="str">
        <x:v>NJ</x:v>
      </x:c>
      <x:c r="P6" t="str">
        <x:v>NEW BRUNSWICK</x:v>
      </x:c>
      <x:c r="Q6" t="str">
        <x:v>已匹配</x:v>
      </x:c>
      <x:c r="R6" t="n">
        <x:v>317</x:v>
      </x:c>
    </x:row>
    <x:row r="7" ht="18">
      <x:c r="A7" s="12" t="s">
        <x:v>28</x:v>
      </x:c>
      <x:c r="B7" s="3">
        <x:v>32.28</x:v>
      </x:c>
      <x:c r="C7" s="5">
        <x:v>36.509</x:v>
      </x:c>
      <x:c r="D7" s="5">
        <x:f t="shared" si="0"/>
        <x:v>4.2289999999999992</x:v>
      </x:c>
      <x:c r="E7" t="s">
        <x:v>25</x:v>
      </x:c>
      <x:c r="F7" t="s">
        <x:v>10</x:v>
      </x:c>
      <x:c r="G7" t="s">
        <x:v>29</x:v>
      </x:c>
      <x:c r="H7" t="s">
        <x:v>30</x:v>
      </x:c>
      <x:c r="I7" s="17" t="n">
        <x:v>15</x:v>
      </x:c>
      <x:c r="J7" s="17" t="n">
        <x:v>15</x:v>
      </x:c>
      <x:c r="K7" s="17" t="n">
        <x:v>11</x:v>
      </x:c>
      <x:c r="L7" t="str">
        <x:v>I</x:v>
      </x:c>
      <x:c r="M7" t="str">
        <x:v>TX</x:v>
      </x:c>
      <x:c r="N7" t="str">
        <x:v>HOUSTON</x:v>
      </x:c>
      <x:c r="O7" t="str">
        <x:v>NJ</x:v>
      </x:c>
      <x:c r="P7" t="str">
        <x:v>NEW BRUNSWICK</x:v>
      </x:c>
      <x:c r="Q7" t="str">
        <x:v>已匹配</x:v>
      </x:c>
      <x:c r="R7" t="n">
        <x:v>229</x:v>
      </x:c>
    </x:row>
    <x:row r="8" ht="18">
      <x:c r="A8" s="12" t="s">
        <x:v>31</x:v>
      </x:c>
      <x:c r="B8" s="3">
        <x:v>36.51</x:v>
      </x:c>
      <x:c r="C8" s="5">
        <x:v>41.106999999999999</x:v>
      </x:c>
      <x:c r="D8" s="5">
        <x:f t="shared" si="0"/>
        <x:v>4.5970000000000013</x:v>
      </x:c>
      <x:c r="E8" t="s">
        <x:v>21</x:v>
      </x:c>
      <x:c r="F8" t="s">
        <x:v>10</x:v>
      </x:c>
      <x:c r="G8" t="s">
        <x:v>32</x:v>
      </x:c>
      <x:c r="H8" t="s">
        <x:v>33</x:v>
      </x:c>
      <x:c r="I8" s="17" t="n">
        <x:v>19</x:v>
      </x:c>
      <x:c r="J8" s="17" t="n">
        <x:v>17</x:v>
      </x:c>
      <x:c r="K8" s="17" t="n">
        <x:v>13</x:v>
      </x:c>
      <x:c r="L8" t="str">
        <x:v>I</x:v>
      </x:c>
      <x:c r="M8" t="str">
        <x:v>AR</x:v>
      </x:c>
      <x:c r="N8" t="str">
        <x:v>FRANKLIN</x:v>
      </x:c>
      <x:c r="O8" t="str">
        <x:v>NJ</x:v>
      </x:c>
      <x:c r="P8" t="str">
        <x:v>NEW BRUNSWICK</x:v>
      </x:c>
      <x:c r="Q8" t="str">
        <x:v>已匹配</x:v>
      </x:c>
      <x:c r="R8" t="n">
        <x:v>228</x:v>
      </x:c>
    </x:row>
    <x:row r="9" ht="18">
      <x:c r="A9" s="12" t="s">
        <x:v>34</x:v>
      </x:c>
      <x:c r="B9" s="3">
        <x:v>97.4</x:v>
      </x:c>
      <x:c r="C9" s="5">
        <x:v>99.725999999999999</x:v>
      </x:c>
      <x:c r="D9" s="5">
        <x:f t="shared" si="0"/>
        <x:v>2.3259999999999934</x:v>
      </x:c>
      <x:c r="E9" t="s">
        <x:v>35</x:v>
      </x:c>
      <x:c r="F9" t="s">
        <x:v>10</x:v>
      </x:c>
      <x:c r="G9" t="s">
        <x:v>36</x:v>
      </x:c>
      <x:c r="H9" t="s">
        <x:v>37</x:v>
      </x:c>
      <x:c r="I9" s="17" t="n">
        <x:v>19</x:v>
      </x:c>
      <x:c r="J9" s="17" t="n">
        <x:v>16</x:v>
      </x:c>
      <x:c r="K9" s="17" t="n">
        <x:v>16</x:v>
      </x:c>
      <x:c r="L9" t="str">
        <x:v>I</x:v>
      </x:c>
      <x:c r="M9" t="str">
        <x:v>FL</x:v>
      </x:c>
      <x:c r="N9" t="str">
        <x:v>EVERGLADES CITY</x:v>
      </x:c>
      <x:c r="O9" t="str">
        <x:v>NJ</x:v>
      </x:c>
      <x:c r="P9" t="str">
        <x:v>NEW BRUNSWICK</x:v>
      </x:c>
      <x:c r="Q9" t="str">
        <x:v>已匹配</x:v>
      </x:c>
      <x:c r="R9" t="n">
        <x:v>227</x:v>
      </x:c>
    </x:row>
    <x:row r="10" ht="18">
      <x:c r="A10" s="12" t="s">
        <x:v>38</x:v>
      </x:c>
      <x:c r="B10" s="3">
        <x:v>25.79</x:v>
      </x:c>
      <x:c r="C10" s="5">
        <x:v>50.423999999999999</x:v>
      </x:c>
      <x:c r="D10" s="5">
        <x:f t="shared" si="0"/>
        <x:v>24.634</x:v>
      </x:c>
      <x:c r="E10" t="s">
        <x:v>39</x:v>
      </x:c>
      <x:c r="F10" t="s">
        <x:v>10</x:v>
      </x:c>
      <x:c r="G10" t="s">
        <x:v>40</x:v>
      </x:c>
      <x:c r="H10" t="s">
        <x:v>41</x:v>
      </x:c>
      <x:c r="I10" s="17"/>
      <x:c r="J10" s="17"/>
      <x:c r="K10" s="17"/>
      <x:c r="L10"/>
      <x:c r="M10"/>
      <x:c r="N10"/>
      <x:c r="O10"/>
      <x:c r="P10"/>
      <x:c r="Q10" t="str">
        <x:v>未匹配</x:v>
      </x:c>
      <x:c r="R10"/>
    </x:row>
    <x:row r="11" ht="18">
      <x:c r="A11" s="12" t="s">
        <x:v>42</x:v>
      </x:c>
      <x:c r="B11" s="3">
        <x:v>23.06</x:v>
      </x:c>
      <x:c r="C11" s="5">
        <x:v>25.806000000000001</x:v>
      </x:c>
      <x:c r="D11" s="5">
        <x:f t="shared" si="0"/>
        <x:v>2.7460000000000022</x:v>
      </x:c>
      <x:c r="E11" t="s">
        <x:v>43</x:v>
      </x:c>
      <x:c r="F11" t="s">
        <x:v>10</x:v>
      </x:c>
      <x:c r="G11" t="s">
        <x:v>44</x:v>
      </x:c>
      <x:c r="H11" t="s">
        <x:v>45</x:v>
      </x:c>
      <x:c r="I11" s="17" t="n">
        <x:v>22</x:v>
      </x:c>
      <x:c r="J11" s="17" t="n">
        <x:v>18</x:v>
      </x:c>
      <x:c r="K11" s="17" t="n">
        <x:v>13</x:v>
      </x:c>
      <x:c r="L11" t="str">
        <x:v>I</x:v>
      </x:c>
      <x:c r="M11" t="str">
        <x:v>OH</x:v>
      </x:c>
      <x:c r="N11" t="str">
        <x:v>LISBON</x:v>
      </x:c>
      <x:c r="O11" t="str">
        <x:v>NJ</x:v>
      </x:c>
      <x:c r="P11" t="str">
        <x:v>NEW BRUNSWICK</x:v>
      </x:c>
      <x:c r="Q11" t="str">
        <x:v>已匹配</x:v>
      </x:c>
      <x:c r="R11" t="n">
        <x:v>204</x:v>
      </x:c>
    </x:row>
    <x:row r="12" ht="18">
      <x:c r="A12" s="12" t="s">
        <x:v>46</x:v>
      </x:c>
      <x:c r="B12" s="3">
        <x:v>21.27</x:v>
      </x:c>
      <x:c r="C12" s="5">
        <x:v>23.771000000000001</x:v>
      </x:c>
      <x:c r="D12" s="5">
        <x:f t="shared" si="0"/>
        <x:v>2.5010000000000012</x:v>
      </x:c>
      <x:c r="E12" t="s">
        <x:v>47</x:v>
      </x:c>
      <x:c r="F12" t="s">
        <x:v>10</x:v>
      </x:c>
      <x:c r="G12" t="s">
        <x:v>48</x:v>
      </x:c>
      <x:c r="I12" s="17" t="n">
        <x:v>14</x:v>
      </x:c>
      <x:c r="J12" s="17" t="n">
        <x:v>13</x:v>
      </x:c>
      <x:c r="K12" s="17" t="n">
        <x:v>13</x:v>
      </x:c>
      <x:c r="L12" t="str">
        <x:v>I</x:v>
      </x:c>
      <x:c r="M12" t="str">
        <x:v>FL</x:v>
      </x:c>
      <x:c r="N12" t="str">
        <x:v>PUNTA GORDA</x:v>
      </x:c>
      <x:c r="O12" t="str">
        <x:v>NJ</x:v>
      </x:c>
      <x:c r="P12" t="str">
        <x:v>NEW BRUNSWICK</x:v>
      </x:c>
      <x:c r="Q12" t="str">
        <x:v>已匹配</x:v>
      </x:c>
      <x:c r="R12" t="n">
        <x:v>479</x:v>
      </x:c>
    </x:row>
    <x:row r="13" ht="18">
      <x:c r="A13" s="12" t="s">
        <x:v>49</x:v>
      </x:c>
      <x:c r="B13" s="3">
        <x:v>36.51</x:v>
      </x:c>
      <x:c r="C13" s="5">
        <x:v>55.594000000000001</x:v>
      </x:c>
      <x:c r="D13" s="5">
        <x:f t="shared" si="0"/>
        <x:v>19.084000000000003</x:v>
      </x:c>
      <x:c r="E13" t="s">
        <x:v>21</x:v>
      </x:c>
      <x:c r="F13" t="s">
        <x:v>10</x:v>
      </x:c>
      <x:c r="G13" t="s">
        <x:v>50</x:v>
      </x:c>
      <x:c r="H13" t="s">
        <x:v>51</x:v>
      </x:c>
      <x:c r="I13" s="17" t="n">
        <x:v>17</x:v>
      </x:c>
      <x:c r="J13" s="17" t="n">
        <x:v>17</x:v>
      </x:c>
      <x:c r="K13" s="17" t="n">
        <x:v>16</x:v>
      </x:c>
      <x:c r="L13" t="str">
        <x:v>I</x:v>
      </x:c>
      <x:c r="M13" t="str">
        <x:v>FL</x:v>
      </x:c>
      <x:c r="N13" t="str">
        <x:v>LONGBOAT KEY</x:v>
      </x:c>
      <x:c r="O13" t="str">
        <x:v>NJ</x:v>
      </x:c>
      <x:c r="P13" t="str">
        <x:v>NEW BRUNSWICK</x:v>
      </x:c>
      <x:c r="Q13" t="str">
        <x:v>已匹配</x:v>
      </x:c>
      <x:c r="R13" t="n">
        <x:v>250</x:v>
      </x:c>
    </x:row>
    <x:row r="14" ht="18">
      <x:c r="A14" s="12" t="s">
        <x:v>52</x:v>
      </x:c>
      <x:c r="B14" s="3">
        <x:v>30.19</x:v>
      </x:c>
      <x:c r="C14" s="5">
        <x:v>33.725999999999999</x:v>
      </x:c>
      <x:c r="D14" s="5">
        <x:f t="shared" si="0"/>
        <x:v>3.5359999999999978</x:v>
      </x:c>
      <x:c r="E14" t="s">
        <x:v>21</x:v>
      </x:c>
      <x:c r="F14" t="s">
        <x:v>10</x:v>
      </x:c>
      <x:c r="G14" t="s">
        <x:v>53</x:v>
      </x:c>
      <x:c r="H14" t="s">
        <x:v>54</x:v>
      </x:c>
      <x:c r="I14" s="17" t="n">
        <x:v>19</x:v>
      </x:c>
      <x:c r="J14" s="17" t="n">
        <x:v>18</x:v>
      </x:c>
      <x:c r="K14" s="17" t="n">
        <x:v>15</x:v>
      </x:c>
      <x:c r="L14" t="str">
        <x:v>I</x:v>
      </x:c>
      <x:c r="M14" t="str">
        <x:v>NC</x:v>
      </x:c>
      <x:c r="N14" t="str">
        <x:v>FUQUAY VARINA</x:v>
      </x:c>
      <x:c r="O14" t="str">
        <x:v>NJ</x:v>
      </x:c>
      <x:c r="P14" t="str">
        <x:v>NEW BRUNSWICK</x:v>
      </x:c>
      <x:c r="Q14" t="str">
        <x:v>已匹配</x:v>
      </x:c>
      <x:c r="R14" t="n">
        <x:v>190</x:v>
      </x:c>
    </x:row>
    <x:row r="15" ht="18">
      <x:c r="A15" s="12" t="s">
        <x:v>55</x:v>
      </x:c>
      <x:c r="B15" s="3">
        <x:v>29.94</x:v>
      </x:c>
      <x:c r="C15" s="5">
        <x:v>33.384999999999998</x:v>
      </x:c>
      <x:c r="D15" s="5">
        <x:f t="shared" si="0"/>
        <x:v>3.4449999999999967</x:v>
      </x:c>
      <x:c r="E15" t="s">
        <x:v>14</x:v>
      </x:c>
      <x:c r="F15" t="s">
        <x:v>10</x:v>
      </x:c>
      <x:c r="G15" t="s">
        <x:v>56</x:v>
      </x:c>
      <x:c r="H15" t="s">
        <x:v>57</x:v>
      </x:c>
      <x:c r="I15" s="17" t="n">
        <x:v>16</x:v>
      </x:c>
      <x:c r="J15" s="17" t="n">
        <x:v>16</x:v>
      </x:c>
      <x:c r="K15" s="17" t="n">
        <x:v>12</x:v>
      </x:c>
      <x:c r="L15" t="str">
        <x:v>I</x:v>
      </x:c>
      <x:c r="M15" t="str">
        <x:v>LA</x:v>
      </x:c>
      <x:c r="N15" t="str">
        <x:v>METAIRIE</x:v>
      </x:c>
      <x:c r="O15" t="str">
        <x:v>NJ</x:v>
      </x:c>
      <x:c r="P15" t="str">
        <x:v>NEW BRUNSWICK</x:v>
      </x:c>
      <x:c r="Q15" t="str">
        <x:v>已匹配</x:v>
      </x:c>
      <x:c r="R15" t="n">
        <x:v>285</x:v>
      </x:c>
    </x:row>
    <x:row r="16" ht="18">
      <x:c r="A16" s="12" t="s">
        <x:v>58</x:v>
      </x:c>
      <x:c r="B16" s="3">
        <x:v>22.63</x:v>
      </x:c>
      <x:c r="C16" s="5">
        <x:v>25.806000000000001</x:v>
      </x:c>
      <x:c r="D16" s="5">
        <x:f t="shared" si="0"/>
        <x:v>3.1760000000000019</x:v>
      </x:c>
      <x:c r="E16" t="s">
        <x:v>25</x:v>
      </x:c>
      <x:c r="F16" t="s">
        <x:v>10</x:v>
      </x:c>
      <x:c r="G16" t="s">
        <x:v>59</x:v>
      </x:c>
      <x:c r="H16" t="s">
        <x:v>60</x:v>
      </x:c>
      <x:c r="I16" s="17" t="n">
        <x:v>21</x:v>
      </x:c>
      <x:c r="J16" s="17" t="n">
        <x:v>14</x:v>
      </x:c>
      <x:c r="K16" s="17" t="n">
        <x:v>11</x:v>
      </x:c>
      <x:c r="L16" t="str">
        <x:v>I</x:v>
      </x:c>
      <x:c r="M16" t="str">
        <x:v>MI</x:v>
      </x:c>
      <x:c r="N16" t="str">
        <x:v>ANN ARBOR</x:v>
      </x:c>
      <x:c r="O16" t="str">
        <x:v>NJ</x:v>
      </x:c>
      <x:c r="P16" t="str">
        <x:v>NEW BRUNSWICK</x:v>
      </x:c>
      <x:c r="Q16" t="str">
        <x:v>已匹配</x:v>
      </x:c>
      <x:c r="R16" t="n">
        <x:v>225</x:v>
      </x:c>
    </x:row>
    <x:row r="17" ht="18">
      <x:c r="A17" s="12" t="s">
        <x:v>61</x:v>
      </x:c>
      <x:c r="B17" s="3">
        <x:v>22.56</x:v>
      </x:c>
      <x:c r="C17" s="5">
        <x:v>42.030999999999999</x:v>
      </x:c>
      <x:c r="D17" s="5">
        <x:f t="shared" si="0"/>
        <x:v>19.471</x:v>
      </x:c>
      <x:c r="E17" t="s">
        <x:v>62</x:v>
      </x:c>
      <x:c r="F17" t="s">
        <x:v>10</x:v>
      </x:c>
      <x:c r="G17" t="s">
        <x:v>63</x:v>
      </x:c>
      <x:c r="H17" t="s">
        <x:v>64</x:v>
      </x:c>
      <x:c r="I17" s="17" t="n">
        <x:v>64</x:v>
      </x:c>
      <x:c r="J17" s="17" t="n">
        <x:v>56</x:v>
      </x:c>
      <x:c r="K17" s="17" t="n">
        <x:v>28</x:v>
      </x:c>
      <x:c r="L17" t="str">
        <x:v>C</x:v>
      </x:c>
      <x:c r="M17" t="str">
        <x:v>CT</x:v>
      </x:c>
      <x:c r="N17" t="str">
        <x:v>STERLING</x:v>
      </x:c>
      <x:c r="O17" t="str">
        <x:v>NJ</x:v>
      </x:c>
      <x:c r="P17" t="str">
        <x:v>NEW BRUNSWICK</x:v>
      </x:c>
      <x:c r="Q17" t="str">
        <x:v>已匹配</x:v>
      </x:c>
      <x:c r="R17" t="n">
        <x:v>224</x:v>
      </x:c>
    </x:row>
    <x:row r="18" ht="18">
      <x:c r="A18" s="12" t="s">
        <x:v>65</x:v>
      </x:c>
      <x:c r="B18" s="3">
        <x:v>23.53</x:v>
      </x:c>
      <x:c r="C18" s="5">
        <x:v>140.66800000000001</x:v>
      </x:c>
      <x:c r="D18" s="5">
        <x:f t="shared" si="0"/>
        <x:v>117.13800000000001</x:v>
      </x:c>
      <x:c r="E18" t="s">
        <x:v>66</x:v>
      </x:c>
      <x:c r="F18" t="s">
        <x:v>10</x:v>
      </x:c>
      <x:c r="G18" t="s">
        <x:v>67</x:v>
      </x:c>
      <x:c r="H18" t="s">
        <x:v>68</x:v>
      </x:c>
      <x:c r="I18" s="17" t="n">
        <x:v>23</x:v>
      </x:c>
      <x:c r="J18" s="17" t="n">
        <x:v>22</x:v>
      </x:c>
      <x:c r="K18" s="17" t="n">
        <x:v>17</x:v>
      </x:c>
      <x:c r="L18" t="str">
        <x:v>I</x:v>
      </x:c>
      <x:c r="M18" t="str">
        <x:v>NY</x:v>
      </x:c>
      <x:c r="N18" t="str">
        <x:v>BROOKLYN</x:v>
      </x:c>
      <x:c r="O18" t="str">
        <x:v>NJ</x:v>
      </x:c>
      <x:c r="P18" t="str">
        <x:v>NEW BRUNSWICK</x:v>
      </x:c>
      <x:c r="Q18" t="str">
        <x:v>已匹配</x:v>
      </x:c>
      <x:c r="R18" t="n">
        <x:v>365</x:v>
      </x:c>
    </x:row>
    <x:row r="19" ht="18">
      <x:c r="A19" s="12" t="s">
        <x:v>69</x:v>
      </x:c>
      <x:c r="B19" s="3">
        <x:v>85.85</x:v>
      </x:c>
      <x:c r="C19" s="5">
        <x:v>89.165999999999997</x:v>
      </x:c>
      <x:c r="D19" s="5">
        <x:f t="shared" si="0"/>
        <x:v>3.3160000000000025</x:v>
      </x:c>
      <x:c r="E19" t="s">
        <x:v>35</x:v>
      </x:c>
      <x:c r="F19" t="s">
        <x:v>10</x:v>
      </x:c>
      <x:c r="G19" t="s">
        <x:v>70</x:v>
      </x:c>
      <x:c r="H19" t="s">
        <x:v>71</x:v>
      </x:c>
      <x:c r="I19" s="17" t="n">
        <x:v>20</x:v>
      </x:c>
      <x:c r="J19" s="17" t="n">
        <x:v>16</x:v>
      </x:c>
      <x:c r="K19" s="17" t="n">
        <x:v>16</x:v>
      </x:c>
      <x:c r="L19" t="str">
        <x:v>I</x:v>
      </x:c>
      <x:c r="M19" t="str">
        <x:v>FL</x:v>
      </x:c>
      <x:c r="N19" t="str">
        <x:v>BOCA RATON</x:v>
      </x:c>
      <x:c r="O19" t="str">
        <x:v>NJ</x:v>
      </x:c>
      <x:c r="P19" t="str">
        <x:v>NEW BRUNSWICK</x:v>
      </x:c>
      <x:c r="Q19" t="str">
        <x:v>已匹配</x:v>
      </x:c>
      <x:c r="R19" t="n">
        <x:v>202</x:v>
      </x:c>
    </x:row>
    <x:row r="20" ht="18">
      <x:c r="A20" s="12" t="s">
        <x:v>72</x:v>
      </x:c>
      <x:c r="B20" s="3">
        <x:v>17.75</x:v>
      </x:c>
      <x:c r="C20" s="5">
        <x:v>19.931999999999999</x:v>
      </x:c>
      <x:c r="D20" s="5">
        <x:f t="shared" si="0"/>
        <x:v>2.1819999999999986</x:v>
      </x:c>
      <x:c r="E20" t="s">
        <x:v>73</x:v>
      </x:c>
      <x:c r="F20" t="s">
        <x:v>10</x:v>
      </x:c>
      <x:c r="G20" t="s">
        <x:v>74</x:v>
      </x:c>
      <x:c r="H20" t="s">
        <x:v>75</x:v>
      </x:c>
      <x:c r="I20" s="17" t="n">
        <x:v>15</x:v>
      </x:c>
      <x:c r="J20" s="17" t="n">
        <x:v>14</x:v>
      </x:c>
      <x:c r="K20" s="17" t="n">
        <x:v>11</x:v>
      </x:c>
      <x:c r="L20" t="str">
        <x:v>I</x:v>
      </x:c>
      <x:c r="M20" t="str">
        <x:v>KY</x:v>
      </x:c>
      <x:c r="N20" t="str">
        <x:v>GEORGETOWN</x:v>
      </x:c>
      <x:c r="O20" t="str">
        <x:v>NJ</x:v>
      </x:c>
      <x:c r="P20" t="str">
        <x:v>NEW BRUNSWICK</x:v>
      </x:c>
      <x:c r="Q20" t="str">
        <x:v>已匹配</x:v>
      </x:c>
      <x:c r="R20" t="n">
        <x:v>178</x:v>
      </x:c>
    </x:row>
    <x:row r="21" ht="18">
      <x:c r="A21" s="12" t="s">
        <x:v>76</x:v>
      </x:c>
      <x:c r="B21" s="3">
        <x:v>85.85</x:v>
      </x:c>
      <x:c r="C21" s="5">
        <x:v>88.891000000000005</x:v>
      </x:c>
      <x:c r="D21" s="5">
        <x:f t="shared" si="0"/>
        <x:v>3.041000000000011</x:v>
      </x:c>
      <x:c r="E21" t="s">
        <x:v>35</x:v>
      </x:c>
      <x:c r="F21" t="s">
        <x:v>10</x:v>
      </x:c>
      <x:c r="G21" t="s">
        <x:v>77</x:v>
      </x:c>
      <x:c r="H21" t="s">
        <x:v>78</x:v>
      </x:c>
      <x:c r="I21" s="17" t="n">
        <x:v>19</x:v>
      </x:c>
      <x:c r="J21" s="17" t="n">
        <x:v>16</x:v>
      </x:c>
      <x:c r="K21" s="17" t="n">
        <x:v>16</x:v>
      </x:c>
      <x:c r="L21" t="str">
        <x:v>I</x:v>
      </x:c>
      <x:c r="M21" t="str">
        <x:v>FL</x:v>
      </x:c>
      <x:c r="N21" t="str">
        <x:v>NEW SMYRNA BEACH</x:v>
      </x:c>
      <x:c r="O21" t="str">
        <x:v>NJ</x:v>
      </x:c>
      <x:c r="P21" t="str">
        <x:v>NEW BRUNSWICK</x:v>
      </x:c>
      <x:c r="Q21" t="str">
        <x:v>已匹配</x:v>
      </x:c>
      <x:c r="R21" t="n">
        <x:v>201</x:v>
      </x:c>
    </x:row>
    <x:row r="22" ht="18">
      <x:c r="A22" s="12" t="s">
        <x:v>79</x:v>
      </x:c>
      <x:c r="B22" s="3">
        <x:v>18.829999999999998</x:v>
      </x:c>
      <x:c r="C22" s="5">
        <x:v>33.176000000000002</x:v>
      </x:c>
      <x:c r="D22" s="5">
        <x:f t="shared" si="0"/>
        <x:v>14.346000000000004</x:v>
      </x:c>
      <x:c r="E22" t="s">
        <x:v>80</x:v>
      </x:c>
      <x:c r="F22" t="s">
        <x:v>10</x:v>
      </x:c>
      <x:c r="G22" t="s">
        <x:v>81</x:v>
      </x:c>
      <x:c r="H22" t="s">
        <x:v>82</x:v>
      </x:c>
      <x:c r="I22" s="17" t="n">
        <x:v>22</x:v>
      </x:c>
      <x:c r="J22" s="17" t="n">
        <x:v>16</x:v>
      </x:c>
      <x:c r="K22" s="17" t="n">
        <x:v>16</x:v>
      </x:c>
      <x:c r="L22" t="str">
        <x:v>I</x:v>
      </x:c>
      <x:c r="M22" t="str">
        <x:v>GA</x:v>
      </x:c>
      <x:c r="N22" t="str">
        <x:v>NEWNAN</x:v>
      </x:c>
      <x:c r="O22" t="str">
        <x:v>NJ</x:v>
      </x:c>
      <x:c r="P22" t="str">
        <x:v>NEW BRUNSWICK</x:v>
      </x:c>
      <x:c r="Q22" t="str">
        <x:v>已匹配</x:v>
      </x:c>
      <x:c r="R22" t="n">
        <x:v>282</x:v>
      </x:c>
    </x:row>
    <x:row r="23" ht="18">
      <x:c r="A23" s="12" t="s">
        <x:v>83</x:v>
      </x:c>
      <x:c r="B23" s="3">
        <x:v>46.88</x:v>
      </x:c>
      <x:c r="C23" s="5">
        <x:v>49.115000000000002</x:v>
      </x:c>
      <x:c r="D23" s="5">
        <x:f t="shared" si="0"/>
        <x:v>2.2349999999999994</x:v>
      </x:c>
      <x:c r="E23" t="s">
        <x:v>25</x:v>
      </x:c>
      <x:c r="F23" t="s">
        <x:v>10</x:v>
      </x:c>
      <x:c r="G23" t="s">
        <x:v>84</x:v>
      </x:c>
      <x:c r="H23" t="s">
        <x:v>85</x:v>
      </x:c>
      <x:c r="I23" s="17" t="n">
        <x:v>16</x:v>
      </x:c>
      <x:c r="J23" s="17" t="n">
        <x:v>12</x:v>
      </x:c>
      <x:c r="K23" s="17" t="n">
        <x:v>12</x:v>
      </x:c>
      <x:c r="L23" t="str">
        <x:v>I</x:v>
      </x:c>
      <x:c r="M23" t="str">
        <x:v>MT</x:v>
      </x:c>
      <x:c r="N23" t="str">
        <x:v>MISSOULA</x:v>
      </x:c>
      <x:c r="O23" t="str">
        <x:v>NJ</x:v>
      </x:c>
      <x:c r="P23" t="str">
        <x:v>NEW BRUNSWICK</x:v>
      </x:c>
      <x:c r="Q23" t="str">
        <x:v>已匹配</x:v>
      </x:c>
      <x:c r="R23" t="n">
        <x:v>222</x:v>
      </x:c>
    </x:row>
    <x:row r="24" ht="18">
      <x:c r="A24" s="12" t="s">
        <x:v>86</x:v>
      </x:c>
      <x:c r="B24" s="3">
        <x:v>103.18</x:v>
      </x:c>
      <x:c r="C24" s="5">
        <x:v>112.31</x:v>
      </x:c>
      <x:c r="D24" s="5">
        <x:f t="shared" si="0"/>
        <x:v>9.1299999999999955</x:v>
      </x:c>
      <x:c r="E24" t="s">
        <x:v>87</x:v>
      </x:c>
      <x:c r="F24" t="s">
        <x:v>10</x:v>
      </x:c>
      <x:c r="G24" t="s">
        <x:v>88</x:v>
      </x:c>
      <x:c r="H24" t="s">
        <x:v>89</x:v>
      </x:c>
      <x:c r="I24" s="17" t="n">
        <x:v>27</x:v>
      </x:c>
      <x:c r="J24" s="17" t="n">
        <x:v>22</x:v>
      </x:c>
      <x:c r="K24" s="17" t="n">
        <x:v>16</x:v>
      </x:c>
      <x:c r="L24" t="str">
        <x:v>I</x:v>
      </x:c>
      <x:c r="M24" t="str">
        <x:v>WI</x:v>
      </x:c>
      <x:c r="N24" t="str">
        <x:v>WAUPUN</x:v>
      </x:c>
      <x:c r="O24" t="str">
        <x:v>NJ</x:v>
      </x:c>
      <x:c r="P24" t="str">
        <x:v>NEW BRUNSWICK</x:v>
      </x:c>
      <x:c r="Q24" t="str">
        <x:v>已匹配</x:v>
      </x:c>
      <x:c r="R24" t="n">
        <x:v>316</x:v>
      </x:c>
    </x:row>
    <x:row r="25" ht="18">
      <x:c r="A25" s="12" t="s">
        <x:v>90</x:v>
      </x:c>
      <x:c r="B25" s="3">
        <x:v>52.56</x:v>
      </x:c>
      <x:c r="C25" s="5">
        <x:v>78.968999999999994</x:v>
      </x:c>
      <x:c r="D25" s="5">
        <x:f t="shared" si="0"/>
        <x:v>26.408999999999992</x:v>
      </x:c>
      <x:c r="F25" t="s">
        <x:v>91</x:v>
      </x:c>
      <x:c r="I25" s="17" t="n">
        <x:v>35</x:v>
      </x:c>
      <x:c r="J25" s="17" t="n">
        <x:v>33</x:v>
      </x:c>
      <x:c r="K25" s="17" t="n">
        <x:v>5</x:v>
      </x:c>
      <x:c r="L25" t="str">
        <x:v>I</x:v>
      </x:c>
      <x:c r="M25" t="str">
        <x:v>FL</x:v>
      </x:c>
      <x:c r="N25" t="str">
        <x:v>FREEPORT</x:v>
      </x:c>
      <x:c r="O25" t="str">
        <x:v>CT</x:v>
      </x:c>
      <x:c r="P25" t="str">
        <x:v>RIDGEFIELD</x:v>
      </x:c>
      <x:c r="Q25" t="str">
        <x:v>已匹配</x:v>
      </x:c>
      <x:c r="R25" t="n">
        <x:v>221</x:v>
      </x:c>
    </x:row>
    <x:row r="26" ht="18">
      <x:c r="A26" s="12" t="s">
        <x:v>92</x:v>
      </x:c>
      <x:c r="B26" s="3">
        <x:v>26.31</x:v>
      </x:c>
      <x:c r="C26" s="5">
        <x:v>30.338000000000001</x:v>
      </x:c>
      <x:c r="D26" s="5">
        <x:f t="shared" si="0"/>
        <x:v>4.0280000000000022</x:v>
      </x:c>
      <x:c r="E26" t="s">
        <x:v>25</x:v>
      </x:c>
      <x:c r="F26" t="s">
        <x:v>10</x:v>
      </x:c>
      <x:c r="G26" t="s">
        <x:v>93</x:v>
      </x:c>
      <x:c r="H26" t="s">
        <x:v>94</x:v>
      </x:c>
      <x:c r="I26" s="17" t="n">
        <x:v>16</x:v>
      </x:c>
      <x:c r="J26" s="17" t="n">
        <x:v>16</x:v>
      </x:c>
      <x:c r="K26" s="17" t="n">
        <x:v>12</x:v>
      </x:c>
      <x:c r="L26" t="str">
        <x:v>I</x:v>
      </x:c>
      <x:c r="M26" t="str">
        <x:v>GA</x:v>
      </x:c>
      <x:c r="N26" t="str">
        <x:v>WAYCROSS</x:v>
      </x:c>
      <x:c r="O26" t="str">
        <x:v>NJ</x:v>
      </x:c>
      <x:c r="P26" t="str">
        <x:v>NEW BRUNSWICK</x:v>
      </x:c>
      <x:c r="Q26" t="str">
        <x:v>已匹配</x:v>
      </x:c>
      <x:c r="R26" t="n">
        <x:v>166</x:v>
      </x:c>
    </x:row>
    <x:row r="27" ht="18">
      <x:c r="A27" s="12" t="s">
        <x:v>95</x:v>
      </x:c>
      <x:c r="B27" s="3">
        <x:v>30.26</x:v>
      </x:c>
      <x:c r="C27" s="5">
        <x:v>33.670999999999999</x:v>
      </x:c>
      <x:c r="D27" s="5">
        <x:f t="shared" si="0"/>
        <x:v>3.4109999999999978</x:v>
      </x:c>
      <x:c r="E27" t="s">
        <x:v>21</x:v>
      </x:c>
      <x:c r="F27" t="s">
        <x:v>10</x:v>
      </x:c>
      <x:c r="G27" t="s">
        <x:v>96</x:v>
      </x:c>
      <x:c r="H27" t="s">
        <x:v>97</x:v>
      </x:c>
      <x:c r="I27" s="17" t="n">
        <x:v>19</x:v>
      </x:c>
      <x:c r="J27" s="17" t="n">
        <x:v>17</x:v>
      </x:c>
      <x:c r="K27" s="17" t="n">
        <x:v>13</x:v>
      </x:c>
      <x:c r="L27" t="str">
        <x:v>I</x:v>
      </x:c>
      <x:c r="M27" t="str">
        <x:v>ME</x:v>
      </x:c>
      <x:c r="N27" t="str">
        <x:v>WINTHROP</x:v>
      </x:c>
      <x:c r="O27" t="str">
        <x:v>NJ</x:v>
      </x:c>
      <x:c r="P27" t="str">
        <x:v>NEW BRUNSWICK</x:v>
      </x:c>
      <x:c r="Q27" t="str">
        <x:v>已匹配</x:v>
      </x:c>
      <x:c r="R27" t="n">
        <x:v>200</x:v>
      </x:c>
    </x:row>
    <x:row r="28" ht="18">
      <x:c r="A28" s="12" t="s">
        <x:v>98</x:v>
      </x:c>
      <x:c r="B28" s="3">
        <x:v>20.78</x:v>
      </x:c>
      <x:c r="C28" s="5">
        <x:v>25.751000000000001</x:v>
      </x:c>
      <x:c r="D28" s="5">
        <x:f t="shared" si="0"/>
        <x:v>4.9710000000000001</x:v>
      </x:c>
      <x:c r="E28" t="s">
        <x:v>14</x:v>
      </x:c>
      <x:c r="F28" t="s">
        <x:v>10</x:v>
      </x:c>
      <x:c r="G28" t="s">
        <x:v>99</x:v>
      </x:c>
      <x:c r="H28" t="s">
        <x:v>100</x:v>
      </x:c>
      <x:c r="I28" s="17" t="n">
        <x:v>23</x:v>
      </x:c>
      <x:c r="J28" s="17" t="n">
        <x:v>16</x:v>
      </x:c>
      <x:c r="K28" s="17" t="n">
        <x:v>14</x:v>
      </x:c>
      <x:c r="L28" t="str">
        <x:v>I</x:v>
      </x:c>
      <x:c r="M28" t="str">
        <x:v>NC</x:v>
      </x:c>
      <x:c r="N28" t="str">
        <x:v>ROSEBORO</x:v>
      </x:c>
      <x:c r="O28" t="str">
        <x:v>NJ</x:v>
      </x:c>
      <x:c r="P28" t="str">
        <x:v>NEW BRUNSWICK</x:v>
      </x:c>
      <x:c r="Q28" t="str">
        <x:v>已匹配</x:v>
      </x:c>
      <x:c r="R28" t="n">
        <x:v>281</x:v>
      </x:c>
    </x:row>
    <x:row r="29" ht="18">
      <x:c r="A29" s="12" t="s">
        <x:v>101</x:v>
      </x:c>
      <x:c r="B29" s="3">
        <x:v>29.99</x:v>
      </x:c>
      <x:c r="C29" s="5">
        <x:v>32.284999999999997</x:v>
      </x:c>
      <x:c r="D29" s="5">
        <x:f t="shared" si="0"/>
        <x:v>2.2949999999999982</x:v>
      </x:c>
      <x:c r="E29" t="s">
        <x:v>14</x:v>
      </x:c>
      <x:c r="F29" t="s">
        <x:v>10</x:v>
      </x:c>
      <x:c r="G29" t="s">
        <x:v>102</x:v>
      </x:c>
      <x:c r="H29" t="s">
        <x:v>103</x:v>
      </x:c>
      <x:c r="I29" s="17" t="n">
        <x:v>19</x:v>
      </x:c>
      <x:c r="J29" s="17" t="n">
        <x:v>14</x:v>
      </x:c>
      <x:c r="K29" s="17" t="n">
        <x:v>11</x:v>
      </x:c>
      <x:c r="L29" t="str">
        <x:v>I</x:v>
      </x:c>
      <x:c r="M29" t="str">
        <x:v>AR</x:v>
      </x:c>
      <x:c r="N29" t="str">
        <x:v>HOPE</x:v>
      </x:c>
      <x:c r="O29" t="str">
        <x:v>NJ</x:v>
      </x:c>
      <x:c r="P29" t="str">
        <x:v>NEW BRUNSWICK</x:v>
      </x:c>
      <x:c r="Q29" t="str">
        <x:v>已匹配</x:v>
      </x:c>
      <x:c r="R29" t="n">
        <x:v>220</x:v>
      </x:c>
    </x:row>
    <x:row r="30" ht="18">
      <x:c r="A30" s="12" t="s">
        <x:v>104</x:v>
      </x:c>
      <x:c r="B30" s="3">
        <x:v>16.62</x:v>
      </x:c>
      <x:c r="C30" s="5">
        <x:v>19.151</x:v>
      </x:c>
      <x:c r="D30" s="5">
        <x:f t="shared" si="0"/>
        <x:v>2.5309999999999988</x:v>
      </x:c>
      <x:c r="E30" t="s">
        <x:v>14</x:v>
      </x:c>
      <x:c r="F30" t="s">
        <x:v>10</x:v>
      </x:c>
      <x:c r="G30" t="s">
        <x:v>105</x:v>
      </x:c>
      <x:c r="H30" t="s">
        <x:v>106</x:v>
      </x:c>
      <x:c r="I30" s="17" t="n">
        <x:v>16</x:v>
      </x:c>
      <x:c r="J30" s="17" t="n">
        <x:v>16</x:v>
      </x:c>
      <x:c r="K30" s="17" t="n">
        <x:v>12</x:v>
      </x:c>
      <x:c r="L30" t="str">
        <x:v>I</x:v>
      </x:c>
      <x:c r="M30" t="str">
        <x:v>MD</x:v>
      </x:c>
      <x:c r="N30" t="str">
        <x:v>LUTHERVILLE TIMONIUM</x:v>
      </x:c>
      <x:c r="O30" t="str">
        <x:v>NJ</x:v>
      </x:c>
      <x:c r="P30" t="str">
        <x:v>NEW BRUNSWICK</x:v>
      </x:c>
      <x:c r="Q30" t="str">
        <x:v>已匹配</x:v>
      </x:c>
      <x:c r="R30" t="n">
        <x:v>164</x:v>
      </x:c>
    </x:row>
    <x:row r="31" ht="18">
      <x:c r="A31" s="12" t="s">
        <x:v>107</x:v>
      </x:c>
      <x:c r="B31" s="3">
        <x:v>60.52</x:v>
      </x:c>
      <x:c r="C31" s="5">
        <x:v>111.79300000000001</x:v>
      </x:c>
      <x:c r="D31" s="5">
        <x:f t="shared" si="0"/>
        <x:v>51.273000000000003</x:v>
      </x:c>
      <x:c r="E31" t="s">
        <x:v>108</x:v>
      </x:c>
      <x:c r="F31" t="s">
        <x:v>10</x:v>
      </x:c>
      <x:c r="G31" t="s">
        <x:v>109</x:v>
      </x:c>
      <x:c r="H31" t="s">
        <x:v>110</x:v>
      </x:c>
      <x:c r="I31" s="17" t="n">
        <x:v>19</x:v>
      </x:c>
      <x:c r="J31" s="17" t="n">
        <x:v>19</x:v>
      </x:c>
      <x:c r="K31" s="17" t="n">
        <x:v>15</x:v>
      </x:c>
      <x:c r="L31" t="str">
        <x:v>I</x:v>
      </x:c>
      <x:c r="M31" t="str">
        <x:v>TX</x:v>
      </x:c>
      <x:c r="N31" t="str">
        <x:v>BOERNE</x:v>
      </x:c>
      <x:c r="O31" t="str">
        <x:v>NJ</x:v>
      </x:c>
      <x:c r="P31" t="str">
        <x:v>NEW BRUNSWICK</x:v>
      </x:c>
      <x:c r="Q31" t="str">
        <x:v>已匹配</x:v>
      </x:c>
      <x:c r="R31" t="n">
        <x:v>174</x:v>
      </x:c>
    </x:row>
    <x:row r="32" ht="18">
      <x:c r="A32" s="12" t="s">
        <x:v>111</x:v>
      </x:c>
      <x:c r="B32" s="3">
        <x:v>21.61</x:v>
      </x:c>
      <x:c r="C32" s="5">
        <x:v>29.128</x:v>
      </x:c>
      <x:c r="D32" s="5">
        <x:f t="shared" si="0"/>
        <x:v>7.5180000000000007</x:v>
      </x:c>
      <x:c r="E32" t="s">
        <x:v>14</x:v>
      </x:c>
      <x:c r="F32" t="s">
        <x:v>10</x:v>
      </x:c>
      <x:c r="G32" t="s">
        <x:v>112</x:v>
      </x:c>
      <x:c r="H32" t="s">
        <x:v>113</x:v>
      </x:c>
      <x:c r="I32" s="17" t="n">
        <x:v>16</x:v>
      </x:c>
      <x:c r="J32" s="17" t="n">
        <x:v>15</x:v>
      </x:c>
      <x:c r="K32" s="17" t="n">
        <x:v>12</x:v>
      </x:c>
      <x:c r="L32" t="str">
        <x:v>I</x:v>
      </x:c>
      <x:c r="M32" t="str">
        <x:v>FL</x:v>
      </x:c>
      <x:c r="N32" t="str">
        <x:v>ORLANDO</x:v>
      </x:c>
      <x:c r="O32" t="str">
        <x:v>NJ</x:v>
      </x:c>
      <x:c r="P32" t="str">
        <x:v>NEW BRUNSWICK</x:v>
      </x:c>
      <x:c r="Q32" t="str">
        <x:v>已匹配</x:v>
      </x:c>
      <x:c r="R32" t="n">
        <x:v>219</x:v>
      </x:c>
    </x:row>
    <x:row r="33" ht="18">
      <x:c r="A33" s="12" t="s">
        <x:v>114</x:v>
      </x:c>
      <x:c r="B33" s="3">
        <x:v>26.31</x:v>
      </x:c>
      <x:c r="C33" s="5">
        <x:v>30.338000000000001</x:v>
      </x:c>
      <x:c r="D33" s="5">
        <x:f t="shared" si="0"/>
        <x:v>4.0280000000000022</x:v>
      </x:c>
      <x:c r="E33" t="s">
        <x:v>25</x:v>
      </x:c>
      <x:c r="F33" t="s">
        <x:v>10</x:v>
      </x:c>
      <x:c r="G33" t="s">
        <x:v>115</x:v>
      </x:c>
      <x:c r="H33" t="s">
        <x:v>116</x:v>
      </x:c>
      <x:c r="I33" s="17" t="n">
        <x:v>16</x:v>
      </x:c>
      <x:c r="J33" s="17" t="n">
        <x:v>16</x:v>
      </x:c>
      <x:c r="K33" s="17" t="n">
        <x:v>12</x:v>
      </x:c>
      <x:c r="L33" t="str">
        <x:v>I</x:v>
      </x:c>
      <x:c r="M33" t="str">
        <x:v>TN</x:v>
      </x:c>
      <x:c r="N33" t="str">
        <x:v>CAMDEN</x:v>
      </x:c>
      <x:c r="O33" t="str">
        <x:v>NJ</x:v>
      </x:c>
      <x:c r="P33" t="str">
        <x:v>NEW BRUNSWICK</x:v>
      </x:c>
      <x:c r="Q33" t="str">
        <x:v>已匹配</x:v>
      </x:c>
      <x:c r="R33" t="n">
        <x:v>162</x:v>
      </x:c>
    </x:row>
    <x:row r="34" ht="18">
      <x:c r="A34" s="12" t="s">
        <x:v>117</x:v>
      </x:c>
      <x:c r="B34" s="3">
        <x:v>26.31</x:v>
      </x:c>
      <x:c r="C34" s="5">
        <x:v>29.073</x:v>
      </x:c>
      <x:c r="D34" s="5">
        <x:f t="shared" si="0"/>
        <x:v>2.7630000000000017</x:v>
      </x:c>
      <x:c r="E34" t="s">
        <x:v>25</x:v>
      </x:c>
      <x:c r="F34" t="s">
        <x:v>10</x:v>
      </x:c>
      <x:c r="G34" t="s">
        <x:v>118</x:v>
      </x:c>
      <x:c r="H34" t="s">
        <x:v>119</x:v>
      </x:c>
      <x:c r="I34" s="17" t="n">
        <x:v>15</x:v>
      </x:c>
      <x:c r="J34" s="17" t="n">
        <x:v>15</x:v>
      </x:c>
      <x:c r="K34" s="17" t="n">
        <x:v>11</x:v>
      </x:c>
      <x:c r="L34" t="str">
        <x:v>I</x:v>
      </x:c>
      <x:c r="M34" t="str">
        <x:v>FL</x:v>
      </x:c>
      <x:c r="N34" t="str">
        <x:v>LARGO</x:v>
      </x:c>
      <x:c r="O34" t="str">
        <x:v>NJ</x:v>
      </x:c>
      <x:c r="P34" t="str">
        <x:v>NEW BRUNSWICK</x:v>
      </x:c>
      <x:c r="Q34" t="str">
        <x:v>已匹配</x:v>
      </x:c>
      <x:c r="R34" t="n">
        <x:v>280</x:v>
      </x:c>
    </x:row>
    <x:row r="35" ht="18">
      <x:c r="A35" s="12" t="s">
        <x:v>120</x:v>
      </x:c>
      <x:c r="B35" s="3">
        <x:v>29.02</x:v>
      </x:c>
      <x:c r="C35" s="5">
        <x:v>31.559000000000001</x:v>
      </x:c>
      <x:c r="D35" s="5">
        <x:f t="shared" si="0"/>
        <x:v>2.5390000000000015</x:v>
      </x:c>
      <x:c r="E35" t="s">
        <x:v>21</x:v>
      </x:c>
      <x:c r="F35" t="s">
        <x:v>10</x:v>
      </x:c>
      <x:c r="G35" t="s">
        <x:v>121</x:v>
      </x:c>
      <x:c r="H35" t="s">
        <x:v>122</x:v>
      </x:c>
      <x:c r="I35" s="17" t="n">
        <x:v>18</x:v>
      </x:c>
      <x:c r="J35" s="17" t="n">
        <x:v>16</x:v>
      </x:c>
      <x:c r="K35" s="17" t="n">
        <x:v>16</x:v>
      </x:c>
      <x:c r="L35" t="str">
        <x:v>I</x:v>
      </x:c>
      <x:c r="M35" t="str">
        <x:v>NC</x:v>
      </x:c>
      <x:c r="N35" t="str">
        <x:v>MATTHEWS</x:v>
      </x:c>
      <x:c r="O35" t="str">
        <x:v>NJ</x:v>
      </x:c>
      <x:c r="P35" t="str">
        <x:v>NEW BRUNSWICK</x:v>
      </x:c>
      <x:c r="Q35" t="str">
        <x:v>已匹配</x:v>
      </x:c>
      <x:c r="R35" t="n">
        <x:v>161</x:v>
      </x:c>
    </x:row>
    <x:row r="36" ht="18">
      <x:c r="A36" s="12" t="s">
        <x:v>123</x:v>
      </x:c>
      <x:c r="B36" s="3">
        <x:v>25.62</x:v>
      </x:c>
      <x:c r="C36" s="5">
        <x:v>36.585999999999999</x:v>
      </x:c>
      <x:c r="D36" s="5">
        <x:f t="shared" si="0"/>
        <x:v>10.965999999999998</x:v>
      </x:c>
      <x:c r="E36" t="s">
        <x:v>14</x:v>
      </x:c>
      <x:c r="F36" t="s">
        <x:v>10</x:v>
      </x:c>
      <x:c r="G36" t="s">
        <x:v>124</x:v>
      </x:c>
      <x:c r="H36" t="s">
        <x:v>125</x:v>
      </x:c>
      <x:c r="I36" s="17" t="n">
        <x:v>16</x:v>
      </x:c>
      <x:c r="J36" s="17" t="n">
        <x:v>16</x:v>
      </x:c>
      <x:c r="K36" s="17" t="n">
        <x:v>12</x:v>
      </x:c>
      <x:c r="L36" t="str">
        <x:v>I</x:v>
      </x:c>
      <x:c r="M36" t="str">
        <x:v>MN</x:v>
      </x:c>
      <x:c r="N36" t="str">
        <x:v>BEMIDJI</x:v>
      </x:c>
      <x:c r="O36" t="str">
        <x:v>NJ</x:v>
      </x:c>
      <x:c r="P36" t="str">
        <x:v>NEW BRUNSWICK</x:v>
      </x:c>
      <x:c r="Q36" t="str">
        <x:v>已匹配</x:v>
      </x:c>
      <x:c r="R36" t="n">
        <x:v>157</x:v>
      </x:c>
    </x:row>
    <x:row r="37" ht="18">
      <x:c r="A37" s="12" t="s">
        <x:v>126</x:v>
      </x:c>
      <x:c r="B37" s="3">
        <x:v>24.48</x:v>
      </x:c>
      <x:c r="C37" s="5">
        <x:v>41.03</x:v>
      </x:c>
      <x:c r="D37" s="5">
        <x:f t="shared" si="0"/>
        <x:v>16.55</x:v>
      </x:c>
      <x:c r="E37" t="s">
        <x:v>21</x:v>
      </x:c>
      <x:c r="F37" t="s">
        <x:v>10</x:v>
      </x:c>
      <x:c r="G37" t="s">
        <x:v>127</x:v>
      </x:c>
      <x:c r="H37" t="s">
        <x:v>128</x:v>
      </x:c>
      <x:c r="I37" s="17" t="n">
        <x:v>19</x:v>
      </x:c>
      <x:c r="J37" s="17" t="n">
        <x:v>17</x:v>
      </x:c>
      <x:c r="K37" s="17" t="n">
        <x:v>13</x:v>
      </x:c>
      <x:c r="L37" t="str">
        <x:v>I</x:v>
      </x:c>
      <x:c r="M37" t="str">
        <x:v>GA</x:v>
      </x:c>
      <x:c r="N37" t="str">
        <x:v>WARNER ROBINS</x:v>
      </x:c>
      <x:c r="O37" t="str">
        <x:v>NJ</x:v>
      </x:c>
      <x:c r="P37" t="str">
        <x:v>NEW BRUNSWICK</x:v>
      </x:c>
      <x:c r="Q37" t="str">
        <x:v>已匹配</x:v>
      </x:c>
      <x:c r="R37" t="n">
        <x:v>314</x:v>
      </x:c>
    </x:row>
    <x:row r="38" ht="18">
      <x:c r="A38" s="12" t="s">
        <x:v>129</x:v>
      </x:c>
      <x:c r="B38" s="3">
        <x:v>71.94</x:v>
      </x:c>
      <x:c r="C38" s="5">
        <x:v>74.756</x:v>
      </x:c>
      <x:c r="D38" s="5">
        <x:f t="shared" si="0"/>
        <x:v>2.8160000000000025</x:v>
      </x:c>
      <x:c r="E38" t="s">
        <x:v>35</x:v>
      </x:c>
      <x:c r="F38" t="s">
        <x:v>10</x:v>
      </x:c>
      <x:c r="G38" t="s">
        <x:v>130</x:v>
      </x:c>
      <x:c r="H38" t="s">
        <x:v>131</x:v>
      </x:c>
      <x:c r="I38" s="17" t="n">
        <x:v>19</x:v>
      </x:c>
      <x:c r="J38" s="17" t="n">
        <x:v>16</x:v>
      </x:c>
      <x:c r="K38" s="17" t="n">
        <x:v>16</x:v>
      </x:c>
      <x:c r="L38" t="str">
        <x:v>I</x:v>
      </x:c>
      <x:c r="M38" t="str">
        <x:v>NC</x:v>
      </x:c>
      <x:c r="N38" t="str">
        <x:v>ENFIELD</x:v>
      </x:c>
      <x:c r="O38" t="str">
        <x:v>NJ</x:v>
      </x:c>
      <x:c r="P38" t="str">
        <x:v>NEW BRUNSWICK</x:v>
      </x:c>
      <x:c r="Q38" t="str">
        <x:v>已匹配</x:v>
      </x:c>
      <x:c r="R38" t="n">
        <x:v>217</x:v>
      </x:c>
    </x:row>
    <x:row r="39" ht="18">
      <x:c r="A39" s="12" t="s">
        <x:v>132</x:v>
      </x:c>
      <x:c r="B39" s="3">
        <x:v>21.76</x:v>
      </x:c>
      <x:c r="C39" s="5">
        <x:v>24.408999999999999</x:v>
      </x:c>
      <x:c r="D39" s="5">
        <x:f t="shared" si="0"/>
        <x:v>2.6489999999999974</x:v>
      </x:c>
      <x:c r="E39" t="s">
        <x:v>25</x:v>
      </x:c>
      <x:c r="F39" t="s">
        <x:v>10</x:v>
      </x:c>
      <x:c r="G39" t="s">
        <x:v>133</x:v>
      </x:c>
      <x:c r="H39" t="s">
        <x:v>134</x:v>
      </x:c>
      <x:c r="I39" s="17" t="n">
        <x:v>16</x:v>
      </x:c>
      <x:c r="J39" s="17" t="n">
        <x:v>16</x:v>
      </x:c>
      <x:c r="K39" s="17" t="n">
        <x:v>12</x:v>
      </x:c>
      <x:c r="L39" t="str">
        <x:v>I</x:v>
      </x:c>
      <x:c r="M39" t="str">
        <x:v>KY</x:v>
      </x:c>
      <x:c r="N39" t="str">
        <x:v>HEBRON</x:v>
      </x:c>
      <x:c r="O39" t="str">
        <x:v>NJ</x:v>
      </x:c>
      <x:c r="P39" t="str">
        <x:v>NEW BRUNSWICK</x:v>
      </x:c>
      <x:c r="Q39" t="str">
        <x:v>已匹配</x:v>
      </x:c>
      <x:c r="R39" t="n">
        <x:v>132</x:v>
      </x:c>
    </x:row>
    <x:row r="40" ht="18">
      <x:c r="A40" s="12" t="s">
        <x:v>135</x:v>
      </x:c>
      <x:c r="B40" s="3">
        <x:v>85.53</x:v>
      </x:c>
      <x:c r="C40" s="5">
        <x:v>98.691999999999993</x:v>
      </x:c>
      <x:c r="D40" s="5">
        <x:f t="shared" si="0"/>
        <x:v>13.161999999999992</x:v>
      </x:c>
      <x:c r="E40" t="s">
        <x:v>87</x:v>
      </x:c>
      <x:c r="F40" t="s">
        <x:v>10</x:v>
      </x:c>
      <x:c r="G40" t="s">
        <x:v>136</x:v>
      </x:c>
      <x:c r="H40" t="s">
        <x:v>137</x:v>
      </x:c>
      <x:c r="I40" s="17" t="n">
        <x:v>27</x:v>
      </x:c>
      <x:c r="J40" s="17" t="n">
        <x:v>22</x:v>
      </x:c>
      <x:c r="K40" s="17" t="n">
        <x:v>16</x:v>
      </x:c>
      <x:c r="L40" t="str">
        <x:v>I</x:v>
      </x:c>
      <x:c r="M40" t="str">
        <x:v>VT</x:v>
      </x:c>
      <x:c r="N40" t="str">
        <x:v>BARNARD</x:v>
      </x:c>
      <x:c r="O40" t="str">
        <x:v>NJ</x:v>
      </x:c>
      <x:c r="P40" t="str">
        <x:v>NEW BRUNSWICK</x:v>
      </x:c>
      <x:c r="Q40" t="str">
        <x:v>已匹配</x:v>
      </x:c>
      <x:c r="R40" t="n">
        <x:v>156</x:v>
      </x:c>
    </x:row>
    <x:row r="41" ht="18">
      <x:c r="A41" s="12" t="s">
        <x:v>138</x:v>
      </x:c>
      <x:c r="B41" s="3">
        <x:v>31.56</x:v>
      </x:c>
      <x:c r="C41" s="5">
        <x:v>34.661000000000001</x:v>
      </x:c>
      <x:c r="D41" s="5">
        <x:f t="shared" si="0"/>
        <x:v>3.1010000000000026</x:v>
      </x:c>
      <x:c r="E41" t="s">
        <x:v>139</x:v>
      </x:c>
      <x:c r="F41" t="s">
        <x:v>10</x:v>
      </x:c>
      <x:c r="G41" t="s">
        <x:v>140</x:v>
      </x:c>
      <x:c r="H41" t="s">
        <x:v>141</x:v>
      </x:c>
      <x:c r="I41" s="17" t="n">
        <x:v>29</x:v>
      </x:c>
      <x:c r="J41" s="17" t="n">
        <x:v>19</x:v>
      </x:c>
      <x:c r="K41" s="17" t="n">
        <x:v>7</x:v>
      </x:c>
      <x:c r="L41" t="str">
        <x:v>I</x:v>
      </x:c>
      <x:c r="M41" t="str">
        <x:v>SC</x:v>
      </x:c>
      <x:c r="N41" t="str">
        <x:v>COLUMBIA</x:v>
      </x:c>
      <x:c r="O41" t="str">
        <x:v>NJ</x:v>
      </x:c>
      <x:c r="P41" t="str">
        <x:v>NEW BRUNSWICK</x:v>
      </x:c>
      <x:c r="Q41" t="str">
        <x:v>已匹配</x:v>
      </x:c>
      <x:c r="R41" t="n">
        <x:v>171</x:v>
      </x:c>
    </x:row>
    <x:row r="42" ht="18">
      <x:c r="A42" s="12" t="s">
        <x:v>142</x:v>
      </x:c>
      <x:c r="B42" s="3">
        <x:v>23.88</x:v>
      </x:c>
      <x:c r="C42" s="5">
        <x:v>56.243000000000002</x:v>
      </x:c>
      <x:c r="D42" s="5">
        <x:f t="shared" si="0"/>
        <x:v>32.363</x:v>
      </x:c>
      <x:c r="E42" t="s">
        <x:v>143</x:v>
      </x:c>
      <x:c r="F42" t="s">
        <x:v>10</x:v>
      </x:c>
      <x:c r="G42" t="s">
        <x:v>144</x:v>
      </x:c>
      <x:c r="H42" t="s">
        <x:v>145</x:v>
      </x:c>
      <x:c r="I42" s="17" t="n">
        <x:v>31</x:v>
      </x:c>
      <x:c r="J42" s="17" t="n">
        <x:v>19</x:v>
      </x:c>
      <x:c r="K42" s="17" t="n">
        <x:v>8</x:v>
      </x:c>
      <x:c r="L42" t="str">
        <x:v>I</x:v>
      </x:c>
      <x:c r="M42" t="str">
        <x:v>PA</x:v>
      </x:c>
      <x:c r="N42" t="str">
        <x:v>SOUTHAMPTON</x:v>
      </x:c>
      <x:c r="O42" t="str">
        <x:v>NJ</x:v>
      </x:c>
      <x:c r="P42" t="str">
        <x:v>NEW BRUNSWICK</x:v>
      </x:c>
      <x:c r="Q42" t="str">
        <x:v>已匹配</x:v>
      </x:c>
      <x:c r="R42" t="n">
        <x:v>249</x:v>
      </x:c>
    </x:row>
    <x:row r="43" ht="18">
      <x:c r="A43" s="12" t="s">
        <x:v>146</x:v>
      </x:c>
      <x:c r="B43" s="3">
        <x:v>69.45</x:v>
      </x:c>
      <x:c r="C43" s="5">
        <x:v>82.863</x:v>
      </x:c>
      <x:c r="D43" s="5">
        <x:f t="shared" si="0"/>
        <x:v>13.412999999999997</x:v>
      </x:c>
      <x:c r="E43" t="s">
        <x:v>147</x:v>
      </x:c>
      <x:c r="F43" t="s">
        <x:v>10</x:v>
      </x:c>
      <x:c r="G43" t="s">
        <x:v>148</x:v>
      </x:c>
      <x:c r="H43" t="s">
        <x:v>149</x:v>
      </x:c>
      <x:c r="I43" s="17" t="n">
        <x:v>28</x:v>
      </x:c>
      <x:c r="J43" s="17" t="n">
        <x:v>25</x:v>
      </x:c>
      <x:c r="K43" s="17" t="n">
        <x:v>20</x:v>
      </x:c>
      <x:c r="L43" t="str">
        <x:v>I</x:v>
      </x:c>
      <x:c r="M43" t="str">
        <x:v>VA</x:v>
      </x:c>
      <x:c r="N43" t="str">
        <x:v>KENBRIDGE</x:v>
      </x:c>
      <x:c r="O43" t="str">
        <x:v>NJ</x:v>
      </x:c>
      <x:c r="P43" t="str">
        <x:v>NEW BRUNSWICK</x:v>
      </x:c>
      <x:c r="Q43" t="str">
        <x:v>已匹配</x:v>
      </x:c>
      <x:c r="R43" t="n">
        <x:v>170</x:v>
      </x:c>
    </x:row>
    <x:row r="44" ht="18">
      <x:c r="A44" s="12" t="s">
        <x:v>150</x:v>
      </x:c>
      <x:c r="B44" s="3">
        <x:v>17</x:v>
      </x:c>
      <x:c r="C44" s="5">
        <x:v>19.382000000000001</x:v>
      </x:c>
      <x:c r="D44" s="5">
        <x:f t="shared" si="0"/>
        <x:v>2.3820000000000014</x:v>
      </x:c>
      <x:c r="E44" t="s">
        <x:v>25</x:v>
      </x:c>
      <x:c r="F44" t="s">
        <x:v>10</x:v>
      </x:c>
      <x:c r="G44" t="s">
        <x:v>151</x:v>
      </x:c>
      <x:c r="H44" t="s">
        <x:v>152</x:v>
      </x:c>
      <x:c r="I44" s="17" t="n">
        <x:v>16</x:v>
      </x:c>
      <x:c r="J44" s="17" t="n">
        <x:v>16</x:v>
      </x:c>
      <x:c r="K44" s="17" t="n">
        <x:v>12</x:v>
      </x:c>
      <x:c r="L44" t="str">
        <x:v>I</x:v>
      </x:c>
      <x:c r="M44" t="str">
        <x:v>NY</x:v>
      </x:c>
      <x:c r="N44" t="str">
        <x:v>EAST HAMPTON</x:v>
      </x:c>
      <x:c r="O44" t="str">
        <x:v>NJ</x:v>
      </x:c>
      <x:c r="P44" t="str">
        <x:v>NEW BRUNSWICK</x:v>
      </x:c>
      <x:c r="Q44" t="str">
        <x:v>已匹配</x:v>
      </x:c>
      <x:c r="R44" t="n">
        <x:v>131</x:v>
      </x:c>
    </x:row>
    <x:row r="45" ht="18">
      <x:c r="A45" s="12" t="s">
        <x:v>153</x:v>
      </x:c>
      <x:c r="B45" s="3">
        <x:v>43.92</x:v>
      </x:c>
      <x:c r="C45" s="5">
        <x:v>56.243000000000002</x:v>
      </x:c>
      <x:c r="D45" s="5">
        <x:f t="shared" si="0"/>
        <x:v>12.323</x:v>
      </x:c>
      <x:c r="E45" t="s">
        <x:v>21</x:v>
      </x:c>
      <x:c r="F45" t="s">
        <x:v>10</x:v>
      </x:c>
      <x:c r="G45" t="s">
        <x:v>154</x:v>
      </x:c>
      <x:c r="H45" t="s">
        <x:v>155</x:v>
      </x:c>
      <x:c r="I45" s="17" t="n">
        <x:v>26</x:v>
      </x:c>
      <x:c r="J45" s="17" t="n">
        <x:v>19</x:v>
      </x:c>
      <x:c r="K45" s="17" t="n">
        <x:v>14</x:v>
      </x:c>
      <x:c r="L45" t="str">
        <x:v>I</x:v>
      </x:c>
      <x:c r="M45" t="str">
        <x:v>TX</x:v>
      </x:c>
      <x:c r="N45" t="str">
        <x:v>LEAGUE CITY</x:v>
      </x:c>
      <x:c r="O45" t="str">
        <x:v>NJ</x:v>
      </x:c>
      <x:c r="P45" t="str">
        <x:v>NEW BRUNSWICK</x:v>
      </x:c>
      <x:c r="Q45" t="str">
        <x:v>已匹配</x:v>
      </x:c>
      <x:c r="R45" t="n">
        <x:v>150</x:v>
      </x:c>
    </x:row>
    <x:row r="46" ht="18">
      <x:c r="A46" s="12" t="s">
        <x:v>156</x:v>
      </x:c>
      <x:c r="B46" s="3">
        <x:v>39.159999999999997</x:v>
      </x:c>
      <x:c r="C46" s="5">
        <x:v>44.604999999999997</x:v>
      </x:c>
      <x:c r="D46" s="5">
        <x:f t="shared" si="0"/>
        <x:v>5.4450000000000003</x:v>
      </x:c>
      <x:c r="E46" t="s">
        <x:v>25</x:v>
      </x:c>
      <x:c r="F46" t="s">
        <x:v>10</x:v>
      </x:c>
      <x:c r="G46" t="s">
        <x:v>157</x:v>
      </x:c>
      <x:c r="H46" t="s">
        <x:v>158</x:v>
      </x:c>
      <x:c r="I46" s="17" t="n">
        <x:v>16</x:v>
      </x:c>
      <x:c r="J46" s="17" t="n">
        <x:v>16</x:v>
      </x:c>
      <x:c r="K46" s="17" t="n">
        <x:v>12</x:v>
      </x:c>
      <x:c r="L46" t="str">
        <x:v>I</x:v>
      </x:c>
      <x:c r="M46" t="str">
        <x:v>SD</x:v>
      </x:c>
      <x:c r="N46" t="str">
        <x:v>BOX ELDER</x:v>
      </x:c>
      <x:c r="O46" t="str">
        <x:v>NJ</x:v>
      </x:c>
      <x:c r="P46" t="str">
        <x:v>NEW BRUNSWICK</x:v>
      </x:c>
      <x:c r="Q46" t="str">
        <x:v>已匹配</x:v>
      </x:c>
      <x:c r="R46" t="n">
        <x:v>130</x:v>
      </x:c>
    </x:row>
    <x:row r="47" ht="18">
      <x:c r="A47" s="12" t="s">
        <x:v>159</x:v>
      </x:c>
      <x:c r="B47" s="3">
        <x:v>32.340000000000003</x:v>
      </x:c>
      <x:c r="C47" s="5">
        <x:v>36.509</x:v>
      </x:c>
      <x:c r="D47" s="5">
        <x:f t="shared" si="0"/>
        <x:v>4.1689999999999969</x:v>
      </x:c>
      <x:c r="E47" t="s">
        <x:v>25</x:v>
      </x:c>
      <x:c r="F47" t="s">
        <x:v>10</x:v>
      </x:c>
      <x:c r="G47" t="s">
        <x:v>160</x:v>
      </x:c>
      <x:c r="H47" t="s">
        <x:v>161</x:v>
      </x:c>
      <x:c r="I47" s="17" t="n">
        <x:v>15</x:v>
      </x:c>
      <x:c r="J47" s="17" t="n">
        <x:v>15</x:v>
      </x:c>
      <x:c r="K47" s="17" t="n">
        <x:v>11</x:v>
      </x:c>
      <x:c r="L47" t="str">
        <x:v>I</x:v>
      </x:c>
      <x:c r="M47" t="str">
        <x:v>TX</x:v>
      </x:c>
      <x:c r="N47" t="str">
        <x:v>CARROLLTON</x:v>
      </x:c>
      <x:c r="O47" t="str">
        <x:v>NJ</x:v>
      </x:c>
      <x:c r="P47" t="str">
        <x:v>NEW BRUNSWICK</x:v>
      </x:c>
      <x:c r="Q47" t="str">
        <x:v>已匹配</x:v>
      </x:c>
      <x:c r="R47" t="n">
        <x:v>215</x:v>
      </x:c>
    </x:row>
    <x:row r="48" ht="18">
      <x:c r="A48" s="12" t="s">
        <x:v>162</x:v>
      </x:c>
      <x:c r="B48" s="3">
        <x:v>26.31</x:v>
      </x:c>
      <x:c r="C48" s="5">
        <x:v>30.734000000000002</x:v>
      </x:c>
      <x:c r="D48" s="5">
        <x:f t="shared" si="0"/>
        <x:v>4.424000000000003</x:v>
      </x:c>
      <x:c r="E48" t="s">
        <x:v>25</x:v>
      </x:c>
      <x:c r="F48" t="s">
        <x:v>10</x:v>
      </x:c>
      <x:c r="G48" t="s">
        <x:v>163</x:v>
      </x:c>
      <x:c r="H48" t="s">
        <x:v>164</x:v>
      </x:c>
      <x:c r="I48" s="17" t="n">
        <x:v>17</x:v>
      </x:c>
      <x:c r="J48" s="17" t="n">
        <x:v>17</x:v>
      </x:c>
      <x:c r="K48" s="17" t="n">
        <x:v>17</x:v>
      </x:c>
      <x:c r="L48" t="str">
        <x:v>I</x:v>
      </x:c>
      <x:c r="M48" t="str">
        <x:v>KY</x:v>
      </x:c>
      <x:c r="N48" t="str">
        <x:v>LOUISVILLE</x:v>
      </x:c>
      <x:c r="O48" t="str">
        <x:v>NJ</x:v>
      </x:c>
      <x:c r="P48" t="str">
        <x:v>NEW BRUNSWICK</x:v>
      </x:c>
      <x:c r="Q48" t="str">
        <x:v>已匹配</x:v>
      </x:c>
      <x:c r="R48" t="n">
        <x:v>129</x:v>
      </x:c>
    </x:row>
    <x:row r="49" ht="18">
      <x:c r="A49" s="12" t="s">
        <x:v>165</x:v>
      </x:c>
      <x:c r="B49" s="3">
        <x:v>26.31</x:v>
      </x:c>
      <x:c r="C49" s="5">
        <x:v>29.128</x:v>
      </x:c>
      <x:c r="D49" s="5">
        <x:f t="shared" si="0"/>
        <x:v>2.8180000000000014</x:v>
      </x:c>
      <x:c r="E49" t="s">
        <x:v>25</x:v>
      </x:c>
      <x:c r="F49" t="s">
        <x:v>10</x:v>
      </x:c>
      <x:c r="G49" t="s">
        <x:v>166</x:v>
      </x:c>
      <x:c r="H49" t="s">
        <x:v>167</x:v>
      </x:c>
      <x:c r="I49" s="17" t="n">
        <x:v>15</x:v>
      </x:c>
      <x:c r="J49" s="17" t="n">
        <x:v>15</x:v>
      </x:c>
      <x:c r="K49" s="17" t="n">
        <x:v>11</x:v>
      </x:c>
      <x:c r="L49" t="str">
        <x:v>I</x:v>
      </x:c>
      <x:c r="M49" t="str">
        <x:v>MO</x:v>
      </x:c>
      <x:c r="N49" t="str">
        <x:v>JEFFERSON CITY</x:v>
      </x:c>
      <x:c r="O49" t="str">
        <x:v>NJ</x:v>
      </x:c>
      <x:c r="P49" t="str">
        <x:v>NEW BRUNSWICK</x:v>
      </x:c>
      <x:c r="Q49" t="str">
        <x:v>已匹配</x:v>
      </x:c>
      <x:c r="R49" t="n">
        <x:v>196</x:v>
      </x:c>
    </x:row>
    <x:row r="50" ht="18">
      <x:c r="A50" s="12" t="s">
        <x:v>168</x:v>
      </x:c>
      <x:c r="B50" s="3">
        <x:v>24.48</x:v>
      </x:c>
      <x:c r="C50" s="5">
        <x:v>30.228000000000002</x:v>
      </x:c>
      <x:c r="D50" s="5">
        <x:f t="shared" si="0"/>
        <x:v>5.7480000000000011</x:v>
      </x:c>
      <x:c r="F50" t="s">
        <x:v>91</x:v>
      </x:c>
      <x:c r="I50" s="17" t="n">
        <x:v>16</x:v>
      </x:c>
      <x:c r="J50" s="17" t="n">
        <x:v>16</x:v>
      </x:c>
      <x:c r="K50" s="17" t="n">
        <x:v>12</x:v>
      </x:c>
      <x:c r="L50" t="str">
        <x:v>I</x:v>
      </x:c>
      <x:c r="M50" t="str">
        <x:v>IL</x:v>
      </x:c>
      <x:c r="N50" t="str">
        <x:v>CHICAGO</x:v>
      </x:c>
      <x:c r="O50" t="str">
        <x:v>NJ</x:v>
      </x:c>
      <x:c r="P50" t="str">
        <x:v>NEW BRUNSWICK</x:v>
      </x:c>
      <x:c r="Q50" t="str">
        <x:v>已匹配</x:v>
      </x:c>
      <x:c r="R50" t="n">
        <x:v>313</x:v>
      </x:c>
    </x:row>
    <x:row r="51" ht="18">
      <x:c r="A51" s="12" t="s">
        <x:v>169</x:v>
      </x:c>
      <x:c r="B51" s="3">
        <x:v>29.02</x:v>
      </x:c>
      <x:c r="C51" s="5">
        <x:v>31.559000000000001</x:v>
      </x:c>
      <x:c r="D51" s="5">
        <x:f t="shared" si="0"/>
        <x:v>2.5390000000000015</x:v>
      </x:c>
      <x:c r="E51" t="s">
        <x:v>21</x:v>
      </x:c>
      <x:c r="F51" t="s">
        <x:v>10</x:v>
      </x:c>
      <x:c r="G51" t="s">
        <x:v>170</x:v>
      </x:c>
      <x:c r="H51" t="s">
        <x:v>171</x:v>
      </x:c>
      <x:c r="I51" s="17" t="n">
        <x:v>18</x:v>
      </x:c>
      <x:c r="J51" s="17" t="n">
        <x:v>15</x:v>
      </x:c>
      <x:c r="K51" s="17" t="n">
        <x:v>13</x:v>
      </x:c>
      <x:c r="L51" t="str">
        <x:v>I</x:v>
      </x:c>
      <x:c r="M51" t="str">
        <x:v>SC</x:v>
      </x:c>
      <x:c r="N51" t="str">
        <x:v>GAFFNEY</x:v>
      </x:c>
      <x:c r="O51" t="str">
        <x:v>NJ</x:v>
      </x:c>
      <x:c r="P51" t="str">
        <x:v>NEW BRUNSWICK</x:v>
      </x:c>
      <x:c r="Q51" t="str">
        <x:v>已匹配</x:v>
      </x:c>
      <x:c r="R51" t="n">
        <x:v>149</x:v>
      </x:c>
    </x:row>
    <x:row r="52" ht="18">
      <x:c r="A52" s="12" t="s">
        <x:v>172</x:v>
      </x:c>
      <x:c r="B52" s="3">
        <x:v>19.95</x:v>
      </x:c>
      <x:c r="C52" s="5">
        <x:v>27.456</x:v>
      </x:c>
      <x:c r="D52" s="5">
        <x:f t="shared" si="0"/>
        <x:v>7.5060000000000002</x:v>
      </x:c>
      <x:c r="E52" t="s">
        <x:v>173</x:v>
      </x:c>
      <x:c r="F52" t="s">
        <x:v>10</x:v>
      </x:c>
      <x:c r="G52" t="s">
        <x:v>174</x:v>
      </x:c>
      <x:c r="H52" t="s">
        <x:v>175</x:v>
      </x:c>
      <x:c r="I52" s="17" t="n">
        <x:v>19</x:v>
      </x:c>
      <x:c r="J52" s="17" t="n">
        <x:v>18</x:v>
      </x:c>
      <x:c r="K52" s="17" t="n">
        <x:v>13</x:v>
      </x:c>
      <x:c r="L52" t="str">
        <x:v>I</x:v>
      </x:c>
      <x:c r="M52" t="str">
        <x:v>MN</x:v>
      </x:c>
      <x:c r="N52" t="str">
        <x:v>CLOQUET</x:v>
      </x:c>
      <x:c r="O52" t="str">
        <x:v>NJ</x:v>
      </x:c>
      <x:c r="P52" t="str">
        <x:v>NEW BRUNSWICK</x:v>
      </x:c>
      <x:c r="Q52" t="str">
        <x:v>已匹配</x:v>
      </x:c>
      <x:c r="R52" t="n">
        <x:v>364</x:v>
      </x:c>
    </x:row>
    <x:row r="53" ht="18">
      <x:c r="A53" s="12" t="s">
        <x:v>176</x:v>
      </x:c>
      <x:c r="B53" s="3">
        <x:v>33.520000000000003</x:v>
      </x:c>
      <x:c r="C53" s="5">
        <x:v>36.585999999999999</x:v>
      </x:c>
      <x:c r="D53" s="5">
        <x:f t="shared" si="0"/>
        <x:v>3.0659999999999954</x:v>
      </x:c>
      <x:c r="E53" t="s">
        <x:v>14</x:v>
      </x:c>
      <x:c r="F53" t="s">
        <x:v>10</x:v>
      </x:c>
      <x:c r="G53" t="s">
        <x:v>177</x:v>
      </x:c>
      <x:c r="H53" t="s">
        <x:v>178</x:v>
      </x:c>
      <x:c r="I53" s="17" t="n">
        <x:v>41</x:v>
      </x:c>
      <x:c r="J53" s="17" t="n">
        <x:v>38</x:v>
      </x:c>
      <x:c r="K53" s="17" t="n">
        <x:v>30</x:v>
      </x:c>
      <x:c r="L53" t="str">
        <x:v>C</x:v>
      </x:c>
      <x:c r="M53" t="str">
        <x:v>TX</x:v>
      </x:c>
      <x:c r="N53" t="str">
        <x:v>SPRING</x:v>
      </x:c>
      <x:c r="O53" t="str">
        <x:v>NJ</x:v>
      </x:c>
      <x:c r="P53" t="str">
        <x:v>NEW BRUNSWICK</x:v>
      </x:c>
      <x:c r="Q53" t="str">
        <x:v>已匹配</x:v>
      </x:c>
      <x:c r="R53" t="n">
        <x:v>122</x:v>
      </x:c>
    </x:row>
    <x:row r="54" ht="18">
      <x:c r="A54" s="12" t="s">
        <x:v>179</x:v>
      </x:c>
      <x:c r="B54" s="3">
        <x:v>58.76</x:v>
      </x:c>
      <x:c r="C54" s="5">
        <x:v>61.798000000000002</x:v>
      </x:c>
      <x:c r="D54" s="5">
        <x:f t="shared" si="0"/>
        <x:v>3.0380000000000038</x:v>
      </x:c>
      <x:c r="E54" t="s">
        <x:v>180</x:v>
      </x:c>
      <x:c r="F54" t="s">
        <x:v>10</x:v>
      </x:c>
      <x:c r="G54" t="s">
        <x:v>181</x:v>
      </x:c>
      <x:c r="H54" t="s">
        <x:v>182</x:v>
      </x:c>
      <x:c r="I54" s="17" t="n">
        <x:v>20</x:v>
      </x:c>
      <x:c r="J54" s="17" t="n">
        <x:v>19</x:v>
      </x:c>
      <x:c r="K54" s="17" t="n">
        <x:v>19</x:v>
      </x:c>
      <x:c r="L54" t="str">
        <x:v>I</x:v>
      </x:c>
      <x:c r="M54" t="str">
        <x:v>MD</x:v>
      </x:c>
      <x:c r="N54" t="str">
        <x:v>COLUMBIA</x:v>
      </x:c>
      <x:c r="O54" t="str">
        <x:v>NJ</x:v>
      </x:c>
      <x:c r="P54" t="str">
        <x:v>NEW BRUNSWICK</x:v>
      </x:c>
      <x:c r="Q54" t="str">
        <x:v>已匹配</x:v>
      </x:c>
      <x:c r="R54" t="n">
        <x:v>376</x:v>
      </x:c>
    </x:row>
    <x:row r="55" ht="18">
      <x:c r="A55" s="12" t="s">
        <x:v>183</x:v>
      </x:c>
      <x:c r="B55" s="3">
        <x:v>43.04</x:v>
      </x:c>
      <x:c r="C55" s="5">
        <x:v>50.435000000000002</x:v>
      </x:c>
      <x:c r="D55" s="5">
        <x:f t="shared" si="0"/>
        <x:v>7.3950000000000031</x:v>
      </x:c>
      <x:c r="F55" t="s">
        <x:v>91</x:v>
      </x:c>
      <x:c r="I55" s="17" t="n">
        <x:v>24</x:v>
      </x:c>
      <x:c r="J55" s="17" t="n">
        <x:v>14</x:v>
      </x:c>
      <x:c r="K55" s="17" t="n">
        <x:v>14</x:v>
      </x:c>
      <x:c r="L55" t="str">
        <x:v>I</x:v>
      </x:c>
      <x:c r="M55" t="str">
        <x:v>FL</x:v>
      </x:c>
      <x:c r="N55" t="str">
        <x:v>DELAND</x:v>
      </x:c>
      <x:c r="O55" t="str">
        <x:v>NJ</x:v>
      </x:c>
      <x:c r="P55" t="str">
        <x:v>NEW BRUNSWICK</x:v>
      </x:c>
      <x:c r="Q55" t="str">
        <x:v>已匹配</x:v>
      </x:c>
      <x:c r="R55" t="n">
        <x:v>148</x:v>
      </x:c>
    </x:row>
    <x:row r="56" ht="18">
      <x:c r="A56" s="12" t="s">
        <x:v>184</x:v>
      </x:c>
      <x:c r="B56" s="3">
        <x:v>44.6</x:v>
      </x:c>
      <x:c r="C56" s="5">
        <x:v>84.347999999999999</x:v>
      </x:c>
      <x:c r="D56" s="5">
        <x:f t="shared" si="0"/>
        <x:v>39.747999999999998</x:v>
      </x:c>
      <x:c r="E56" t="s">
        <x:v>147</x:v>
      </x:c>
      <x:c r="F56" t="s">
        <x:v>10</x:v>
      </x:c>
      <x:c r="G56" t="s">
        <x:v>185</x:v>
      </x:c>
      <x:c r="H56" t="s">
        <x:v>186</x:v>
      </x:c>
      <x:c r="I56" s="17" t="n">
        <x:v>23</x:v>
      </x:c>
      <x:c r="J56" s="17" t="n">
        <x:v>19</x:v>
      </x:c>
      <x:c r="K56" s="17" t="n">
        <x:v>18</x:v>
      </x:c>
      <x:c r="L56" t="str">
        <x:v>I</x:v>
      </x:c>
      <x:c r="M56" t="str">
        <x:v>FL</x:v>
      </x:c>
      <x:c r="N56" t="str">
        <x:v>DEBARY</x:v>
      </x:c>
      <x:c r="O56" t="str">
        <x:v>NJ</x:v>
      </x:c>
      <x:c r="P56" t="str">
        <x:v>NEW BRUNSWICK</x:v>
      </x:c>
      <x:c r="Q56" t="str">
        <x:v>已匹配</x:v>
      </x:c>
      <x:c r="R56" t="n">
        <x:v>147</x:v>
      </x:c>
    </x:row>
    <x:row r="57" ht="18">
      <x:c r="A57" s="12" t="s">
        <x:v>187</x:v>
      </x:c>
      <x:c r="B57" s="3">
        <x:v>85.85</x:v>
      </x:c>
      <x:c r="C57" s="5">
        <x:v>89.045000000000002</x:v>
      </x:c>
      <x:c r="D57" s="5">
        <x:f t="shared" si="0"/>
        <x:v>3.1950000000000074</x:v>
      </x:c>
      <x:c r="E57" t="s">
        <x:v>35</x:v>
      </x:c>
      <x:c r="F57" t="s">
        <x:v>10</x:v>
      </x:c>
      <x:c r="G57" t="s">
        <x:v>188</x:v>
      </x:c>
      <x:c r="H57" t="s">
        <x:v>189</x:v>
      </x:c>
      <x:c r="I57" s="17" t="n">
        <x:v>20</x:v>
      </x:c>
      <x:c r="J57" s="17" t="n">
        <x:v>19</x:v>
      </x:c>
      <x:c r="K57" s="17" t="n">
        <x:v>17</x:v>
      </x:c>
      <x:c r="L57" t="str">
        <x:v>I</x:v>
      </x:c>
      <x:c r="M57" t="str">
        <x:v>GA</x:v>
      </x:c>
      <x:c r="N57" t="str">
        <x:v>BRUNSWICK</x:v>
      </x:c>
      <x:c r="O57" t="str">
        <x:v>NJ</x:v>
      </x:c>
      <x:c r="P57" t="str">
        <x:v>NEW BRUNSWICK</x:v>
      </x:c>
      <x:c r="Q57" t="str">
        <x:v>已匹配</x:v>
      </x:c>
      <x:c r="R57" t="n">
        <x:v>107</x:v>
      </x:c>
    </x:row>
    <x:row r="58" ht="18">
      <x:c r="A58" s="12" t="s">
        <x:v>190</x:v>
      </x:c>
      <x:c r="B58" s="3">
        <x:v>20.78</x:v>
      </x:c>
      <x:c r="C58" s="5">
        <x:v>24.134</x:v>
      </x:c>
      <x:c r="D58" s="5">
        <x:f t="shared" si="0"/>
        <x:v>3.3539999999999992</x:v>
      </x:c>
      <x:c r="E58" t="s">
        <x:v>14</x:v>
      </x:c>
      <x:c r="F58" t="s">
        <x:v>10</x:v>
      </x:c>
      <x:c r="G58" t="s">
        <x:v>191</x:v>
      </x:c>
      <x:c r="H58" t="s">
        <x:v>192</x:v>
      </x:c>
      <x:c r="I58" s="17" t="n">
        <x:v>16</x:v>
      </x:c>
      <x:c r="J58" s="17" t="n">
        <x:v>15</x:v>
      </x:c>
      <x:c r="K58" s="17" t="n">
        <x:v>12</x:v>
      </x:c>
      <x:c r="L58" t="str">
        <x:v>I</x:v>
      </x:c>
      <x:c r="M58" t="str">
        <x:v>NC</x:v>
      </x:c>
      <x:c r="N58" t="str">
        <x:v>WENDELL</x:v>
      </x:c>
      <x:c r="O58" t="str">
        <x:v>NJ</x:v>
      </x:c>
      <x:c r="P58" t="str">
        <x:v>NEW BRUNSWICK</x:v>
      </x:c>
      <x:c r="Q58" t="str">
        <x:v>已匹配</x:v>
      </x:c>
      <x:c r="R58" t="n">
        <x:v>214</x:v>
      </x:c>
    </x:row>
    <x:row r="59" ht="18">
      <x:c r="A59" s="12" t="s">
        <x:v>193</x:v>
      </x:c>
      <x:c r="B59" s="3">
        <x:v>32.47</x:v>
      </x:c>
      <x:c r="C59" s="5">
        <x:v>36.585999999999999</x:v>
      </x:c>
      <x:c r="D59" s="5">
        <x:f t="shared" si="0"/>
        <x:v>4.1159999999999997</x:v>
      </x:c>
      <x:c r="E59" t="s">
        <x:v>25</x:v>
      </x:c>
      <x:c r="F59" t="s">
        <x:v>10</x:v>
      </x:c>
      <x:c r="G59" t="s">
        <x:v>194</x:v>
      </x:c>
      <x:c r="H59" t="s">
        <x:v>195</x:v>
      </x:c>
      <x:c r="I59" s="17" t="n">
        <x:v>17</x:v>
      </x:c>
      <x:c r="J59" s="17" t="n">
        <x:v>13</x:v>
      </x:c>
      <x:c r="K59" s="17" t="n">
        <x:v>11</x:v>
      </x:c>
      <x:c r="L59" t="str">
        <x:v>I</x:v>
      </x:c>
      <x:c r="M59" t="str">
        <x:v>AR</x:v>
      </x:c>
      <x:c r="N59" t="str">
        <x:v>PRAIRIE GROVE</x:v>
      </x:c>
      <x:c r="O59" t="str">
        <x:v>NJ</x:v>
      </x:c>
      <x:c r="P59" t="str">
        <x:v>NEW BRUNSWICK</x:v>
      </x:c>
      <x:c r="Q59" t="str">
        <x:v>已匹配</x:v>
      </x:c>
      <x:c r="R59" t="n">
        <x:v>145</x:v>
      </x:c>
    </x:row>
    <x:row r="60" ht="18">
      <x:c r="A60" s="12" t="s">
        <x:v>196</x:v>
      </x:c>
      <x:c r="B60" s="3">
        <x:v>32.47</x:v>
      </x:c>
      <x:c r="C60" s="5">
        <x:v>36.585999999999999</x:v>
      </x:c>
      <x:c r="D60" s="5">
        <x:f t="shared" si="0"/>
        <x:v>4.1159999999999997</x:v>
      </x:c>
      <x:c r="E60" t="s">
        <x:v>25</x:v>
      </x:c>
      <x:c r="F60" t="s">
        <x:v>10</x:v>
      </x:c>
      <x:c r="G60" t="s">
        <x:v>197</x:v>
      </x:c>
      <x:c r="H60" t="s">
        <x:v>198</x:v>
      </x:c>
      <x:c r="I60" s="17" t="n">
        <x:v>15</x:v>
      </x:c>
      <x:c r="J60" s="17" t="n">
        <x:v>15</x:v>
      </x:c>
      <x:c r="K60" s="17" t="n">
        <x:v>15</x:v>
      </x:c>
      <x:c r="L60" t="str">
        <x:v>I</x:v>
      </x:c>
      <x:c r="M60" t="str">
        <x:v>TX</x:v>
      </x:c>
      <x:c r="N60" t="str">
        <x:v>WACO</x:v>
      </x:c>
      <x:c r="O60" t="str">
        <x:v>NJ</x:v>
      </x:c>
      <x:c r="P60" t="str">
        <x:v>NEW BRUNSWICK</x:v>
      </x:c>
      <x:c r="Q60" t="str">
        <x:v>已匹配</x:v>
      </x:c>
      <x:c r="R60" t="n">
        <x:v>119</x:v>
      </x:c>
    </x:row>
    <x:row r="61" ht="18">
      <x:c r="A61" s="12" t="s">
        <x:v>199</x:v>
      </x:c>
      <x:c r="B61" s="3">
        <x:v>20.86</x:v>
      </x:c>
      <x:c r="C61" s="5">
        <x:v>37.18</x:v>
      </x:c>
      <x:c r="D61" s="5">
        <x:f t="shared" si="0"/>
        <x:v>16.32</x:v>
      </x:c>
      <x:c r="E61" t="s">
        <x:v>200</x:v>
      </x:c>
      <x:c r="F61" t="s">
        <x:v>10</x:v>
      </x:c>
      <x:c r="G61" t="s">
        <x:v>201</x:v>
      </x:c>
      <x:c r="H61" t="s">
        <x:v>202</x:v>
      </x:c>
      <x:c r="I61" s="17" t="n">
        <x:v>27</x:v>
      </x:c>
      <x:c r="J61" s="17" t="n">
        <x:v>20</x:v>
      </x:c>
      <x:c r="K61" s="17" t="n">
        <x:v>16</x:v>
      </x:c>
      <x:c r="L61" t="str">
        <x:v>I</x:v>
      </x:c>
      <x:c r="M61" t="str">
        <x:v>PA</x:v>
      </x:c>
      <x:c r="N61" t="str">
        <x:v>ALIQUIPPA</x:v>
      </x:c>
      <x:c r="O61" t="str">
        <x:v>NJ</x:v>
      </x:c>
      <x:c r="P61" t="str">
        <x:v>NEW BRUNSWICK</x:v>
      </x:c>
      <x:c r="Q61" t="str">
        <x:v>已匹配</x:v>
      </x:c>
      <x:c r="R61" t="n">
        <x:v>143</x:v>
      </x:c>
    </x:row>
    <x:row r="62" ht="18">
      <x:c r="A62" s="12" t="s">
        <x:v>203</x:v>
      </x:c>
      <x:c r="B62" s="3">
        <x:v>103.58</x:v>
      </x:c>
      <x:c r="C62" s="5">
        <x:v>113.696</x:v>
      </x:c>
      <x:c r="D62" s="5">
        <x:f t="shared" si="0"/>
        <x:v>10.116</x:v>
      </x:c>
      <x:c r="E62" t="s">
        <x:v>87</x:v>
      </x:c>
      <x:c r="F62" t="s">
        <x:v>10</x:v>
      </x:c>
      <x:c r="G62" t="s">
        <x:v>204</x:v>
      </x:c>
      <x:c r="H62" t="s">
        <x:v>205</x:v>
      </x:c>
      <x:c r="I62" s="17" t="n">
        <x:v>26</x:v>
      </x:c>
      <x:c r="J62" s="17" t="n">
        <x:v>21</x:v>
      </x:c>
      <x:c r="K62" s="17" t="n">
        <x:v>16</x:v>
      </x:c>
      <x:c r="L62" t="str">
        <x:v>I</x:v>
      </x:c>
      <x:c r="M62" t="str">
        <x:v>MO</x:v>
      </x:c>
      <x:c r="N62" t="str">
        <x:v>SAINT LOUIS</x:v>
      </x:c>
      <x:c r="O62" t="str">
        <x:v>NJ</x:v>
      </x:c>
      <x:c r="P62" t="str">
        <x:v>NEW BRUNSWICK</x:v>
      </x:c>
      <x:c r="Q62" t="str">
        <x:v>已匹配</x:v>
      </x:c>
      <x:c r="R62" t="n">
        <x:v>181</x:v>
      </x:c>
    </x:row>
    <x:row r="63" ht="18">
      <x:c r="A63" s="12" t="s">
        <x:v>206</x:v>
      </x:c>
      <x:c r="B63" s="3">
        <x:v>29.14</x:v>
      </x:c>
      <x:c r="C63" s="5">
        <x:v>31.68</x:v>
      </x:c>
      <x:c r="D63" s="5">
        <x:f t="shared" si="0"/>
        <x:v>2.5399999999999991</x:v>
      </x:c>
      <x:c r="E63" t="s">
        <x:v>62</x:v>
      </x:c>
      <x:c r="F63" t="s">
        <x:v>10</x:v>
      </x:c>
      <x:c r="G63" t="s">
        <x:v>207</x:v>
      </x:c>
      <x:c r="H63" t="s">
        <x:v>208</x:v>
      </x:c>
      <x:c r="I63" s="17" t="n">
        <x:v>24</x:v>
      </x:c>
      <x:c r="J63" s="17" t="n">
        <x:v>21</x:v>
      </x:c>
      <x:c r="K63" s="17" t="n">
        <x:v>10</x:v>
      </x:c>
      <x:c r="L63" t="str">
        <x:v>I</x:v>
      </x:c>
      <x:c r="M63" t="str">
        <x:v>NC</x:v>
      </x:c>
      <x:c r="N63" t="str">
        <x:v>WILMINGTON</x:v>
      </x:c>
      <x:c r="O63" t="str">
        <x:v>NJ</x:v>
      </x:c>
      <x:c r="P63" t="str">
        <x:v>NEW BRUNSWICK</x:v>
      </x:c>
      <x:c r="Q63" t="str">
        <x:v>已匹配</x:v>
      </x:c>
      <x:c r="R63" t="n">
        <x:v>87</x:v>
      </x:c>
    </x:row>
    <x:row r="64" ht="18">
      <x:c r="A64" s="12" t="s">
        <x:v>209</x:v>
      </x:c>
      <x:c r="B64" s="3">
        <x:v>41.36</x:v>
      </x:c>
      <x:c r="C64" s="5">
        <x:v>88.869</x:v>
      </x:c>
      <x:c r="D64" s="5">
        <x:f t="shared" si="0"/>
        <x:v>47.509</x:v>
      </x:c>
      <x:c r="E64" t="s">
        <x:v>108</x:v>
      </x:c>
      <x:c r="F64" t="s">
        <x:v>10</x:v>
      </x:c>
      <x:c r="G64" t="s">
        <x:v>210</x:v>
      </x:c>
      <x:c r="H64" t="s">
        <x:v>211</x:v>
      </x:c>
      <x:c r="I64" s="17" t="n">
        <x:v>19</x:v>
      </x:c>
      <x:c r="J64" s="17" t="n">
        <x:v>19</x:v>
      </x:c>
      <x:c r="K64" s="17" t="n">
        <x:v>15</x:v>
      </x:c>
      <x:c r="L64" t="str">
        <x:v>I</x:v>
      </x:c>
      <x:c r="M64" t="str">
        <x:v>GA</x:v>
      </x:c>
      <x:c r="N64" t="str">
        <x:v>HOSCHTON</x:v>
      </x:c>
      <x:c r="O64" t="str">
        <x:v>NJ</x:v>
      </x:c>
      <x:c r="P64" t="str">
        <x:v>NEW BRUNSWICK</x:v>
      </x:c>
      <x:c r="Q64" t="str">
        <x:v>已匹配</x:v>
      </x:c>
      <x:c r="R64" t="n">
        <x:v>213</x:v>
      </x:c>
    </x:row>
    <x:row r="65" ht="18">
      <x:c r="A65" s="12" t="s">
        <x:v>212</x:v>
      </x:c>
      <x:c r="B65" s="3">
        <x:v>32.47</x:v>
      </x:c>
      <x:c r="C65" s="5">
        <x:v>37.774000000000001</x:v>
      </x:c>
      <x:c r="D65" s="5">
        <x:f t="shared" si="0"/>
        <x:v>5.304000000000002</x:v>
      </x:c>
      <x:c r="E65" t="s">
        <x:v>25</x:v>
      </x:c>
      <x:c r="F65" t="s">
        <x:v>10</x:v>
      </x:c>
      <x:c r="G65" t="s">
        <x:v>213</x:v>
      </x:c>
      <x:c r="H65" t="s">
        <x:v>214</x:v>
      </x:c>
      <x:c r="I65" s="17" t="n">
        <x:v>16</x:v>
      </x:c>
      <x:c r="J65" s="17" t="n">
        <x:v>16</x:v>
      </x:c>
      <x:c r="K65" s="17" t="n">
        <x:v>12</x:v>
      </x:c>
      <x:c r="L65" t="str">
        <x:v>I</x:v>
      </x:c>
      <x:c r="M65" t="str">
        <x:v>MS</x:v>
      </x:c>
      <x:c r="N65" t="str">
        <x:v>LAUREL</x:v>
      </x:c>
      <x:c r="O65" t="str">
        <x:v>NJ</x:v>
      </x:c>
      <x:c r="P65" t="str">
        <x:v>NEW BRUNSWICK</x:v>
      </x:c>
      <x:c r="Q65" t="str">
        <x:v>已匹配</x:v>
      </x:c>
      <x:c r="R65" t="n">
        <x:v>86</x:v>
      </x:c>
    </x:row>
    <x:row r="66" ht="18">
      <x:c r="A66" s="12" t="s">
        <x:v>215</x:v>
      </x:c>
      <x:c r="B66" s="3">
        <x:v>29.14</x:v>
      </x:c>
      <x:c r="C66" s="5">
        <x:v>32.482999999999997</x:v>
      </x:c>
      <x:c r="D66" s="5" t="n">
        <x:f t="shared" ref="D66:D129" si="1">C66-B66</x:f>
        <x:v>3.3429999999999964</x:v>
      </x:c>
      <x:c r="E66" t="s">
        <x:v>21</x:v>
      </x:c>
      <x:c r="F66" t="s">
        <x:v>10</x:v>
      </x:c>
      <x:c r="G66" t="s">
        <x:v>216</x:v>
      </x:c>
      <x:c r="H66" t="s">
        <x:v>217</x:v>
      </x:c>
      <x:c r="I66" s="17" t="n">
        <x:v>24</x:v>
      </x:c>
      <x:c r="J66" s="17" t="n">
        <x:v>16</x:v>
      </x:c>
      <x:c r="K66" s="17" t="n">
        <x:v>16</x:v>
      </x:c>
      <x:c r="L66" t="str">
        <x:v>I</x:v>
      </x:c>
      <x:c r="M66" t="str">
        <x:v>OH</x:v>
      </x:c>
      <x:c r="N66" t="str">
        <x:v>LANCASTER</x:v>
      </x:c>
      <x:c r="O66" t="str">
        <x:v>NJ</x:v>
      </x:c>
      <x:c r="P66" t="str">
        <x:v>NEW BRUNSWICK</x:v>
      </x:c>
      <x:c r="Q66" t="str">
        <x:v>已匹配</x:v>
      </x:c>
      <x:c r="R66" t="n">
        <x:v>141</x:v>
      </x:c>
    </x:row>
    <x:row r="67" ht="18">
      <x:c r="A67" s="12" t="s">
        <x:v>218</x:v>
      </x:c>
      <x:c r="B67" s="3">
        <x:v>36.729999999999997</x:v>
      </x:c>
      <x:c r="C67" s="5">
        <x:v>38.994999999999997</x:v>
      </x:c>
      <x:c r="D67" s="5">
        <x:f t="shared" si="1"/>
        <x:v>2.2650000000000006</x:v>
      </x:c>
      <x:c r="E67" t="s">
        <x:v>21</x:v>
      </x:c>
      <x:c r="F67" t="s">
        <x:v>10</x:v>
      </x:c>
      <x:c r="G67" t="s">
        <x:v>219</x:v>
      </x:c>
      <x:c r="H67" t="s">
        <x:v>220</x:v>
      </x:c>
      <x:c r="I67" s="17" t="n">
        <x:v>22</x:v>
      </x:c>
      <x:c r="J67" s="17" t="n">
        <x:v>17</x:v>
      </x:c>
      <x:c r="K67" s="17" t="n">
        <x:v>15</x:v>
      </x:c>
      <x:c r="L67" t="str">
        <x:v>I</x:v>
      </x:c>
      <x:c r="M67" t="str">
        <x:v>TN</x:v>
      </x:c>
      <x:c r="N67" t="str">
        <x:v>MEMPHIS</x:v>
      </x:c>
      <x:c r="O67" t="str">
        <x:v>NJ</x:v>
      </x:c>
      <x:c r="P67" t="str">
        <x:v>NEW BRUNSWICK</x:v>
      </x:c>
      <x:c r="Q67" t="str">
        <x:v>已匹配</x:v>
      </x:c>
      <x:c r="R67" t="n">
        <x:v>212</x:v>
      </x:c>
    </x:row>
    <x:row r="68" ht="18">
      <x:c r="A68" s="12" t="s">
        <x:v>221</x:v>
      </x:c>
      <x:c r="B68" s="3">
        <x:v>26.41</x:v>
      </x:c>
      <x:c r="C68" s="5">
        <x:v>29.359000000000002</x:v>
      </x:c>
      <x:c r="D68" s="5">
        <x:f t="shared" si="1"/>
        <x:v>2.9490000000000016</x:v>
      </x:c>
      <x:c r="E68" t="s">
        <x:v>25</x:v>
      </x:c>
      <x:c r="F68" t="s">
        <x:v>10</x:v>
      </x:c>
      <x:c r="G68" t="s">
        <x:v>222</x:v>
      </x:c>
      <x:c r="H68" t="s">
        <x:v>223</x:v>
      </x:c>
      <x:c r="I68" s="17"/>
      <x:c r="J68" s="17"/>
      <x:c r="K68" s="17"/>
      <x:c r="L68"/>
      <x:c r="M68"/>
      <x:c r="N68"/>
      <x:c r="O68"/>
      <x:c r="P68"/>
      <x:c r="Q68" t="str">
        <x:v>未匹配</x:v>
      </x:c>
      <x:c r="R68"/>
    </x:row>
    <x:row r="69" ht="18">
      <x:c r="A69" s="12" t="s">
        <x:v>224</x:v>
      </x:c>
      <x:c r="B69" s="3">
        <x:v>35.08</x:v>
      </x:c>
      <x:c r="C69" s="5">
        <x:v>37.564999999999998</x:v>
      </x:c>
      <x:c r="D69" s="5">
        <x:f t="shared" si="1"/>
        <x:v>2.4849999999999994</x:v>
      </x:c>
      <x:c r="E69" t="s">
        <x:v>21</x:v>
      </x:c>
      <x:c r="F69" t="s">
        <x:v>10</x:v>
      </x:c>
      <x:c r="G69" t="s">
        <x:v>225</x:v>
      </x:c>
      <x:c r="H69" t="s">
        <x:v>226</x:v>
      </x:c>
      <x:c r="I69" s="17" t="n">
        <x:v>18</x:v>
      </x:c>
      <x:c r="J69" s="17" t="n">
        <x:v>16</x:v>
      </x:c>
      <x:c r="K69" s="17" t="n">
        <x:v>11</x:v>
      </x:c>
      <x:c r="L69" t="str">
        <x:v>I</x:v>
      </x:c>
      <x:c r="M69" t="str">
        <x:v>AL</x:v>
      </x:c>
      <x:c r="N69" t="str">
        <x:v>AUBURN</x:v>
      </x:c>
      <x:c r="O69" t="str">
        <x:v>NJ</x:v>
      </x:c>
      <x:c r="P69" t="str">
        <x:v>NEW BRUNSWICK</x:v>
      </x:c>
      <x:c r="Q69" t="str">
        <x:v>已匹配</x:v>
      </x:c>
      <x:c r="R69" t="n">
        <x:v>312</x:v>
      </x:c>
    </x:row>
    <x:row r="70" ht="18">
      <x:c r="A70" s="12" t="s">
        <x:v>227</x:v>
      </x:c>
      <x:c r="B70" s="3">
        <x:v>46.71</x:v>
      </x:c>
      <x:c r="C70" s="5">
        <x:v>64.174000000000007</x:v>
      </x:c>
      <x:c r="D70" s="5">
        <x:f t="shared" si="1"/>
        <x:v>17.464000000000006</x:v>
      </x:c>
      <x:c r="E70" t="s">
        <x:v>21</x:v>
      </x:c>
      <x:c r="F70" t="s">
        <x:v>10</x:v>
      </x:c>
      <x:c r="G70" t="s">
        <x:v>228</x:v>
      </x:c>
      <x:c r="H70" t="s">
        <x:v>229</x:v>
      </x:c>
      <x:c r="I70" s="17" t="n">
        <x:v>46</x:v>
      </x:c>
      <x:c r="J70" s="17" t="n">
        <x:v>45</x:v>
      </x:c>
      <x:c r="K70" s="17" t="n">
        <x:v>34</x:v>
      </x:c>
      <x:c r="L70" t="str">
        <x:v>C</x:v>
      </x:c>
      <x:c r="M70" t="str">
        <x:v>WA</x:v>
      </x:c>
      <x:c r="N70" t="str">
        <x:v>KELSO</x:v>
      </x:c>
      <x:c r="O70" t="str">
        <x:v>NJ</x:v>
      </x:c>
      <x:c r="P70" t="str">
        <x:v>NEW BRUNSWICK</x:v>
      </x:c>
      <x:c r="Q70" t="str">
        <x:v>已匹配</x:v>
      </x:c>
      <x:c r="R70" t="n">
        <x:v>193</x:v>
      </x:c>
    </x:row>
    <x:row r="71" ht="18">
      <x:c r="A71" s="12" t="s">
        <x:v>230</x:v>
      </x:c>
      <x:c r="B71" s="3">
        <x:v>32.47</x:v>
      </x:c>
      <x:c r="C71" s="5">
        <x:v>36.728999999999999</x:v>
      </x:c>
      <x:c r="D71" s="5">
        <x:f t="shared" si="1"/>
        <x:v>4.2590000000000003</x:v>
      </x:c>
      <x:c r="E71" t="s">
        <x:v>43</x:v>
      </x:c>
      <x:c r="F71" t="s">
        <x:v>10</x:v>
      </x:c>
      <x:c r="G71" t="s">
        <x:v>231</x:v>
      </x:c>
      <x:c r="H71" t="s">
        <x:v>232</x:v>
      </x:c>
      <x:c r="I71" s="17" t="n">
        <x:v>17</x:v>
      </x:c>
      <x:c r="J71" s="17" t="n">
        <x:v>13</x:v>
      </x:c>
      <x:c r="K71" s="17" t="n">
        <x:v>12</x:v>
      </x:c>
      <x:c r="L71" t="str">
        <x:v>I</x:v>
      </x:c>
      <x:c r="M71" t="str">
        <x:v>LA</x:v>
      </x:c>
      <x:c r="N71" t="str">
        <x:v>NEW ORLEANS</x:v>
      </x:c>
      <x:c r="O71" t="str">
        <x:v>NJ</x:v>
      </x:c>
      <x:c r="P71" t="str">
        <x:v>NEW BRUNSWICK</x:v>
      </x:c>
      <x:c r="Q71" t="str">
        <x:v>已匹配</x:v>
      </x:c>
      <x:c r="R71" t="n">
        <x:v>83</x:v>
      </x:c>
    </x:row>
    <x:row r="72" ht="18">
      <x:c r="A72" s="12" t="s">
        <x:v>233</x:v>
      </x:c>
      <x:c r="B72" s="3">
        <x:v>53.79</x:v>
      </x:c>
      <x:c r="C72" s="5">
        <x:v>63.613</x:v>
      </x:c>
      <x:c r="D72" s="5">
        <x:f t="shared" si="1"/>
        <x:v>9.8230000000000004</x:v>
      </x:c>
      <x:c r="E72" t="s">
        <x:v>21</x:v>
      </x:c>
      <x:c r="F72" t="s">
        <x:v>10</x:v>
      </x:c>
      <x:c r="G72" t="s">
        <x:v>234</x:v>
      </x:c>
      <x:c r="H72" t="s">
        <x:v>235</x:v>
      </x:c>
      <x:c r="I72" s="17" t="n">
        <x:v>23</x:v>
      </x:c>
      <x:c r="J72" s="17" t="n">
        <x:v>16</x:v>
      </x:c>
      <x:c r="K72" s="17" t="n">
        <x:v>14</x:v>
      </x:c>
      <x:c r="L72" t="str">
        <x:v>I</x:v>
      </x:c>
      <x:c r="M72" t="str">
        <x:v>TX</x:v>
      </x:c>
      <x:c r="N72" t="str">
        <x:v>HAWLEY</x:v>
      </x:c>
      <x:c r="O72" t="str">
        <x:v>NJ</x:v>
      </x:c>
      <x:c r="P72" t="str">
        <x:v>NEW BRUNSWICK</x:v>
      </x:c>
      <x:c r="Q72" t="str">
        <x:v>已匹配</x:v>
      </x:c>
      <x:c r="R72" t="n">
        <x:v>115</x:v>
      </x:c>
    </x:row>
    <x:row r="73" ht="18">
      <x:c r="A73" s="12" t="s">
        <x:v>236</x:v>
      </x:c>
      <x:c r="B73" s="3">
        <x:v>18.28</x:v>
      </x:c>
      <x:c r="C73" s="5">
        <x:v>23.550999999999998</x:v>
      </x:c>
      <x:c r="D73" s="5">
        <x:f t="shared" si="1"/>
        <x:v>5.2709999999999972</x:v>
      </x:c>
      <x:c r="E73" t="s">
        <x:v>25</x:v>
      </x:c>
      <x:c r="F73" t="s">
        <x:v>10</x:v>
      </x:c>
      <x:c r="G73" t="s">
        <x:v>237</x:v>
      </x:c>
      <x:c r="H73" t="s">
        <x:v>238</x:v>
      </x:c>
      <x:c r="I73" s="17" t="n">
        <x:v>16</x:v>
      </x:c>
      <x:c r="J73" s="17" t="n">
        <x:v>16</x:v>
      </x:c>
      <x:c r="K73" s="17" t="n">
        <x:v>12</x:v>
      </x:c>
      <x:c r="L73" t="str">
        <x:v>I</x:v>
      </x:c>
      <x:c r="M73" t="str">
        <x:v>PA</x:v>
      </x:c>
      <x:c r="N73" t="str">
        <x:v>CHAMBERSBURG</x:v>
      </x:c>
      <x:c r="O73" t="str">
        <x:v>NJ</x:v>
      </x:c>
      <x:c r="P73" t="str">
        <x:v>NEW BRUNSWICK</x:v>
      </x:c>
      <x:c r="Q73" t="str">
        <x:v>已匹配</x:v>
      </x:c>
      <x:c r="R73" t="n">
        <x:v>66</x:v>
      </x:c>
    </x:row>
    <x:row r="74" ht="18">
      <x:c r="A74" s="12" t="s">
        <x:v>239</x:v>
      </x:c>
      <x:c r="B74" s="3">
        <x:v>98.83</x:v>
      </x:c>
      <x:c r="C74" s="5">
        <x:v>105.27</x:v>
      </x:c>
      <x:c r="D74" s="5">
        <x:f t="shared" si="1"/>
        <x:v>6.4399999999999977</x:v>
      </x:c>
      <x:c r="E74" t="s">
        <x:v>240</x:v>
      </x:c>
      <x:c r="F74" t="s">
        <x:v>10</x:v>
      </x:c>
      <x:c r="G74" t="s">
        <x:v>241</x:v>
      </x:c>
      <x:c r="H74" t="s">
        <x:v>242</x:v>
      </x:c>
      <x:c r="I74" s="17" t="n">
        <x:v>26</x:v>
      </x:c>
      <x:c r="J74" s="17" t="n">
        <x:v>23</x:v>
      </x:c>
      <x:c r="K74" s="17" t="n">
        <x:v>17</x:v>
      </x:c>
      <x:c r="L74" t="str">
        <x:v>I</x:v>
      </x:c>
      <x:c r="M74" t="str">
        <x:v>AL</x:v>
      </x:c>
      <x:c r="N74" t="str">
        <x:v>ALTOONA</x:v>
      </x:c>
      <x:c r="O74" t="str">
        <x:v>NJ</x:v>
      </x:c>
      <x:c r="P74" t="str">
        <x:v>NEW BRUNSWICK</x:v>
      </x:c>
      <x:c r="Q74" t="str">
        <x:v>已匹配</x:v>
      </x:c>
      <x:c r="R74" t="n">
        <x:v>263</x:v>
      </x:c>
    </x:row>
    <x:row r="75" ht="18">
      <x:c r="A75" s="12" t="s">
        <x:v>243</x:v>
      </x:c>
      <x:c r="B75" s="3">
        <x:v>26.5</x:v>
      </x:c>
      <x:c r="C75" s="5">
        <x:v>28.831</x:v>
      </x:c>
      <x:c r="D75" s="5">
        <x:f t="shared" si="1"/>
        <x:v>2.3309999999999995</x:v>
      </x:c>
      <x:c r="E75" t="s">
        <x:v>21</x:v>
      </x:c>
      <x:c r="F75" t="s">
        <x:v>10</x:v>
      </x:c>
      <x:c r="G75" t="s">
        <x:v>244</x:v>
      </x:c>
      <x:c r="H75" t="s">
        <x:v>245</x:v>
      </x:c>
      <x:c r="I75" s="17" t="n">
        <x:v>19</x:v>
      </x:c>
      <x:c r="J75" s="17" t="n">
        <x:v>17</x:v>
      </x:c>
      <x:c r="K75" s="17" t="n">
        <x:v>13</x:v>
      </x:c>
      <x:c r="L75" t="str">
        <x:v>I</x:v>
      </x:c>
      <x:c r="M75" t="str">
        <x:v>MA</x:v>
      </x:c>
      <x:c r="N75" t="str">
        <x:v>WESTBOROUGH</x:v>
      </x:c>
      <x:c r="O75" t="str">
        <x:v>NJ</x:v>
      </x:c>
      <x:c r="P75" t="str">
        <x:v>NEW BRUNSWICK</x:v>
      </x:c>
      <x:c r="Q75" t="str">
        <x:v>已匹配</x:v>
      </x:c>
      <x:c r="R75" t="n">
        <x:v>97</x:v>
      </x:c>
    </x:row>
    <x:row r="76" ht="18">
      <x:c r="A76" s="12" t="s">
        <x:v>246</x:v>
      </x:c>
      <x:c r="B76" s="3">
        <x:v>63.63</x:v>
      </x:c>
      <x:c r="C76" s="5">
        <x:v>76.872</x:v>
      </x:c>
      <x:c r="D76" s="5">
        <x:f t="shared" si="1"/>
        <x:v>13.241999999999997</x:v>
      </x:c>
      <x:c r="F76" t="s">
        <x:v>91</x:v>
      </x:c>
      <x:c r="I76" s="17" t="n">
        <x:v>64</x:v>
      </x:c>
      <x:c r="J76" s="17" t="n">
        <x:v>56</x:v>
      </x:c>
      <x:c r="K76" s="17" t="n">
        <x:v>46</x:v>
      </x:c>
      <x:c r="L76" t="str">
        <x:v>C</x:v>
      </x:c>
      <x:c r="M76" t="str">
        <x:v>NJ</x:v>
      </x:c>
      <x:c r="N76" t="str">
        <x:v>NEW BRUNSWICK</x:v>
      </x:c>
      <x:c r="O76" t="str">
        <x:v>VA</x:v>
      </x:c>
      <x:c r="P76" t="str">
        <x:v>HARRISONBURG</x:v>
      </x:c>
      <x:c r="Q76" t="str">
        <x:v>已匹配</x:v>
      </x:c>
      <x:c r="R76" t="n">
        <x:v>63</x:v>
      </x:c>
    </x:row>
    <x:row r="77" ht="18">
      <x:c r="A77" s="12" t="s">
        <x:v>247</x:v>
      </x:c>
      <x:c r="B77" s="3">
        <x:v>102.43</x:v>
      </x:c>
      <x:c r="C77" s="5">
        <x:v>113.748</x:v>
      </x:c>
      <x:c r="D77" s="5">
        <x:f t="shared" si="1"/>
        <x:v>11.317999999999998</x:v>
      </x:c>
      <x:c r="F77" t="s">
        <x:v>91</x:v>
      </x:c>
      <x:c r="I77" s="17" t="n">
        <x:v>58</x:v>
      </x:c>
      <x:c r="J77" s="17" t="n">
        <x:v>56</x:v>
      </x:c>
      <x:c r="K77" s="17" t="n">
        <x:v>43</x:v>
      </x:c>
      <x:c r="L77" t="str">
        <x:v>C</x:v>
      </x:c>
      <x:c r="M77" t="str">
        <x:v>NJ</x:v>
      </x:c>
      <x:c r="N77" t="str">
        <x:v>NEW BRUNSWICK</x:v>
      </x:c>
      <x:c r="O77" t="str">
        <x:v>FL</x:v>
      </x:c>
      <x:c r="P77" t="str">
        <x:v>MIRAMAR BEACH</x:v>
      </x:c>
      <x:c r="Q77" t="str">
        <x:v>已匹配</x:v>
      </x:c>
      <x:c r="R77" t="n">
        <x:v>62</x:v>
      </x:c>
    </x:row>
    <x:row r="78" ht="18">
      <x:c r="A78" s="12" t="s">
        <x:v>248</x:v>
      </x:c>
      <x:c r="B78" s="3">
        <x:v>113.73</x:v>
      </x:c>
      <x:c r="C78" s="5">
        <x:v>142.64400000000001</x:v>
      </x:c>
      <x:c r="D78" s="5">
        <x:f t="shared" si="1"/>
        <x:v>28.914000000000001</x:v>
      </x:c>
      <x:c r="F78" t="s">
        <x:v>91</x:v>
      </x:c>
      <x:c r="I78" s="17" t="n">
        <x:v>69</x:v>
      </x:c>
      <x:c r="J78" s="17" t="n">
        <x:v>51</x:v>
      </x:c>
      <x:c r="K78" s="17" t="n">
        <x:v>51</x:v>
      </x:c>
      <x:c r="L78" t="str">
        <x:v>C</x:v>
      </x:c>
      <x:c r="M78" t="str">
        <x:v>NJ</x:v>
      </x:c>
      <x:c r="N78" t="str">
        <x:v>NEW BRUNSWICK</x:v>
      </x:c>
      <x:c r="O78" t="str">
        <x:v>IL</x:v>
      </x:c>
      <x:c r="P78" t="str">
        <x:v>DECATUR</x:v>
      </x:c>
      <x:c r="Q78" t="str">
        <x:v>已匹配</x:v>
      </x:c>
      <x:c r="R78" t="n">
        <x:v>61</x:v>
      </x:c>
    </x:row>
    <x:row r="79" ht="18">
      <x:c r="A79" s="12" t="s">
        <x:v>249</x:v>
      </x:c>
      <x:c r="B79" s="3">
        <x:v>45.3</x:v>
      </x:c>
      <x:c r="C79" s="5">
        <x:v>49.61</x:v>
      </x:c>
      <x:c r="D79" s="5">
        <x:f t="shared" si="1"/>
        <x:v>4.3100000000000023</x:v>
      </x:c>
      <x:c r="E79" t="s">
        <x:v>21</x:v>
      </x:c>
      <x:c r="F79" t="s">
        <x:v>10</x:v>
      </x:c>
      <x:c r="G79" t="s">
        <x:v>250</x:v>
      </x:c>
      <x:c r="H79" t="s">
        <x:v>251</x:v>
      </x:c>
      <x:c r="I79" s="17" t="n">
        <x:v>19</x:v>
      </x:c>
      <x:c r="J79" s="17" t="n">
        <x:v>17</x:v>
      </x:c>
      <x:c r="K79" s="17" t="n">
        <x:v>13</x:v>
      </x:c>
      <x:c r="L79" t="str">
        <x:v>I</x:v>
      </x:c>
      <x:c r="M79" t="str">
        <x:v>FL</x:v>
      </x:c>
      <x:c r="N79" t="str">
        <x:v>HIALEAH</x:v>
      </x:c>
      <x:c r="O79" t="str">
        <x:v>NJ</x:v>
      </x:c>
      <x:c r="P79" t="str">
        <x:v>NEW BRUNSWICK</x:v>
      </x:c>
      <x:c r="Q79" t="str">
        <x:v>已匹配</x:v>
      </x:c>
      <x:c r="R79" t="n">
        <x:v>80</x:v>
      </x:c>
    </x:row>
    <x:row r="80" ht="18">
      <x:c r="A80" s="12" t="s">
        <x:v>252</x:v>
      </x:c>
      <x:c r="B80" s="3">
        <x:v>37.69</x:v>
      </x:c>
      <x:c r="C80" s="5">
        <x:v>72.138000000000005</x:v>
      </x:c>
      <x:c r="D80" s="5">
        <x:f t="shared" si="1"/>
        <x:v>34.448000000000008</x:v>
      </x:c>
      <x:c r="F80" t="s">
        <x:v>10</x:v>
      </x:c>
      <x:c r="H80" t="s">
        <x:v>253</x:v>
      </x:c>
      <x:c r="I80" s="17" t="n">
        <x:v>30</x:v>
      </x:c>
      <x:c r="J80" s="17" t="n">
        <x:v>19</x:v>
      </x:c>
      <x:c r="K80" s="17" t="n">
        <x:v>8</x:v>
      </x:c>
      <x:c r="L80" t="str">
        <x:v>I</x:v>
      </x:c>
      <x:c r="M80" t="str">
        <x:v>MI</x:v>
      </x:c>
      <x:c r="N80" t="str">
        <x:v>CLINTON TOWNSHIP</x:v>
      </x:c>
      <x:c r="O80" t="str">
        <x:v>NJ</x:v>
      </x:c>
      <x:c r="P80" t="str">
        <x:v>NEW BRUNSWICK</x:v>
      </x:c>
      <x:c r="Q80" t="str">
        <x:v>已匹配</x:v>
      </x:c>
      <x:c r="R80" t="n">
        <x:v>79</x:v>
      </x:c>
    </x:row>
    <x:row r="81" ht="18">
      <x:c r="A81" s="12" t="s">
        <x:v>254</x:v>
      </x:c>
      <x:c r="B81" s="3">
        <x:v>26.41</x:v>
      </x:c>
      <x:c r="C81" s="5">
        <x:v>30.459</x:v>
      </x:c>
      <x:c r="D81" s="5">
        <x:f t="shared" si="1"/>
        <x:v>4.0489999999999995</x:v>
      </x:c>
      <x:c r="E81" t="s">
        <x:v>25</x:v>
      </x:c>
      <x:c r="F81" t="s">
        <x:v>10</x:v>
      </x:c>
      <x:c r="G81" t="s">
        <x:v>255</x:v>
      </x:c>
      <x:c r="H81" t="s">
        <x:v>256</x:v>
      </x:c>
      <x:c r="I81" s="17" t="n">
        <x:v>16</x:v>
      </x:c>
      <x:c r="J81" s="17" t="n">
        <x:v>16</x:v>
      </x:c>
      <x:c r="K81" s="17" t="n">
        <x:v>12</x:v>
      </x:c>
      <x:c r="L81" t="str">
        <x:v>I</x:v>
      </x:c>
      <x:c r="M81" t="str">
        <x:v>FL</x:v>
      </x:c>
      <x:c r="N81" t="str">
        <x:v>SUMMERFIELD</x:v>
      </x:c>
      <x:c r="O81" t="str">
        <x:v>NJ</x:v>
      </x:c>
      <x:c r="P81" t="str">
        <x:v>NEW BRUNSWICK</x:v>
      </x:c>
      <x:c r="Q81" t="str">
        <x:v>已匹配</x:v>
      </x:c>
      <x:c r="R81" t="n">
        <x:v>114</x:v>
      </x:c>
    </x:row>
    <x:row r="82" ht="18">
      <x:c r="A82" s="12" t="s">
        <x:v>257</x:v>
      </x:c>
      <x:c r="B82" s="3">
        <x:v>26.5</x:v>
      </x:c>
      <x:c r="C82" s="5">
        <x:v>29.227</x:v>
      </x:c>
      <x:c r="D82" s="5">
        <x:f t="shared" si="1"/>
        <x:v>2.7270000000000003</x:v>
      </x:c>
      <x:c r="E82" t="s">
        <x:v>21</x:v>
      </x:c>
      <x:c r="F82" t="s">
        <x:v>10</x:v>
      </x:c>
      <x:c r="G82" t="s">
        <x:v>258</x:v>
      </x:c>
      <x:c r="H82" t="s">
        <x:v>259</x:v>
      </x:c>
      <x:c r="I82" s="17" t="n">
        <x:v>19</x:v>
      </x:c>
      <x:c r="J82" s="17" t="n">
        <x:v>17</x:v>
      </x:c>
      <x:c r="K82" s="17" t="n">
        <x:v>13</x:v>
      </x:c>
      <x:c r="L82" t="str">
        <x:v>I</x:v>
      </x:c>
      <x:c r="M82" t="str">
        <x:v>NH</x:v>
      </x:c>
      <x:c r="N82" t="str">
        <x:v>CENTER SANDWICH</x:v>
      </x:c>
      <x:c r="O82" t="str">
        <x:v>NJ</x:v>
      </x:c>
      <x:c r="P82" t="str">
        <x:v>NEW BRUNSWICK</x:v>
      </x:c>
      <x:c r="Q82" t="str">
        <x:v>已匹配</x:v>
      </x:c>
      <x:c r="R82" t="n">
        <x:v>111</x:v>
      </x:c>
    </x:row>
    <x:row r="83" ht="18">
      <x:c r="A83" s="12" t="s">
        <x:v>260</x:v>
      </x:c>
      <x:c r="B83" s="3">
        <x:v>73.150000000000006</x:v>
      </x:c>
      <x:c r="C83" s="5">
        <x:v>104.544</x:v>
      </x:c>
      <x:c r="D83" s="5">
        <x:f t="shared" si="1"/>
        <x:v>31.393999999999991</x:v>
      </x:c>
      <x:c r="E83" t="s">
        <x:v>87</x:v>
      </x:c>
      <x:c r="F83" t="s">
        <x:v>10</x:v>
      </x:c>
      <x:c r="G83" t="s">
        <x:v>261</x:v>
      </x:c>
      <x:c r="H83" t="s">
        <x:v>262</x:v>
      </x:c>
      <x:c r="I83" s="17" t="n">
        <x:v>27</x:v>
      </x:c>
      <x:c r="J83" s="17" t="n">
        <x:v>22</x:v>
      </x:c>
      <x:c r="K83" s="17" t="n">
        <x:v>17</x:v>
      </x:c>
      <x:c r="L83" t="str">
        <x:v>I</x:v>
      </x:c>
      <x:c r="M83" t="str">
        <x:v>NC</x:v>
      </x:c>
      <x:c r="N83" t="str">
        <x:v>BOONE</x:v>
      </x:c>
      <x:c r="O83" t="str">
        <x:v>NJ</x:v>
      </x:c>
      <x:c r="P83" t="str">
        <x:v>NEW BRUNSWICK</x:v>
      </x:c>
      <x:c r="Q83" t="str">
        <x:v>已匹配</x:v>
      </x:c>
      <x:c r="R83" t="n">
        <x:v>60</x:v>
      </x:c>
    </x:row>
    <x:row r="84" ht="18">
      <x:c r="A84" s="12" t="s">
        <x:v>263</x:v>
      </x:c>
      <x:c r="B84" s="3">
        <x:v>36.729999999999997</x:v>
      </x:c>
      <x:c r="C84" s="5">
        <x:v>39.347000000000001</x:v>
      </x:c>
      <x:c r="D84" s="5">
        <x:f t="shared" si="1"/>
        <x:v>2.6170000000000044</x:v>
      </x:c>
      <x:c r="E84" t="s">
        <x:v>21</x:v>
      </x:c>
      <x:c r="F84" t="s">
        <x:v>10</x:v>
      </x:c>
      <x:c r="G84" t="s">
        <x:v>264</x:v>
      </x:c>
      <x:c r="H84" t="s">
        <x:v>265</x:v>
      </x:c>
      <x:c r="I84" s="17" t="n">
        <x:v>18</x:v>
      </x:c>
      <x:c r="J84" s="17" t="n">
        <x:v>18</x:v>
      </x:c>
      <x:c r="K84" s="17" t="n">
        <x:v>17</x:v>
      </x:c>
      <x:c r="L84" t="str">
        <x:v>I</x:v>
      </x:c>
      <x:c r="M84" t="str">
        <x:v>MO</x:v>
      </x:c>
      <x:c r="N84" t="str">
        <x:v>SAINT LOUIS</x:v>
      </x:c>
      <x:c r="O84" t="str">
        <x:v>NJ</x:v>
      </x:c>
      <x:c r="P84" t="str">
        <x:v>NEW BRUNSWICK</x:v>
      </x:c>
      <x:c r="Q84" t="str">
        <x:v>已匹配</x:v>
      </x:c>
      <x:c r="R84" t="n">
        <x:v>59</x:v>
      </x:c>
    </x:row>
    <x:row r="85" ht="18">
      <x:c r="A85" s="12" t="s">
        <x:v>266</x:v>
      </x:c>
      <x:c r="B85" s="3">
        <x:v>45.3</x:v>
      </x:c>
      <x:c r="C85" s="5">
        <x:v>49.401000000000003</x:v>
      </x:c>
      <x:c r="D85" s="5">
        <x:f t="shared" si="1"/>
        <x:v>4.1010000000000062</x:v>
      </x:c>
      <x:c r="E85" t="s">
        <x:v>21</x:v>
      </x:c>
      <x:c r="F85" t="s">
        <x:v>10</x:v>
      </x:c>
      <x:c r="G85" t="s">
        <x:v>267</x:v>
      </x:c>
      <x:c r="H85" t="s">
        <x:v>268</x:v>
      </x:c>
      <x:c r="I85" s="17" t="n">
        <x:v>19</x:v>
      </x:c>
      <x:c r="J85" s="17" t="n">
        <x:v>18</x:v>
      </x:c>
      <x:c r="K85" s="17" t="n">
        <x:v>17</x:v>
      </x:c>
      <x:c r="L85" t="str">
        <x:v>I</x:v>
      </x:c>
      <x:c r="M85" t="str">
        <x:v>AR</x:v>
      </x:c>
      <x:c r="N85" t="str">
        <x:v>CONWAY</x:v>
      </x:c>
      <x:c r="O85" t="str">
        <x:v>NJ</x:v>
      </x:c>
      <x:c r="P85" t="str">
        <x:v>NEW BRUNSWICK</x:v>
      </x:c>
      <x:c r="Q85" t="str">
        <x:v>已匹配</x:v>
      </x:c>
      <x:c r="R85" t="n">
        <x:v>76</x:v>
      </x:c>
    </x:row>
    <x:row r="86" ht="18">
      <x:c r="A86" s="12" t="s">
        <x:v>269</x:v>
      </x:c>
      <x:c r="B86" s="3">
        <x:v>29.56</x:v>
      </x:c>
      <x:c r="C86" s="5">
        <x:v>32.387999999999998</x:v>
      </x:c>
      <x:c r="D86" s="5">
        <x:f t="shared" si="1"/>
        <x:v>2.8279999999999994</x:v>
      </x:c>
      <x:c r="F86" t="s">
        <x:v>91</x:v>
      </x:c>
      <x:c r="I86" s="17" t="n">
        <x:v>46</x:v>
      </x:c>
      <x:c r="J86" s="17" t="n">
        <x:v>43</x:v>
      </x:c>
      <x:c r="K86" s="17" t="n">
        <x:v>33</x:v>
      </x:c>
      <x:c r="L86" t="str">
        <x:v>C</x:v>
      </x:c>
      <x:c r="M86" t="str">
        <x:v>NJ</x:v>
      </x:c>
      <x:c r="N86" t="str">
        <x:v>NEW BRUNSWICK</x:v>
      </x:c>
      <x:c r="O86" t="str">
        <x:v>PA</x:v>
      </x:c>
      <x:c r="P86" t="str">
        <x:v>CARLISLE</x:v>
      </x:c>
      <x:c r="Q86" t="str">
        <x:v>已匹配</x:v>
      </x:c>
      <x:c r="R86" t="n">
        <x:v>57</x:v>
      </x:c>
    </x:row>
    <x:row r="87" ht="18">
      <x:c r="A87" s="12" t="s">
        <x:v>270</x:v>
      </x:c>
      <x:c r="B87" s="3">
        <x:v>49.04</x:v>
      </x:c>
      <x:c r="C87" s="5">
        <x:v>61.811999999999998</x:v>
      </x:c>
      <x:c r="D87" s="5">
        <x:f t="shared" si="1"/>
        <x:v>12.771999999999998</x:v>
      </x:c>
      <x:c r="F87" t="s">
        <x:v>91</x:v>
      </x:c>
      <x:c r="I87" s="17" t="n">
        <x:v>46</x:v>
      </x:c>
      <x:c r="J87" s="17" t="n">
        <x:v>43</x:v>
      </x:c>
      <x:c r="K87" s="17" t="n">
        <x:v>33</x:v>
      </x:c>
      <x:c r="L87" t="str">
        <x:v>C</x:v>
      </x:c>
      <x:c r="M87" t="str">
        <x:v>NJ</x:v>
      </x:c>
      <x:c r="N87" t="str">
        <x:v>NEW BRUNSWICK</x:v>
      </x:c>
      <x:c r="O87" t="str">
        <x:v>FL</x:v>
      </x:c>
      <x:c r="P87" t="str">
        <x:v>FLORAL CITY</x:v>
      </x:c>
      <x:c r="Q87" t="str">
        <x:v>已匹配</x:v>
      </x:c>
      <x:c r="R87" t="n">
        <x:v>54</x:v>
      </x:c>
    </x:row>
    <x:row r="88" ht="18">
      <x:c r="A88" s="12" t="s">
        <x:v>271</x:v>
      </x:c>
      <x:c r="B88" s="3">
        <x:v>39.03</x:v>
      </x:c>
      <x:c r="C88" s="5">
        <x:v>44.375999999999998</x:v>
      </x:c>
      <x:c r="D88" s="5">
        <x:f t="shared" si="1"/>
        <x:v>5.3459999999999965</x:v>
      </x:c>
      <x:c r="F88" t="s">
        <x:v>91</x:v>
      </x:c>
      <x:c r="I88" s="17" t="n">
        <x:v>33</x:v>
      </x:c>
      <x:c r="J88" s="17" t="n">
        <x:v>30</x:v>
      </x:c>
      <x:c r="K88" s="17" t="n">
        <x:v>25</x:v>
      </x:c>
      <x:c r="L88" t="str">
        <x:v>C</x:v>
      </x:c>
      <x:c r="M88" t="str">
        <x:v>NJ</x:v>
      </x:c>
      <x:c r="N88" t="str">
        <x:v>NEW BRUNSWICK</x:v>
      </x:c>
      <x:c r="O88" t="str">
        <x:v>CA</x:v>
      </x:c>
      <x:c r="P88" t="str">
        <x:v>TULARE</x:v>
      </x:c>
      <x:c r="Q88" t="str">
        <x:v>已匹配</x:v>
      </x:c>
      <x:c r="R88" t="n">
        <x:v>89</x:v>
      </x:c>
    </x:row>
    <x:row r="89" ht="18">
      <x:c r="A89" s="12" t="s">
        <x:v>272</x:v>
      </x:c>
      <x:c r="B89" s="3">
        <x:v>34.049999999999997</x:v>
      </x:c>
      <x:c r="C89" s="5">
        <x:v>39.384</x:v>
      </x:c>
      <x:c r="D89" s="5">
        <x:f t="shared" si="1"/>
        <x:v>5.3340000000000032</x:v>
      </x:c>
      <x:c r="F89" t="s">
        <x:v>91</x:v>
      </x:c>
      <x:c r="I89" s="17" t="n">
        <x:v>33</x:v>
      </x:c>
      <x:c r="J89" s="17" t="n">
        <x:v>30</x:v>
      </x:c>
      <x:c r="K89" s="17" t="n">
        <x:v>25</x:v>
      </x:c>
      <x:c r="L89" t="str">
        <x:v>C</x:v>
      </x:c>
      <x:c r="M89" t="str">
        <x:v>NJ</x:v>
      </x:c>
      <x:c r="N89" t="str">
        <x:v>NEW BRUNSWICK</x:v>
      </x:c>
      <x:c r="O89" t="str">
        <x:v>CA</x:v>
      </x:c>
      <x:c r="P89" t="str">
        <x:v>ARCADIA</x:v>
      </x:c>
      <x:c r="Q89" t="str">
        <x:v>已匹配</x:v>
      </x:c>
      <x:c r="R89" t="n">
        <x:v>33</x:v>
      </x:c>
    </x:row>
    <x:row r="90" ht="18">
      <x:c r="A90" s="12" t="s">
        <x:v>273</x:v>
      </x:c>
      <x:c r="B90" s="3">
        <x:v>34.049999999999997</x:v>
      </x:c>
      <x:c r="C90" s="5">
        <x:v>39.384</x:v>
      </x:c>
      <x:c r="D90" s="5">
        <x:f t="shared" si="1"/>
        <x:v>5.3340000000000032</x:v>
      </x:c>
      <x:c r="F90" t="s">
        <x:v>91</x:v>
      </x:c>
      <x:c r="I90" s="17" t="n">
        <x:v>33</x:v>
      </x:c>
      <x:c r="J90" s="17" t="n">
        <x:v>30</x:v>
      </x:c>
      <x:c r="K90" s="17" t="n">
        <x:v>25</x:v>
      </x:c>
      <x:c r="L90" t="str">
        <x:v>C</x:v>
      </x:c>
      <x:c r="M90" t="str">
        <x:v>NJ</x:v>
      </x:c>
      <x:c r="N90" t="str">
        <x:v>NEW BRUNSWICK</x:v>
      </x:c>
      <x:c r="O90" t="str">
        <x:v>CA</x:v>
      </x:c>
      <x:c r="P90" t="str">
        <x:v>SAN BERNARDINO</x:v>
      </x:c>
      <x:c r="Q90" t="str">
        <x:v>已匹配</x:v>
      </x:c>
      <x:c r="R90" t="n">
        <x:v>26</x:v>
      </x:c>
    </x:row>
    <x:row r="91" ht="18">
      <x:c r="A91" s="12" t="s">
        <x:v>274</x:v>
      </x:c>
      <x:c r="B91" s="3">
        <x:v>40.700000000000003</x:v>
      </x:c>
      <x:c r="C91" s="5">
        <x:v>46.043999999999997</x:v>
      </x:c>
      <x:c r="D91" s="5">
        <x:f t="shared" si="1"/>
        <x:v>5.3439999999999941</x:v>
      </x:c>
      <x:c r="F91" t="s">
        <x:v>91</x:v>
      </x:c>
      <x:c r="I91" s="17" t="n">
        <x:v>33</x:v>
      </x:c>
      <x:c r="J91" s="17" t="n">
        <x:v>30</x:v>
      </x:c>
      <x:c r="K91" s="17" t="n">
        <x:v>25</x:v>
      </x:c>
      <x:c r="L91" t="str">
        <x:v>C</x:v>
      </x:c>
      <x:c r="M91" t="str">
        <x:v>NJ</x:v>
      </x:c>
      <x:c r="N91" t="str">
        <x:v>NEW BRUNSWICK</x:v>
      </x:c>
      <x:c r="O91" t="str">
        <x:v>OR</x:v>
      </x:c>
      <x:c r="P91" t="str">
        <x:v>ESTACADA</x:v>
      </x:c>
      <x:c r="Q91" t="str">
        <x:v>已匹配</x:v>
      </x:c>
      <x:c r="R91" t="n">
        <x:v>91</x:v>
      </x:c>
    </x:row>
    <x:row r="92" ht="18">
      <x:c r="A92" s="12" t="s">
        <x:v>275</x:v>
      </x:c>
      <x:c r="B92" s="3">
        <x:v>27.46</x:v>
      </x:c>
      <x:c r="C92" s="5">
        <x:v>31.908000000000001</x:v>
      </x:c>
      <x:c r="D92" s="5">
        <x:f t="shared" si="1"/>
        <x:v>4.4480000000000004</x:v>
      </x:c>
      <x:c r="F92" t="s">
        <x:v>91</x:v>
      </x:c>
      <x:c r="I92" s="17" t="n">
        <x:v>33</x:v>
      </x:c>
      <x:c r="J92" s="17" t="n">
        <x:v>30</x:v>
      </x:c>
      <x:c r="K92" s="17" t="n">
        <x:v>25</x:v>
      </x:c>
      <x:c r="L92" t="str">
        <x:v>C</x:v>
      </x:c>
      <x:c r="M92" t="str">
        <x:v>NJ</x:v>
      </x:c>
      <x:c r="N92" t="str">
        <x:v>NEW BRUNSWICK</x:v>
      </x:c>
      <x:c r="O92" t="str">
        <x:v>CO</x:v>
      </x:c>
      <x:c r="P92" t="str">
        <x:v>CORTEZ</x:v>
      </x:c>
      <x:c r="Q92" t="str">
        <x:v>已匹配</x:v>
      </x:c>
      <x:c r="R92" t="n">
        <x:v>72</x:v>
      </x:c>
    </x:row>
    <x:row r="93" ht="18">
      <x:c r="A93" s="12" t="s">
        <x:v>276</x:v>
      </x:c>
      <x:c r="B93" s="3">
        <x:v>34.049999999999997</x:v>
      </x:c>
      <x:c r="C93" s="5">
        <x:v>39.384</x:v>
      </x:c>
      <x:c r="D93" s="5">
        <x:f t="shared" si="1"/>
        <x:v>5.3340000000000032</x:v>
      </x:c>
      <x:c r="F93" t="s">
        <x:v>91</x:v>
      </x:c>
      <x:c r="I93" s="17" t="n">
        <x:v>33</x:v>
      </x:c>
      <x:c r="J93" s="17" t="n">
        <x:v>30</x:v>
      </x:c>
      <x:c r="K93" s="17" t="n">
        <x:v>25</x:v>
      </x:c>
      <x:c r="L93" t="str">
        <x:v>C</x:v>
      </x:c>
      <x:c r="M93" t="str">
        <x:v>NJ</x:v>
      </x:c>
      <x:c r="N93" t="str">
        <x:v>NEW BRUNSWICK</x:v>
      </x:c>
      <x:c r="O93" t="str">
        <x:v>WA</x:v>
      </x:c>
      <x:c r="P93" t="str">
        <x:v>SEATTLE</x:v>
      </x:c>
      <x:c r="Q93" t="str">
        <x:v>已匹配</x:v>
      </x:c>
      <x:c r="R93" t="n">
        <x:v>95</x:v>
      </x:c>
    </x:row>
    <x:row r="94" ht="18">
      <x:c r="A94" s="12" t="s">
        <x:v>277</x:v>
      </x:c>
      <x:c r="B94" s="3">
        <x:v>34.049999999999997</x:v>
      </x:c>
      <x:c r="C94" s="5">
        <x:v>39.384</x:v>
      </x:c>
      <x:c r="D94" s="5">
        <x:f t="shared" si="1"/>
        <x:v>5.3340000000000032</x:v>
      </x:c>
      <x:c r="F94" t="s">
        <x:v>91</x:v>
      </x:c>
      <x:c r="I94" s="17" t="n">
        <x:v>33</x:v>
      </x:c>
      <x:c r="J94" s="17" t="n">
        <x:v>30</x:v>
      </x:c>
      <x:c r="K94" s="17" t="n">
        <x:v>25</x:v>
      </x:c>
      <x:c r="L94" t="str">
        <x:v>C</x:v>
      </x:c>
      <x:c r="M94" t="str">
        <x:v>NJ</x:v>
      </x:c>
      <x:c r="N94" t="str">
        <x:v>NEW BRUNSWICK</x:v>
      </x:c>
      <x:c r="O94" t="str">
        <x:v>WA</x:v>
      </x:c>
      <x:c r="P94" t="str">
        <x:v>LAKE STEVENS</x:v>
      </x:c>
      <x:c r="Q94" t="str">
        <x:v>已匹配</x:v>
      </x:c>
      <x:c r="R94" t="n">
        <x:v>88</x:v>
      </x:c>
    </x:row>
    <x:row r="95" ht="18">
      <x:c r="A95" s="12" t="s">
        <x:v>278</x:v>
      </x:c>
      <x:c r="B95" s="3">
        <x:v>40.700000000000003</x:v>
      </x:c>
      <x:c r="C95" s="5">
        <x:v>46.043999999999997</x:v>
      </x:c>
      <x:c r="D95" s="5">
        <x:f t="shared" si="1"/>
        <x:v>5.3439999999999941</x:v>
      </x:c>
      <x:c r="F95" t="s">
        <x:v>91</x:v>
      </x:c>
      <x:c r="I95" s="17" t="n">
        <x:v>33</x:v>
      </x:c>
      <x:c r="J95" s="17" t="n">
        <x:v>30</x:v>
      </x:c>
      <x:c r="K95" s="17" t="n">
        <x:v>25</x:v>
      </x:c>
      <x:c r="L95" t="str">
        <x:v>C</x:v>
      </x:c>
      <x:c r="M95" t="str">
        <x:v>NJ</x:v>
      </x:c>
      <x:c r="N95" t="str">
        <x:v>NEW BRUNSWICK</x:v>
      </x:c>
      <x:c r="O95" t="str">
        <x:v>UT</x:v>
      </x:c>
      <x:c r="P95" t="str">
        <x:v>ENTERPRISE</x:v>
      </x:c>
      <x:c r="Q95" t="str">
        <x:v>已匹配</x:v>
      </x:c>
      <x:c r="R95" t="n">
        <x:v>100</x:v>
      </x:c>
    </x:row>
    <x:row r="96" ht="18">
      <x:c r="A96" s="12" t="s">
        <x:v>279</x:v>
      </x:c>
      <x:c r="B96" s="3">
        <x:v>28.3</x:v>
      </x:c>
      <x:c r="C96" s="5">
        <x:v>32.735999999999997</x:v>
      </x:c>
      <x:c r="D96" s="5">
        <x:f t="shared" si="1"/>
        <x:v>4.4359999999999964</x:v>
      </x:c>
      <x:c r="F96" t="s">
        <x:v>91</x:v>
      </x:c>
      <x:c r="I96" s="17" t="n">
        <x:v>33</x:v>
      </x:c>
      <x:c r="J96" s="17" t="n">
        <x:v>30</x:v>
      </x:c>
      <x:c r="K96" s="17" t="n">
        <x:v>25</x:v>
      </x:c>
      <x:c r="L96" t="str">
        <x:v>C</x:v>
      </x:c>
      <x:c r="M96" t="str">
        <x:v>NJ</x:v>
      </x:c>
      <x:c r="N96" t="str">
        <x:v>NEW BRUNSWICK</x:v>
      </x:c>
      <x:c r="O96" t="str">
        <x:v>NM</x:v>
      </x:c>
      <x:c r="P96" t="str">
        <x:v>TAOS</x:v>
      </x:c>
      <x:c r="Q96" t="str">
        <x:v>已匹配</x:v>
      </x:c>
      <x:c r="R96" t="n">
        <x:v>71</x:v>
      </x:c>
    </x:row>
    <x:row r="97" ht="18">
      <x:c r="A97" s="12" t="s">
        <x:v>280</x:v>
      </x:c>
      <x:c r="B97" s="3">
        <x:v>34.049999999999997</x:v>
      </x:c>
      <x:c r="C97" s="5">
        <x:v>39.384</x:v>
      </x:c>
      <x:c r="D97" s="5">
        <x:f t="shared" si="1"/>
        <x:v>5.3340000000000032</x:v>
      </x:c>
      <x:c r="F97" t="s">
        <x:v>91</x:v>
      </x:c>
      <x:c r="I97" s="17" t="n">
        <x:v>33</x:v>
      </x:c>
      <x:c r="J97" s="17" t="n">
        <x:v>30</x:v>
      </x:c>
      <x:c r="K97" s="17" t="n">
        <x:v>25</x:v>
      </x:c>
      <x:c r="L97" t="str">
        <x:v>C</x:v>
      </x:c>
      <x:c r="M97" t="str">
        <x:v>NJ</x:v>
      </x:c>
      <x:c r="N97" t="str">
        <x:v>NEW BRUNSWICK</x:v>
      </x:c>
      <x:c r="O97" t="str">
        <x:v>CA</x:v>
      </x:c>
      <x:c r="P97" t="str">
        <x:v>DAVIS</x:v>
      </x:c>
      <x:c r="Q97" t="str">
        <x:v>已匹配</x:v>
      </x:c>
      <x:c r="R97" t="n">
        <x:v>93</x:v>
      </x:c>
    </x:row>
    <x:row r="98" ht="18">
      <x:c r="A98" s="12" t="s">
        <x:v>281</x:v>
      </x:c>
      <x:c r="B98" s="3">
        <x:v>40.700000000000003</x:v>
      </x:c>
      <x:c r="C98" s="5">
        <x:v>46.043999999999997</x:v>
      </x:c>
      <x:c r="D98" s="5">
        <x:f t="shared" si="1"/>
        <x:v>5.3439999999999941</x:v>
      </x:c>
      <x:c r="F98" t="s">
        <x:v>91</x:v>
      </x:c>
      <x:c r="I98" s="17" t="n">
        <x:v>33</x:v>
      </x:c>
      <x:c r="J98" s="17" t="n">
        <x:v>30</x:v>
      </x:c>
      <x:c r="K98" s="17" t="n">
        <x:v>25</x:v>
      </x:c>
      <x:c r="L98" t="str">
        <x:v>C</x:v>
      </x:c>
      <x:c r="M98" t="str">
        <x:v>NJ</x:v>
      </x:c>
      <x:c r="N98" t="str">
        <x:v>NEW BRUNSWICK</x:v>
      </x:c>
      <x:c r="O98" t="str">
        <x:v>OR</x:v>
      </x:c>
      <x:c r="P98" t="str">
        <x:v>JOHN DAY</x:v>
      </x:c>
      <x:c r="Q98" t="str">
        <x:v>已匹配</x:v>
      </x:c>
      <x:c r="R98" t="n">
        <x:v>92</x:v>
      </x:c>
    </x:row>
    <x:row r="99" ht="18">
      <x:c r="A99" s="12" t="s">
        <x:v>282</x:v>
      </x:c>
      <x:c r="B99" s="3">
        <x:v>31.75</x:v>
      </x:c>
      <x:c r="C99" s="5">
        <x:v>75.48</x:v>
      </x:c>
      <x:c r="D99" s="5">
        <x:f t="shared" si="1"/>
        <x:v>43.730000000000004</x:v>
      </x:c>
      <x:c r="F99" t="s">
        <x:v>91</x:v>
      </x:c>
      <x:c r="I99" s="17" t="n">
        <x:v>33</x:v>
      </x:c>
      <x:c r="J99" s="17" t="n">
        <x:v>30</x:v>
      </x:c>
      <x:c r="K99" s="17" t="n">
        <x:v>25</x:v>
      </x:c>
      <x:c r="L99" t="str">
        <x:v>C</x:v>
      </x:c>
      <x:c r="M99" t="str">
        <x:v>NJ</x:v>
      </x:c>
      <x:c r="N99" t="str">
        <x:v>NEW BRUNSWICK</x:v>
      </x:c>
      <x:c r="O99" t="str">
        <x:v>TX</x:v>
      </x:c>
      <x:c r="P99" t="str">
        <x:v>Austin</x:v>
      </x:c>
      <x:c r="Q99" t="str">
        <x:v>已匹配</x:v>
      </x:c>
      <x:c r="R99" t="n">
        <x:v>36</x:v>
      </x:c>
    </x:row>
    <x:row r="100" ht="18">
      <x:c r="A100" s="12" t="s">
        <x:v>283</x:v>
      </x:c>
      <x:c r="B100" s="3">
        <x:v>34.049999999999997</x:v>
      </x:c>
      <x:c r="C100" s="5">
        <x:v>39.384</x:v>
      </x:c>
      <x:c r="D100" s="5">
        <x:f t="shared" si="1"/>
        <x:v>5.3340000000000032</x:v>
      </x:c>
      <x:c r="F100" t="s">
        <x:v>91</x:v>
      </x:c>
      <x:c r="I100" s="17" t="n">
        <x:v>33</x:v>
      </x:c>
      <x:c r="J100" s="17" t="n">
        <x:v>30</x:v>
      </x:c>
      <x:c r="K100" s="17" t="n">
        <x:v>25</x:v>
      </x:c>
      <x:c r="L100" t="str">
        <x:v>C</x:v>
      </x:c>
      <x:c r="M100" t="str">
        <x:v>NJ</x:v>
      </x:c>
      <x:c r="N100" t="str">
        <x:v>NEW BRUNSWICK</x:v>
      </x:c>
      <x:c r="O100" t="str">
        <x:v>NV</x:v>
      </x:c>
      <x:c r="P100" t="str">
        <x:v>HENDERSON</x:v>
      </x:c>
      <x:c r="Q100" t="str">
        <x:v>已匹配</x:v>
      </x:c>
      <x:c r="R100" t="n">
        <x:v>74</x:v>
      </x:c>
    </x:row>
    <x:row r="101" ht="18">
      <x:c r="A101" s="12" t="s">
        <x:v>284</x:v>
      </x:c>
      <x:c r="B101" s="3">
        <x:v>44.41</x:v>
      </x:c>
      <x:c r="C101" s="5">
        <x:v>51.863999999999997</x:v>
      </x:c>
      <x:c r="D101" s="5">
        <x:f t="shared" si="1"/>
        <x:v>7.4540000000000006</x:v>
      </x:c>
      <x:c r="F101" t="s">
        <x:v>91</x:v>
      </x:c>
      <x:c r="I101" s="17" t="n">
        <x:v>33</x:v>
      </x:c>
      <x:c r="J101" s="17" t="n">
        <x:v>30</x:v>
      </x:c>
      <x:c r="K101" s="17" t="n">
        <x:v>25</x:v>
      </x:c>
      <x:c r="L101" t="str">
        <x:v>C</x:v>
      </x:c>
      <x:c r="M101" t="str">
        <x:v>NJ</x:v>
      </x:c>
      <x:c r="N101" t="str">
        <x:v>NEW BRUNSWICK</x:v>
      </x:c>
      <x:c r="O101" t="str">
        <x:v>CO</x:v>
      </x:c>
      <x:c r="P101" t="str">
        <x:v>DRAKE</x:v>
      </x:c>
      <x:c r="Q101" t="str">
        <x:v>已匹配</x:v>
      </x:c>
      <x:c r="R101" t="n">
        <x:v>75</x:v>
      </x:c>
    </x:row>
    <x:row r="102" ht="18">
      <x:c r="A102" s="12" t="s">
        <x:v>285</x:v>
      </x:c>
      <x:c r="B102" s="3">
        <x:v>39.03</x:v>
      </x:c>
      <x:c r="C102" s="5">
        <x:v>44.375999999999998</x:v>
      </x:c>
      <x:c r="D102" s="5">
        <x:f t="shared" si="1"/>
        <x:v>5.3459999999999965</x:v>
      </x:c>
      <x:c r="F102" t="s">
        <x:v>91</x:v>
      </x:c>
      <x:c r="I102" s="17" t="n">
        <x:v>33</x:v>
      </x:c>
      <x:c r="J102" s="17" t="n">
        <x:v>30</x:v>
      </x:c>
      <x:c r="K102" s="17" t="n">
        <x:v>25</x:v>
      </x:c>
      <x:c r="L102" t="str">
        <x:v>C</x:v>
      </x:c>
      <x:c r="M102" t="str">
        <x:v>NJ</x:v>
      </x:c>
      <x:c r="N102" t="str">
        <x:v>NEW BRUNSWICK</x:v>
      </x:c>
      <x:c r="O102" t="str">
        <x:v>OR</x:v>
      </x:c>
      <x:c r="P102" t="str">
        <x:v>SPRINGFIELD</x:v>
      </x:c>
      <x:c r="Q102" t="str">
        <x:v>已匹配</x:v>
      </x:c>
      <x:c r="R102" t="n">
        <x:v>94</x:v>
      </x:c>
    </x:row>
    <x:row r="103" ht="18">
      <x:c r="A103" s="12" t="s">
        <x:v>286</x:v>
      </x:c>
      <x:c r="B103" s="3">
        <x:v>28.3</x:v>
      </x:c>
      <x:c r="C103" s="5">
        <x:v>32.735999999999997</x:v>
      </x:c>
      <x:c r="D103" s="5">
        <x:f t="shared" si="1"/>
        <x:v>4.4359999999999964</x:v>
      </x:c>
      <x:c r="F103" t="s">
        <x:v>91</x:v>
      </x:c>
      <x:c r="I103" s="17" t="n">
        <x:v>33</x:v>
      </x:c>
      <x:c r="J103" s="17" t="n">
        <x:v>30</x:v>
      </x:c>
      <x:c r="K103" s="17" t="n">
        <x:v>25</x:v>
      </x:c>
      <x:c r="L103" t="str">
        <x:v>C</x:v>
      </x:c>
      <x:c r="M103" t="str">
        <x:v>NJ</x:v>
      </x:c>
      <x:c r="N103" t="str">
        <x:v>NEW BRUNSWICK</x:v>
      </x:c>
      <x:c r="O103" t="str">
        <x:v>NM</x:v>
      </x:c>
      <x:c r="P103" t="str">
        <x:v>TAOS</x:v>
      </x:c>
      <x:c r="Q103" t="str">
        <x:v>已匹配</x:v>
      </x:c>
      <x:c r="R103" t="n">
        <x:v>73</x:v>
      </x:c>
    </x:row>
    <x:row r="104" ht="18">
      <x:c r="A104" s="12" t="s">
        <x:v>287</x:v>
      </x:c>
      <x:c r="B104" s="3">
        <x:v>34.049999999999997</x:v>
      </x:c>
      <x:c r="C104" s="5">
        <x:v>39.384</x:v>
      </x:c>
      <x:c r="D104" s="5">
        <x:f t="shared" si="1"/>
        <x:v>5.3340000000000032</x:v>
      </x:c>
      <x:c r="F104" t="s">
        <x:v>91</x:v>
      </x:c>
      <x:c r="I104" s="17" t="n">
        <x:v>33</x:v>
      </x:c>
      <x:c r="J104" s="17" t="n">
        <x:v>30</x:v>
      </x:c>
      <x:c r="K104" s="17" t="n">
        <x:v>25</x:v>
      </x:c>
      <x:c r="L104" t="str">
        <x:v>C</x:v>
      </x:c>
      <x:c r="M104" t="str">
        <x:v>NJ</x:v>
      </x:c>
      <x:c r="N104" t="str">
        <x:v>NEW BRUNSWICK</x:v>
      </x:c>
      <x:c r="O104" t="str">
        <x:v>ID</x:v>
      </x:c>
      <x:c r="P104" t="str">
        <x:v>BOISE</x:v>
      </x:c>
      <x:c r="Q104" t="str">
        <x:v>已匹配</x:v>
      </x:c>
      <x:c r="R104" t="n">
        <x:v>90</x:v>
      </x:c>
    </x:row>
    <x:row r="105" ht="18">
      <x:c r="A105" s="12" t="s">
        <x:v>288</x:v>
      </x:c>
      <x:c r="B105" s="3">
        <x:v>27.91</x:v>
      </x:c>
      <x:c r="C105" s="5">
        <x:v>32.892000000000003</x:v>
      </x:c>
      <x:c r="D105" s="5">
        <x:f t="shared" si="1"/>
        <x:v>4.9820000000000029</x:v>
      </x:c>
      <x:c r="F105" t="s">
        <x:v>91</x:v>
      </x:c>
      <x:c r="I105" s="17" t="n">
        <x:v>41</x:v>
      </x:c>
      <x:c r="J105" s="17" t="n">
        <x:v>41</x:v>
      </x:c>
      <x:c r="K105" s="17" t="n">
        <x:v>30</x:v>
      </x:c>
      <x:c r="L105" t="str">
        <x:v>C</x:v>
      </x:c>
      <x:c r="M105" t="str">
        <x:v>NJ</x:v>
      </x:c>
      <x:c r="N105" t="str">
        <x:v>NEW BRUNSWICK</x:v>
      </x:c>
      <x:c r="O105" t="str">
        <x:v>VA</x:v>
      </x:c>
      <x:c r="P105" t="str">
        <x:v>CHANTILLY</x:v>
      </x:c>
      <x:c r="Q105" t="str">
        <x:v>已匹配</x:v>
      </x:c>
      <x:c r="R105" t="n">
        <x:v>49</x:v>
      </x:c>
    </x:row>
    <x:row r="106" ht="18">
      <x:c r="A106" s="12" t="s">
        <x:v>289</x:v>
      </x:c>
      <x:c r="B106" s="3">
        <x:v>25.39</x:v>
      </x:c>
      <x:c r="C106" s="5">
        <x:v>33.228000000000002</x:v>
      </x:c>
      <x:c r="D106" s="5">
        <x:f t="shared" si="1"/>
        <x:v>7.838000000000001</x:v>
      </x:c>
      <x:c r="F106" t="s">
        <x:v>91</x:v>
      </x:c>
      <x:c r="I106" s="17" t="n">
        <x:v>41</x:v>
      </x:c>
      <x:c r="J106" s="17" t="n">
        <x:v>41</x:v>
      </x:c>
      <x:c r="K106" s="17" t="n">
        <x:v>30</x:v>
      </x:c>
      <x:c r="L106" t="str">
        <x:v>C</x:v>
      </x:c>
      <x:c r="M106" t="str">
        <x:v>NJ</x:v>
      </x:c>
      <x:c r="N106" t="str">
        <x:v>NEW BRUNSWICK</x:v>
      </x:c>
      <x:c r="O106" t="str">
        <x:v>WI</x:v>
      </x:c>
      <x:c r="P106" t="str">
        <x:v>MADISON</x:v>
      </x:c>
      <x:c r="Q106" t="str">
        <x:v>已匹配</x:v>
      </x:c>
      <x:c r="R106" t="n">
        <x:v>40</x:v>
      </x:c>
    </x:row>
    <x:row r="107" ht="18">
      <x:c r="A107" s="12" t="s">
        <x:v>290</x:v>
      </x:c>
      <x:c r="B107" s="3">
        <x:v>25.3</x:v>
      </x:c>
      <x:c r="C107" s="5">
        <x:v>28.536000000000001</x:v>
      </x:c>
      <x:c r="D107" s="5">
        <x:f t="shared" si="1"/>
        <x:v>3.2360000000000007</x:v>
      </x:c>
      <x:c r="F107" t="s">
        <x:v>91</x:v>
      </x:c>
      <x:c r="I107" s="17" t="n">
        <x:v>41</x:v>
      </x:c>
      <x:c r="J107" s="17" t="n">
        <x:v>41</x:v>
      </x:c>
      <x:c r="K107" s="17" t="n">
        <x:v>30</x:v>
      </x:c>
      <x:c r="L107" t="str">
        <x:v>C</x:v>
      </x:c>
      <x:c r="M107" t="str">
        <x:v>NJ</x:v>
      </x:c>
      <x:c r="N107" t="str">
        <x:v>NEW BRUNSWICK</x:v>
      </x:c>
      <x:c r="O107" t="str">
        <x:v>MA</x:v>
      </x:c>
      <x:c r="P107" t="str">
        <x:v>EAST LONGMEADOW</x:v>
      </x:c>
      <x:c r="Q107" t="str">
        <x:v>已匹配</x:v>
      </x:c>
      <x:c r="R107" t="n">
        <x:v>14</x:v>
      </x:c>
    </x:row>
    <x:row r="108" ht="18">
      <x:c r="A108" s="12" t="s">
        <x:v>291</x:v>
      </x:c>
      <x:c r="B108" s="3">
        <x:v>51.15</x:v>
      </x:c>
      <x:c r="C108" s="5">
        <x:v>64.308000000000007</x:v>
      </x:c>
      <x:c r="D108" s="5">
        <x:f t="shared" si="1"/>
        <x:v>13.158000000000008</x:v>
      </x:c>
      <x:c r="F108" t="s">
        <x:v>91</x:v>
      </x:c>
      <x:c r="I108" s="17" t="n">
        <x:v>41</x:v>
      </x:c>
      <x:c r="J108" s="17" t="n">
        <x:v>41</x:v>
      </x:c>
      <x:c r="K108" s="17" t="n">
        <x:v>30</x:v>
      </x:c>
      <x:c r="L108" t="str">
        <x:v>C</x:v>
      </x:c>
      <x:c r="M108" t="str">
        <x:v>NJ</x:v>
      </x:c>
      <x:c r="N108" t="str">
        <x:v>NEW BRUNSWICK</x:v>
      </x:c>
      <x:c r="O108" t="str">
        <x:v>CO</x:v>
      </x:c>
      <x:c r="P108" t="str">
        <x:v>DURANGO</x:v>
      </x:c>
      <x:c r="Q108" t="str">
        <x:v>已匹配</x:v>
      </x:c>
      <x:c r="R108" t="n">
        <x:v>137</x:v>
      </x:c>
    </x:row>
    <x:row r="109" ht="18">
      <x:c r="A109" s="12" t="s">
        <x:v>292</x:v>
      </x:c>
      <x:c r="B109" s="3">
        <x:v>33.15</x:v>
      </x:c>
      <x:c r="C109" s="5">
        <x:v>41.915999999999997</x:v>
      </x:c>
      <x:c r="D109" s="5">
        <x:f t="shared" si="1"/>
        <x:v>8.7659999999999982</x:v>
      </x:c>
      <x:c r="F109" t="s">
        <x:v>91</x:v>
      </x:c>
      <x:c r="I109" s="17" t="n">
        <x:v>41</x:v>
      </x:c>
      <x:c r="J109" s="17" t="n">
        <x:v>41</x:v>
      </x:c>
      <x:c r="K109" s="17" t="n">
        <x:v>30</x:v>
      </x:c>
      <x:c r="L109" t="str">
        <x:v>C</x:v>
      </x:c>
      <x:c r="M109" t="str">
        <x:v>NJ</x:v>
      </x:c>
      <x:c r="N109" t="str">
        <x:v>NEW BRUNSWICK</x:v>
      </x:c>
      <x:c r="O109" t="str">
        <x:v>FL</x:v>
      </x:c>
      <x:c r="P109" t="str">
        <x:v>ORLANDO</x:v>
      </x:c>
      <x:c r="Q109" t="str">
        <x:v>已匹配</x:v>
      </x:c>
      <x:c r="R109" t="n">
        <x:v>25</x:v>
      </x:c>
    </x:row>
    <x:row r="110" ht="18">
      <x:c r="A110" s="12" t="s">
        <x:v>293</x:v>
      </x:c>
      <x:c r="B110" s="3">
        <x:v>33.15</x:v>
      </x:c>
      <x:c r="C110" s="5">
        <x:v>41.915999999999997</x:v>
      </x:c>
      <x:c r="D110" s="5">
        <x:f t="shared" si="1"/>
        <x:v>8.7659999999999982</x:v>
      </x:c>
      <x:c r="F110" t="s">
        <x:v>91</x:v>
      </x:c>
      <x:c r="I110" s="17" t="n">
        <x:v>41</x:v>
      </x:c>
      <x:c r="J110" s="17" t="n">
        <x:v>41</x:v>
      </x:c>
      <x:c r="K110" s="17" t="n">
        <x:v>30</x:v>
      </x:c>
      <x:c r="L110" t="str">
        <x:v>C</x:v>
      </x:c>
      <x:c r="M110" t="str">
        <x:v>NJ</x:v>
      </x:c>
      <x:c r="N110" t="str">
        <x:v>NEW BRUNSWICK</x:v>
      </x:c>
      <x:c r="O110" t="str">
        <x:v>FL</x:v>
      </x:c>
      <x:c r="P110" t="str">
        <x:v>ORLANDO</x:v>
      </x:c>
      <x:c r="Q110" t="str">
        <x:v>已匹配</x:v>
      </x:c>
      <x:c r="R110" t="n">
        <x:v>37</x:v>
      </x:c>
    </x:row>
    <x:row r="111" ht="18">
      <x:c r="A111" s="12" t="s">
        <x:v>294</x:v>
      </x:c>
      <x:c r="B111" s="3">
        <x:v>33.15</x:v>
      </x:c>
      <x:c r="C111" s="5">
        <x:v>41.915999999999997</x:v>
      </x:c>
      <x:c r="D111" s="5">
        <x:f t="shared" si="1"/>
        <x:v>8.7659999999999982</x:v>
      </x:c>
      <x:c r="F111" t="s">
        <x:v>91</x:v>
      </x:c>
      <x:c r="I111" s="17" t="n">
        <x:v>41</x:v>
      </x:c>
      <x:c r="J111" s="17" t="n">
        <x:v>41</x:v>
      </x:c>
      <x:c r="K111" s="17" t="n">
        <x:v>30</x:v>
      </x:c>
      <x:c r="L111" t="str">
        <x:v>C</x:v>
      </x:c>
      <x:c r="M111" t="str">
        <x:v>NJ</x:v>
      </x:c>
      <x:c r="N111" t="str">
        <x:v>NEW BRUNSWICK</x:v>
      </x:c>
      <x:c r="O111" t="str">
        <x:v>FL</x:v>
      </x:c>
      <x:c r="P111" t="str">
        <x:v>ORLANDO</x:v>
      </x:c>
      <x:c r="Q111" t="str">
        <x:v>已匹配</x:v>
      </x:c>
      <x:c r="R111" t="n">
        <x:v>42</x:v>
      </x:c>
    </x:row>
    <x:row r="112" ht="18">
      <x:c r="A112" s="12" t="s">
        <x:v>295</x:v>
      </x:c>
      <x:c r="B112" s="3">
        <x:v>52.3</x:v>
      </x:c>
      <x:c r="C112" s="5">
        <x:v>57.177999999999997</x:v>
      </x:c>
      <x:c r="D112" s="5">
        <x:f t="shared" si="1"/>
        <x:v>4.8780000000000001</x:v>
      </x:c>
      <x:c r="E112" t="s">
        <x:v>21</x:v>
      </x:c>
      <x:c r="F112" t="s">
        <x:v>10</x:v>
      </x:c>
      <x:c r="G112" t="s">
        <x:v>296</x:v>
      </x:c>
      <x:c r="H112" t="s">
        <x:v>297</x:v>
      </x:c>
      <x:c r="I112" s="17" t="n">
        <x:v>25</x:v>
      </x:c>
      <x:c r="J112" s="17" t="n">
        <x:v>25</x:v>
      </x:c>
      <x:c r="K112" s="17" t="n">
        <x:v>15</x:v>
      </x:c>
      <x:c r="L112" t="str">
        <x:v>I</x:v>
      </x:c>
      <x:c r="M112" t="str">
        <x:v>MS</x:v>
      </x:c>
      <x:c r="N112" t="str">
        <x:v>HATTIESBURG</x:v>
      </x:c>
      <x:c r="O112" t="str">
        <x:v>NJ</x:v>
      </x:c>
      <x:c r="P112" t="str">
        <x:v>NEW BRUNSWICK</x:v>
      </x:c>
      <x:c r="Q112" t="str">
        <x:v>已匹配</x:v>
      </x:c>
      <x:c r="R112" t="n">
        <x:v>211</x:v>
      </x:c>
    </x:row>
    <x:row r="113" ht="18">
      <x:c r="A113" s="12" t="s">
        <x:v>298</x:v>
      </x:c>
      <x:c r="B113" s="3">
        <x:v>35.03</x:v>
      </x:c>
      <x:c r="C113" s="5">
        <x:v>57.453000000000003</x:v>
      </x:c>
      <x:c r="D113" s="5">
        <x:f t="shared" si="1"/>
        <x:v>22.423000000000002</x:v>
      </x:c>
      <x:c r="E113" t="s">
        <x:v>25</x:v>
      </x:c>
      <x:c r="F113" t="s">
        <x:v>10</x:v>
      </x:c>
      <x:c r="G113" t="s">
        <x:v>299</x:v>
      </x:c>
      <x:c r="H113" t="s">
        <x:v>300</x:v>
      </x:c>
      <x:c r="I113" s="17" t="n">
        <x:v>23</x:v>
      </x:c>
      <x:c r="J113" s="17" t="n">
        <x:v>22</x:v>
      </x:c>
      <x:c r="K113" s="17" t="n">
        <x:v>17</x:v>
      </x:c>
      <x:c r="L113" t="str">
        <x:v>I</x:v>
      </x:c>
      <x:c r="M113" t="str">
        <x:v>FL</x:v>
      </x:c>
      <x:c r="N113" t="str">
        <x:v>FORT LAUDERDALE</x:v>
      </x:c>
      <x:c r="O113" t="str">
        <x:v>NJ</x:v>
      </x:c>
      <x:c r="P113" t="str">
        <x:v>NEW BRUNSWICK</x:v>
      </x:c>
      <x:c r="Q113" t="str">
        <x:v>已匹配</x:v>
      </x:c>
      <x:c r="R113" t="n">
        <x:v>69</x:v>
      </x:c>
    </x:row>
    <x:row r="114" ht="18">
      <x:c r="A114" s="12" t="s">
        <x:v>301</x:v>
      </x:c>
      <x:c r="B114" s="3">
        <x:v>19.510000000000002</x:v>
      </x:c>
      <x:c r="C114" s="5">
        <x:v>71.016000000000005</x:v>
      </x:c>
      <x:c r="D114" s="5">
        <x:f t="shared" si="1"/>
        <x:v>51.506</x:v>
      </x:c>
      <x:c r="E114" t="s">
        <x:v>180</x:v>
      </x:c>
      <x:c r="F114" t="s">
        <x:v>10</x:v>
      </x:c>
      <x:c r="G114" t="s">
        <x:v>302</x:v>
      </x:c>
      <x:c r="H114" t="s">
        <x:v>303</x:v>
      </x:c>
      <x:c r="I114" s="17" t="n">
        <x:v>18</x:v>
      </x:c>
      <x:c r="J114" s="17" t="n">
        <x:v>15</x:v>
      </x:c>
      <x:c r="K114" s="17" t="n">
        <x:v>15</x:v>
      </x:c>
      <x:c r="L114" t="str">
        <x:v>I</x:v>
      </x:c>
      <x:c r="M114" t="str">
        <x:v>ME</x:v>
      </x:c>
      <x:c r="N114" t="str">
        <x:v>SHAPLEIGH</x:v>
      </x:c>
      <x:c r="O114" t="str">
        <x:v>NJ</x:v>
      </x:c>
      <x:c r="P114" t="str">
        <x:v>NEW BRUNSWICK</x:v>
      </x:c>
      <x:c r="Q114" t="str">
        <x:v>已匹配</x:v>
      </x:c>
      <x:c r="R114" t="n">
        <x:v>4</x:v>
      </x:c>
    </x:row>
    <x:row r="115" ht="18">
      <x:c r="A115" s="12" t="s">
        <x:v>304</x:v>
      </x:c>
      <x:c r="B115" s="3">
        <x:v>32.47</x:v>
      </x:c>
      <x:c r="C115" s="5">
        <x:v>36.585999999999999</x:v>
      </x:c>
      <x:c r="D115" s="5">
        <x:f t="shared" si="1"/>
        <x:v>4.1159999999999997</x:v>
      </x:c>
      <x:c r="E115" t="s">
        <x:v>25</x:v>
      </x:c>
      <x:c r="F115" t="s">
        <x:v>10</x:v>
      </x:c>
      <x:c r="G115" t="s">
        <x:v>305</x:v>
      </x:c>
      <x:c r="H115" t="s">
        <x:v>306</x:v>
      </x:c>
      <x:c r="I115" s="17" t="n">
        <x:v>16</x:v>
      </x:c>
      <x:c r="J115" s="17" t="n">
        <x:v>12</x:v>
      </x:c>
      <x:c r="K115" s="17" t="n">
        <x:v>9</x:v>
      </x:c>
      <x:c r="L115" t="str">
        <x:v>I</x:v>
      </x:c>
      <x:c r="M115" t="str">
        <x:v>KS</x:v>
      </x:c>
      <x:c r="N115" t="str">
        <x:v>LAWRENCE</x:v>
      </x:c>
      <x:c r="O115" t="str">
        <x:v>NJ</x:v>
      </x:c>
      <x:c r="P115" t="str">
        <x:v>NEW BRUNSWICK</x:v>
      </x:c>
      <x:c r="Q115" t="str">
        <x:v>已匹配</x:v>
      </x:c>
      <x:c r="R115" t="n">
        <x:v>135</x:v>
      </x:c>
    </x:row>
    <x:row r="116" ht="18">
      <x:c r="A116" s="12" t="s">
        <x:v>307</x:v>
      </x:c>
      <x:c r="B116" s="3">
        <x:v>19.12</x:v>
      </x:c>
      <x:c r="C116" s="5">
        <x:v>89.584000000000003</x:v>
      </x:c>
      <x:c r="D116" s="5">
        <x:f t="shared" si="1"/>
        <x:v>70.463999999999999</x:v>
      </x:c>
      <x:c r="F116" t="s">
        <x:v>91</x:v>
      </x:c>
      <x:c r="I116" s="17"/>
      <x:c r="J116" s="17"/>
      <x:c r="K116" s="17"/>
      <x:c r="L116"/>
      <x:c r="M116"/>
      <x:c r="N116"/>
      <x:c r="O116"/>
      <x:c r="P116"/>
      <x:c r="Q116" t="str">
        <x:v>未匹配</x:v>
      </x:c>
      <x:c r="R116"/>
    </x:row>
    <x:row r="117" ht="18">
      <x:c r="A117" s="12" t="s">
        <x:v>308</x:v>
      </x:c>
      <x:c r="B117" s="3">
        <x:v>83.03</x:v>
      </x:c>
      <x:c r="C117" s="5">
        <x:v>91.003</x:v>
      </x:c>
      <x:c r="D117" s="5">
        <x:f t="shared" si="1"/>
        <x:v>7.972999999999999</x:v>
      </x:c>
      <x:c r="E117" t="s">
        <x:v>309</x:v>
      </x:c>
      <x:c r="F117" t="s">
        <x:v>10</x:v>
      </x:c>
      <x:c r="G117" t="s">
        <x:v>310</x:v>
      </x:c>
      <x:c r="H117" t="s">
        <x:v>311</x:v>
      </x:c>
      <x:c r="I117" s="17"/>
      <x:c r="J117" s="17"/>
      <x:c r="K117" s="17"/>
      <x:c r="L117"/>
      <x:c r="M117"/>
      <x:c r="N117"/>
      <x:c r="O117"/>
      <x:c r="P117"/>
      <x:c r="Q117" t="str">
        <x:v>未匹配</x:v>
      </x:c>
      <x:c r="R117"/>
    </x:row>
    <x:row r="118" ht="18">
      <x:c r="A118" s="12" t="s">
        <x:v>312</x:v>
      </x:c>
      <x:c r="B118" s="3">
        <x:v>19.12</x:v>
      </x:c>
      <x:c r="C118" s="5">
        <x:v>22.780999999999999</x:v>
      </x:c>
      <x:c r="D118" s="5">
        <x:f t="shared" si="1"/>
        <x:v>3.6609999999999978</x:v>
      </x:c>
      <x:c r="E118" t="s">
        <x:v>313</x:v>
      </x:c>
      <x:c r="F118" t="s">
        <x:v>10</x:v>
      </x:c>
      <x:c r="G118" t="s">
        <x:v>314</x:v>
      </x:c>
      <x:c r="H118" t="s">
        <x:v>315</x:v>
      </x:c>
      <x:c r="I118" s="17"/>
      <x:c r="J118" s="17"/>
      <x:c r="K118" s="17"/>
      <x:c r="L118"/>
      <x:c r="M118"/>
      <x:c r="N118"/>
      <x:c r="O118"/>
      <x:c r="P118"/>
      <x:c r="Q118" t="str">
        <x:v>未匹配</x:v>
      </x:c>
      <x:c r="R118"/>
    </x:row>
    <x:row r="119" ht="18">
      <x:c r="A119" s="12" t="s">
        <x:v>316</x:v>
      </x:c>
      <x:c r="B119" s="3">
        <x:v>42.01</x:v>
      </x:c>
      <x:c r="C119" s="5">
        <x:v>84.381</x:v>
      </x:c>
      <x:c r="D119" s="5">
        <x:f t="shared" si="1"/>
        <x:v>42.371000000000002</x:v>
      </x:c>
      <x:c r="E119" t="s">
        <x:v>317</x:v>
      </x:c>
      <x:c r="F119" t="s">
        <x:v>10</x:v>
      </x:c>
      <x:c r="G119" t="s">
        <x:v>318</x:v>
      </x:c>
      <x:c r="H119" t="s">
        <x:v>319</x:v>
      </x:c>
      <x:c r="I119" s="17"/>
      <x:c r="J119" s="17"/>
      <x:c r="K119" s="17"/>
      <x:c r="L119"/>
      <x:c r="M119"/>
      <x:c r="N119"/>
      <x:c r="O119"/>
      <x:c r="P119"/>
      <x:c r="Q119" t="str">
        <x:v>未匹配</x:v>
      </x:c>
      <x:c r="R119"/>
    </x:row>
    <x:row r="120" ht="18">
      <x:c r="A120" s="12" t="s">
        <x:v>320</x:v>
      </x:c>
      <x:c r="B120" s="3">
        <x:v>72.099999999999994</x:v>
      </x:c>
      <x:c r="C120" s="5">
        <x:v>75.349999999999994</x:v>
      </x:c>
      <x:c r="D120" s="5">
        <x:f t="shared" si="1"/>
        <x:v>3.25</x:v>
      </x:c>
      <x:c r="E120" t="s">
        <x:v>35</x:v>
      </x:c>
      <x:c r="F120" t="s">
        <x:v>10</x:v>
      </x:c>
      <x:c r="G120" t="s">
        <x:v>321</x:v>
      </x:c>
      <x:c r="H120" t="s">
        <x:v>322</x:v>
      </x:c>
      <x:c r="I120" s="17"/>
      <x:c r="J120" s="17"/>
      <x:c r="K120" s="17"/>
      <x:c r="L120"/>
      <x:c r="M120"/>
      <x:c r="N120"/>
      <x:c r="O120"/>
      <x:c r="P120"/>
      <x:c r="Q120" t="str">
        <x:v>未匹配</x:v>
      </x:c>
      <x:c r="R120"/>
    </x:row>
    <x:row r="121" ht="18">
      <x:c r="A121" s="12" t="s">
        <x:v>323</x:v>
      </x:c>
      <x:c r="B121" s="3">
        <x:v>42.02</x:v>
      </x:c>
      <x:c r="C121" s="5">
        <x:v>84.403000000000006</x:v>
      </x:c>
      <x:c r="D121" s="5">
        <x:f t="shared" si="1"/>
        <x:v>42.383000000000003</x:v>
      </x:c>
      <x:c r="E121" t="s">
        <x:v>317</x:v>
      </x:c>
      <x:c r="F121" t="s">
        <x:v>10</x:v>
      </x:c>
      <x:c r="G121" t="s">
        <x:v>324</x:v>
      </x:c>
      <x:c r="H121" t="s">
        <x:v>325</x:v>
      </x:c>
      <x:c r="I121" s="17"/>
      <x:c r="J121" s="17"/>
      <x:c r="K121" s="17"/>
      <x:c r="L121"/>
      <x:c r="M121"/>
      <x:c r="N121"/>
      <x:c r="O121"/>
      <x:c r="P121"/>
      <x:c r="Q121" t="str">
        <x:v>未匹配</x:v>
      </x:c>
      <x:c r="R121"/>
    </x:row>
    <x:row r="122" ht="18">
      <x:c r="A122" s="12" t="s">
        <x:v>326</x:v>
      </x:c>
      <x:c r="B122" s="3">
        <x:v>75.05</x:v>
      </x:c>
      <x:c r="C122" s="5">
        <x:v>81.674999999999997</x:v>
      </x:c>
      <x:c r="D122" s="5">
        <x:f t="shared" si="1"/>
        <x:v>6.625</x:v>
      </x:c>
      <x:c r="E122" t="s">
        <x:v>327</x:v>
      </x:c>
      <x:c r="F122" t="s">
        <x:v>10</x:v>
      </x:c>
      <x:c r="G122" t="s">
        <x:v>328</x:v>
      </x:c>
      <x:c r="H122" t="s">
        <x:v>329</x:v>
      </x:c>
      <x:c r="I122" s="17"/>
      <x:c r="J122" s="17"/>
      <x:c r="K122" s="17"/>
      <x:c r="L122"/>
      <x:c r="M122"/>
      <x:c r="N122"/>
      <x:c r="O122"/>
      <x:c r="P122"/>
      <x:c r="Q122" t="str">
        <x:v>未匹配</x:v>
      </x:c>
      <x:c r="R122"/>
    </x:row>
    <x:row r="123" ht="18">
      <x:c r="A123" s="12" t="s">
        <x:v>330</x:v>
      </x:c>
      <x:c r="B123" s="3">
        <x:v>70.66</x:v>
      </x:c>
      <x:c r="C123" s="5">
        <x:v>92.444000000000003</x:v>
      </x:c>
      <x:c r="D123" s="5">
        <x:f t="shared" si="1"/>
        <x:v>21.784000000000006</x:v>
      </x:c>
      <x:c r="E123" t="s">
        <x:v>240</x:v>
      </x:c>
      <x:c r="F123" t="s">
        <x:v>10</x:v>
      </x:c>
      <x:c r="G123" t="s">
        <x:v>331</x:v>
      </x:c>
      <x:c r="H123" t="s">
        <x:v>332</x:v>
      </x:c>
      <x:c r="I123" s="17"/>
      <x:c r="J123" s="17"/>
      <x:c r="K123" s="17"/>
      <x:c r="L123"/>
      <x:c r="M123"/>
      <x:c r="N123"/>
      <x:c r="O123"/>
      <x:c r="P123"/>
      <x:c r="Q123" t="str">
        <x:v>未匹配</x:v>
      </x:c>
      <x:c r="R123"/>
    </x:row>
    <x:row r="124" ht="18">
      <x:c r="A124" s="12" t="s">
        <x:v>333</x:v>
      </x:c>
      <x:c r="B124" s="3">
        <x:v>24.54</x:v>
      </x:c>
      <x:c r="C124" s="5">
        <x:v>27.620999999999999</x:v>
      </x:c>
      <x:c r="D124" s="5">
        <x:f t="shared" si="1"/>
        <x:v>3.0809999999999995</x:v>
      </x:c>
      <x:c r="E124" t="s">
        <x:v>14</x:v>
      </x:c>
      <x:c r="F124" t="s">
        <x:v>10</x:v>
      </x:c>
      <x:c r="G124" t="s">
        <x:v>334</x:v>
      </x:c>
      <x:c r="H124" t="s">
        <x:v>335</x:v>
      </x:c>
      <x:c r="I124" s="17"/>
      <x:c r="J124" s="17"/>
      <x:c r="K124" s="17"/>
      <x:c r="L124"/>
      <x:c r="M124"/>
      <x:c r="N124"/>
      <x:c r="O124"/>
      <x:c r="P124"/>
      <x:c r="Q124" t="str">
        <x:v>未匹配</x:v>
      </x:c>
      <x:c r="R124"/>
    </x:row>
    <x:row r="125" ht="18">
      <x:c r="A125" s="12" t="s">
        <x:v>336</x:v>
      </x:c>
      <x:c r="B125" s="3">
        <x:v>72.08</x:v>
      </x:c>
      <x:c r="C125" s="5">
        <x:v>79.188999999999993</x:v>
      </x:c>
      <x:c r="D125" s="5">
        <x:f t="shared" si="1"/>
        <x:v>7.1089999999999947</x:v>
      </x:c>
      <x:c r="E125" t="s">
        <x:v>180</x:v>
      </x:c>
      <x:c r="F125" t="s">
        <x:v>10</x:v>
      </x:c>
      <x:c r="G125" t="s">
        <x:v>337</x:v>
      </x:c>
      <x:c r="H125" t="s">
        <x:v>338</x:v>
      </x:c>
      <x:c r="I125" s="17"/>
      <x:c r="J125" s="17"/>
      <x:c r="K125" s="17"/>
      <x:c r="L125"/>
      <x:c r="M125"/>
      <x:c r="N125"/>
      <x:c r="O125"/>
      <x:c r="P125"/>
      <x:c r="Q125" t="str">
        <x:v>未匹配</x:v>
      </x:c>
      <x:c r="R125"/>
    </x:row>
    <x:row r="126" ht="18">
      <x:c r="A126" s="12" t="s">
        <x:v>339</x:v>
      </x:c>
      <x:c r="B126" s="3">
        <x:v>26.36</x:v>
      </x:c>
      <x:c r="C126" s="5">
        <x:v>30.524999999999999</x:v>
      </x:c>
      <x:c r="D126" s="5">
        <x:f t="shared" si="1"/>
        <x:v>4.1649999999999991</x:v>
      </x:c>
      <x:c r="E126" t="s">
        <x:v>25</x:v>
      </x:c>
      <x:c r="F126" t="s">
        <x:v>10</x:v>
      </x:c>
      <x:c r="G126" t="s">
        <x:v>340</x:v>
      </x:c>
      <x:c r="H126" t="s">
        <x:v>341</x:v>
      </x:c>
      <x:c r="I126" s="17"/>
      <x:c r="J126" s="17"/>
      <x:c r="K126" s="17"/>
      <x:c r="L126"/>
      <x:c r="M126"/>
      <x:c r="N126"/>
      <x:c r="O126"/>
      <x:c r="P126"/>
      <x:c r="Q126" t="str">
        <x:v>未匹配</x:v>
      </x:c>
      <x:c r="R126"/>
    </x:row>
    <x:row r="127" ht="18">
      <x:c r="A127" s="12" t="s">
        <x:v>342</x:v>
      </x:c>
      <x:c r="B127" s="3">
        <x:v>20.7</x:v>
      </x:c>
      <x:c r="C127" s="5">
        <x:v>23.847999999999999</x:v>
      </x:c>
      <x:c r="D127" s="5">
        <x:f t="shared" si="1"/>
        <x:v>3.1479999999999997</x:v>
      </x:c>
      <x:c r="E127" t="s">
        <x:v>73</x:v>
      </x:c>
      <x:c r="F127" t="s">
        <x:v>10</x:v>
      </x:c>
      <x:c r="G127" t="s">
        <x:v>343</x:v>
      </x:c>
      <x:c r="H127" t="s">
        <x:v>344</x:v>
      </x:c>
      <x:c r="I127" s="17"/>
      <x:c r="J127" s="17"/>
      <x:c r="K127" s="17"/>
      <x:c r="L127"/>
      <x:c r="M127"/>
      <x:c r="N127"/>
      <x:c r="O127"/>
      <x:c r="P127"/>
      <x:c r="Q127" t="str">
        <x:v>未匹配</x:v>
      </x:c>
      <x:c r="R127"/>
    </x:row>
    <x:row r="128" ht="18">
      <x:c r="A128" s="12" t="s">
        <x:v>345</x:v>
      </x:c>
      <x:c r="B128" s="3">
        <x:v>20.83</x:v>
      </x:c>
      <x:c r="C128" s="5">
        <x:v>25.486999999999998</x:v>
      </x:c>
      <x:c r="D128" s="5">
        <x:f t="shared" si="1"/>
        <x:v>4.657</x:v>
      </x:c>
      <x:c r="E128" t="s">
        <x:v>25</x:v>
      </x:c>
      <x:c r="F128" t="s">
        <x:v>10</x:v>
      </x:c>
      <x:c r="G128" t="s">
        <x:v>346</x:v>
      </x:c>
      <x:c r="H128" t="s">
        <x:v>347</x:v>
      </x:c>
      <x:c r="I128" s="17"/>
      <x:c r="J128" s="17"/>
      <x:c r="K128" s="17"/>
      <x:c r="L128"/>
      <x:c r="M128"/>
      <x:c r="N128"/>
      <x:c r="O128"/>
      <x:c r="P128"/>
      <x:c r="Q128" t="str">
        <x:v>未匹配</x:v>
      </x:c>
      <x:c r="R128"/>
    </x:row>
    <x:row r="129" ht="18">
      <x:c r="A129" s="12" t="s">
        <x:v>348</x:v>
      </x:c>
      <x:c r="B129" s="3">
        <x:v>70.53</x:v>
      </x:c>
      <x:c r="C129" s="5">
        <x:v>80.058000000000007</x:v>
      </x:c>
      <x:c r="D129" s="5">
        <x:f t="shared" si="1"/>
        <x:v>9.5280000000000058</x:v>
      </x:c>
      <x:c r="E129" t="s">
        <x:v>349</x:v>
      </x:c>
      <x:c r="F129" t="s">
        <x:v>10</x:v>
      </x:c>
      <x:c r="G129" t="s">
        <x:v>350</x:v>
      </x:c>
      <x:c r="H129" t="s">
        <x:v>351</x:v>
      </x:c>
      <x:c r="I129" s="17"/>
      <x:c r="J129" s="17"/>
      <x:c r="K129" s="17"/>
      <x:c r="L129"/>
      <x:c r="M129"/>
      <x:c r="N129"/>
      <x:c r="O129"/>
      <x:c r="P129"/>
      <x:c r="Q129" t="str">
        <x:v>未匹配</x:v>
      </x:c>
      <x:c r="R129"/>
    </x:row>
    <x:row r="130" ht="18">
      <x:c r="A130" s="12" t="s">
        <x:v>352</x:v>
      </x:c>
      <x:c r="B130" s="3">
        <x:v>55.87</x:v>
      </x:c>
      <x:c r="C130" s="5">
        <x:v>99.539000000000001</x:v>
      </x:c>
      <x:c r="D130" s="5" t="n">
        <x:f t="shared" ref="D130:D193" si="2">C130-B130</x:f>
        <x:v>43.669000000000004</x:v>
      </x:c>
      <x:c r="E130" t="s">
        <x:v>353</x:v>
      </x:c>
      <x:c r="F130" t="s">
        <x:v>10</x:v>
      </x:c>
      <x:c r="G130" t="s">
        <x:v>354</x:v>
      </x:c>
      <x:c r="H130" t="s">
        <x:v>355</x:v>
      </x:c>
      <x:c r="I130" s="17"/>
      <x:c r="J130" s="17"/>
      <x:c r="K130" s="17"/>
      <x:c r="L130"/>
      <x:c r="M130"/>
      <x:c r="N130"/>
      <x:c r="O130"/>
      <x:c r="P130"/>
      <x:c r="Q130" t="str">
        <x:v>未匹配</x:v>
      </x:c>
      <x:c r="R130"/>
    </x:row>
    <x:row r="131" ht="18">
      <x:c r="A131" s="12" t="s">
        <x:v>356</x:v>
      </x:c>
      <x:c r="B131" s="3">
        <x:v>45.21</x:v>
      </x:c>
      <x:c r="C131" s="5">
        <x:v>49.302</x:v>
      </x:c>
      <x:c r="D131" s="5">
        <x:f t="shared" si="2"/>
        <x:v>4.0919999999999987</x:v>
      </x:c>
      <x:c r="E131" t="s">
        <x:v>21</x:v>
      </x:c>
      <x:c r="F131" t="s">
        <x:v>10</x:v>
      </x:c>
      <x:c r="G131" t="s">
        <x:v>357</x:v>
      </x:c>
      <x:c r="H131" t="s">
        <x:v>358</x:v>
      </x:c>
      <x:c r="I131" s="17"/>
      <x:c r="J131" s="17"/>
      <x:c r="K131" s="17"/>
      <x:c r="L131"/>
      <x:c r="M131"/>
      <x:c r="N131"/>
      <x:c r="O131"/>
      <x:c r="P131"/>
      <x:c r="Q131" t="str">
        <x:v>未匹配</x:v>
      </x:c>
      <x:c r="R131"/>
    </x:row>
    <x:row r="132" ht="18">
      <x:c r="A132" s="12" t="s">
        <x:v>359</x:v>
      </x:c>
      <x:c r="B132" s="3">
        <x:v>45.21</x:v>
      </x:c>
      <x:c r="C132" s="5">
        <x:v>49.511000000000003</x:v>
      </x:c>
      <x:c r="D132" s="5">
        <x:f t="shared" si="2"/>
        <x:v>4.3010000000000019</x:v>
      </x:c>
      <x:c r="E132" t="s">
        <x:v>21</x:v>
      </x:c>
      <x:c r="F132" t="s">
        <x:v>10</x:v>
      </x:c>
      <x:c r="G132" t="s">
        <x:v>360</x:v>
      </x:c>
      <x:c r="H132" t="s">
        <x:v>361</x:v>
      </x:c>
      <x:c r="I132" s="17"/>
      <x:c r="J132" s="17"/>
      <x:c r="K132" s="17"/>
      <x:c r="L132"/>
      <x:c r="M132"/>
      <x:c r="N132"/>
      <x:c r="O132"/>
      <x:c r="P132"/>
      <x:c r="Q132" t="str">
        <x:v>未匹配</x:v>
      </x:c>
      <x:c r="R132"/>
    </x:row>
    <x:row r="133" ht="18">
      <x:c r="A133" s="12" t="s">
        <x:v>362</x:v>
      </x:c>
      <x:c r="B133" s="3">
        <x:v>27.41</x:v>
      </x:c>
      <x:c r="C133" s="5">
        <x:v>30.404</x:v>
      </x:c>
      <x:c r="D133" s="5">
        <x:f t="shared" si="2"/>
        <x:v>2.9939999999999998</x:v>
      </x:c>
      <x:c r="E133" t="s">
        <x:v>25</x:v>
      </x:c>
      <x:c r="F133" t="s">
        <x:v>10</x:v>
      </x:c>
      <x:c r="G133" t="s">
        <x:v>363</x:v>
      </x:c>
      <x:c r="H133" t="s">
        <x:v>364</x:v>
      </x:c>
      <x:c r="I133" s="17"/>
      <x:c r="J133" s="17"/>
      <x:c r="K133" s="17"/>
      <x:c r="L133"/>
      <x:c r="M133"/>
      <x:c r="N133"/>
      <x:c r="O133"/>
      <x:c r="P133"/>
      <x:c r="Q133" t="str">
        <x:v>未匹配</x:v>
      </x:c>
      <x:c r="R133"/>
    </x:row>
    <x:row r="134" ht="18">
      <x:c r="A134" s="12" t="s">
        <x:v>365</x:v>
      </x:c>
      <x:c r="B134" s="3">
        <x:v>32.4</x:v>
      </x:c>
      <x:c r="C134" s="5">
        <x:v>38.302</x:v>
      </x:c>
      <x:c r="D134" s="5">
        <x:f t="shared" si="2"/>
        <x:v>5.902000000000001</x:v>
      </x:c>
      <x:c r="E134" t="s">
        <x:v>25</x:v>
      </x:c>
      <x:c r="F134" t="s">
        <x:v>10</x:v>
      </x:c>
      <x:c r="G134" t="s">
        <x:v>366</x:v>
      </x:c>
      <x:c r="H134" t="s">
        <x:v>367</x:v>
      </x:c>
      <x:c r="I134" s="17"/>
      <x:c r="J134" s="17"/>
      <x:c r="K134" s="17"/>
      <x:c r="L134"/>
      <x:c r="M134"/>
      <x:c r="N134"/>
      <x:c r="O134"/>
      <x:c r="P134"/>
      <x:c r="Q134" t="str">
        <x:v>未匹配</x:v>
      </x:c>
      <x:c r="R134"/>
    </x:row>
    <x:row r="135" ht="18">
      <x:c r="A135" s="12" t="s">
        <x:v>368</x:v>
      </x:c>
      <x:c r="B135" s="3">
        <x:v>110.17</x:v>
      </x:c>
      <x:c r="C135" s="5">
        <x:v>112.574</x:v>
      </x:c>
      <x:c r="D135" s="5">
        <x:f t="shared" si="2"/>
        <x:v>2.4039999999999964</x:v>
      </x:c>
      <x:c r="E135" t="s">
        <x:v>309</x:v>
      </x:c>
      <x:c r="F135" t="s">
        <x:v>10</x:v>
      </x:c>
      <x:c r="G135" t="s">
        <x:v>369</x:v>
      </x:c>
      <x:c r="H135" t="s">
        <x:v>370</x:v>
      </x:c>
      <x:c r="I135" s="17"/>
      <x:c r="J135" s="17"/>
      <x:c r="K135" s="17"/>
      <x:c r="L135"/>
      <x:c r="M135"/>
      <x:c r="N135"/>
      <x:c r="O135"/>
      <x:c r="P135"/>
      <x:c r="Q135" t="str">
        <x:v>未匹配</x:v>
      </x:c>
      <x:c r="R135"/>
    </x:row>
    <x:row r="136" ht="18">
      <x:c r="A136" s="12" t="s">
        <x:v>371</x:v>
      </x:c>
      <x:c r="B136" s="3">
        <x:v>91.33</x:v>
      </x:c>
      <x:c r="C136" s="5">
        <x:v>103.675</x:v>
      </x:c>
      <x:c r="D136" s="5">
        <x:f t="shared" si="2"/>
        <x:v>12.344999999999999</x:v>
      </x:c>
      <x:c r="E136" t="s">
        <x:v>87</x:v>
      </x:c>
      <x:c r="F136" t="s">
        <x:v>10</x:v>
      </x:c>
      <x:c r="G136" t="s">
        <x:v>372</x:v>
      </x:c>
      <x:c r="H136" t="s">
        <x:v>372</x:v>
      </x:c>
      <x:c r="I136" s="17"/>
      <x:c r="J136" s="17"/>
      <x:c r="K136" s="17"/>
      <x:c r="L136"/>
      <x:c r="M136"/>
      <x:c r="N136"/>
      <x:c r="O136"/>
      <x:c r="P136"/>
      <x:c r="Q136" t="str">
        <x:v>未匹配</x:v>
      </x:c>
      <x:c r="R136"/>
    </x:row>
    <x:row r="137" ht="18">
      <x:c r="A137" s="12" t="s">
        <x:v>373</x:v>
      </x:c>
      <x:c r="B137" s="3">
        <x:v>21.81</x:v>
      </x:c>
      <x:c r="C137" s="5">
        <x:v>24.233000000000001</x:v>
      </x:c>
      <x:c r="D137" s="5">
        <x:f t="shared" si="2"/>
        <x:v>2.4230000000000018</x:v>
      </x:c>
      <x:c r="E137" t="s">
        <x:v>25</x:v>
      </x:c>
      <x:c r="F137" t="s">
        <x:v>10</x:v>
      </x:c>
      <x:c r="G137" t="s">
        <x:v>374</x:v>
      </x:c>
      <x:c r="H137" t="s">
        <x:v>375</x:v>
      </x:c>
      <x:c r="I137" s="17"/>
      <x:c r="J137" s="17"/>
      <x:c r="K137" s="17"/>
      <x:c r="L137"/>
      <x:c r="M137"/>
      <x:c r="N137"/>
      <x:c r="O137"/>
      <x:c r="P137"/>
      <x:c r="Q137" t="str">
        <x:v>未匹配</x:v>
      </x:c>
      <x:c r="R137"/>
    </x:row>
    <x:row r="138" ht="18">
      <x:c r="A138" s="12" t="s">
        <x:v>376</x:v>
      </x:c>
      <x:c r="B138" s="3">
        <x:v>25.39</x:v>
      </x:c>
      <x:c r="C138" s="5">
        <x:v>30.404</x:v>
      </x:c>
      <x:c r="D138" s="5">
        <x:f t="shared" si="2"/>
        <x:v>5.0139999999999993</x:v>
      </x:c>
      <x:c r="E138" t="s">
        <x:v>25</x:v>
      </x:c>
      <x:c r="F138" t="s">
        <x:v>10</x:v>
      </x:c>
      <x:c r="G138" t="s">
        <x:v>377</x:v>
      </x:c>
      <x:c r="H138" t="s">
        <x:v>378</x:v>
      </x:c>
      <x:c r="I138" s="17"/>
      <x:c r="J138" s="17"/>
      <x:c r="K138" s="17"/>
      <x:c r="L138"/>
      <x:c r="M138"/>
      <x:c r="N138"/>
      <x:c r="O138"/>
      <x:c r="P138"/>
      <x:c r="Q138" t="str">
        <x:v>未匹配</x:v>
      </x:c>
      <x:c r="R138"/>
    </x:row>
    <x:row r="139" ht="18">
      <x:c r="A139" s="12" t="s">
        <x:v>379</x:v>
      </x:c>
      <x:c r="B139" s="3">
        <x:v>55.45</x:v>
      </x:c>
      <x:c r="C139" s="5">
        <x:v>96.602000000000004</x:v>
      </x:c>
      <x:c r="D139" s="5">
        <x:f t="shared" si="2"/>
        <x:v>41.152000000000001</x:v>
      </x:c>
      <x:c r="E139" t="s">
        <x:v>147</x:v>
      </x:c>
      <x:c r="F139" t="s">
        <x:v>10</x:v>
      </x:c>
      <x:c r="G139" t="s">
        <x:v>380</x:v>
      </x:c>
      <x:c r="H139" t="s">
        <x:v>381</x:v>
      </x:c>
      <x:c r="I139" s="17"/>
      <x:c r="J139" s="17"/>
      <x:c r="K139" s="17"/>
      <x:c r="L139"/>
      <x:c r="M139"/>
      <x:c r="N139"/>
      <x:c r="O139"/>
      <x:c r="P139"/>
      <x:c r="Q139" t="str">
        <x:v>未匹配</x:v>
      </x:c>
      <x:c r="R139"/>
    </x:row>
    <x:row r="140" ht="18">
      <x:c r="A140" s="12" t="s">
        <x:v>382</x:v>
      </x:c>
      <x:c r="B140" s="3">
        <x:v>69.59</x:v>
      </x:c>
      <x:c r="C140" s="5">
        <x:v>71.918000000000006</x:v>
      </x:c>
      <x:c r="D140" s="5">
        <x:f t="shared" si="2"/>
        <x:v>2.328000000000003</x:v>
      </x:c>
      <x:c r="E140" t="s">
        <x:v>180</x:v>
      </x:c>
      <x:c r="F140" t="s">
        <x:v>10</x:v>
      </x:c>
      <x:c r="G140" t="s">
        <x:v>383</x:v>
      </x:c>
      <x:c r="H140" t="s">
        <x:v>384</x:v>
      </x:c>
      <x:c r="I140" s="17"/>
      <x:c r="J140" s="17"/>
      <x:c r="K140" s="17"/>
      <x:c r="L140"/>
      <x:c r="M140"/>
      <x:c r="N140"/>
      <x:c r="O140"/>
      <x:c r="P140"/>
      <x:c r="Q140" t="str">
        <x:v>未匹配</x:v>
      </x:c>
      <x:c r="R140"/>
    </x:row>
    <x:row r="141" ht="18">
      <x:c r="A141" s="12" t="s">
        <x:v>385</x:v>
      </x:c>
      <x:c r="B141" s="3">
        <x:v>19.46</x:v>
      </x:c>
      <x:c r="C141" s="5">
        <x:v>28.864000000000001</x:v>
      </x:c>
      <x:c r="D141" s="5">
        <x:f t="shared" si="2"/>
        <x:v>9.4039999999999999</x:v>
      </x:c>
      <x:c r="E141" t="s">
        <x:v>21</x:v>
      </x:c>
      <x:c r="F141" t="s">
        <x:v>10</x:v>
      </x:c>
      <x:c r="G141" t="s">
        <x:v>386</x:v>
      </x:c>
      <x:c r="H141" t="s">
        <x:v>387</x:v>
      </x:c>
      <x:c r="I141" s="17"/>
      <x:c r="J141" s="17"/>
      <x:c r="K141" s="17"/>
      <x:c r="L141"/>
      <x:c r="M141"/>
      <x:c r="N141"/>
      <x:c r="O141"/>
      <x:c r="P141"/>
      <x:c r="Q141" t="str">
        <x:v>未匹配</x:v>
      </x:c>
      <x:c r="R141"/>
    </x:row>
    <x:row r="142" ht="18">
      <x:c r="A142" s="12" t="s">
        <x:v>388</x:v>
      </x:c>
      <x:c r="B142" s="3">
        <x:v>83.03</x:v>
      </x:c>
      <x:c r="C142" s="5">
        <x:v>90.64</x:v>
      </x:c>
      <x:c r="D142" s="5">
        <x:f t="shared" si="2"/>
        <x:v>7.6099999999999994</x:v>
      </x:c>
      <x:c r="E142" t="s">
        <x:v>349</x:v>
      </x:c>
      <x:c r="F142" t="s">
        <x:v>10</x:v>
      </x:c>
      <x:c r="G142" t="s">
        <x:v>389</x:v>
      </x:c>
      <x:c r="H142" t="s">
        <x:v>390</x:v>
      </x:c>
      <x:c r="I142" s="17"/>
      <x:c r="J142" s="17"/>
      <x:c r="K142" s="17"/>
      <x:c r="L142"/>
      <x:c r="M142"/>
      <x:c r="N142"/>
      <x:c r="O142"/>
      <x:c r="P142"/>
      <x:c r="Q142" t="str">
        <x:v>未匹配</x:v>
      </x:c>
      <x:c r="R142"/>
    </x:row>
    <x:row r="143" ht="18">
      <x:c r="A143" s="12" t="s">
        <x:v>391</x:v>
      </x:c>
      <x:c r="B143" s="3">
        <x:v>29.38</x:v>
      </x:c>
      <x:c r="C143" s="5">
        <x:v>32.548999999999999</x:v>
      </x:c>
      <x:c r="D143" s="5">
        <x:f t="shared" si="2"/>
        <x:v>3.1690000000000005</x:v>
      </x:c>
      <x:c r="F143" t="s">
        <x:v>91</x:v>
      </x:c>
      <x:c r="I143" s="17"/>
      <x:c r="J143" s="17"/>
      <x:c r="K143" s="17"/>
      <x:c r="L143"/>
      <x:c r="M143"/>
      <x:c r="N143"/>
      <x:c r="O143"/>
      <x:c r="P143"/>
      <x:c r="Q143" t="str">
        <x:v>未匹配</x:v>
      </x:c>
      <x:c r="R143"/>
    </x:row>
    <x:row r="144" ht="18">
      <x:c r="A144" s="12" t="s">
        <x:v>392</x:v>
      </x:c>
      <x:c r="B144" s="3">
        <x:v>17.399999999999999</x:v>
      </x:c>
      <x:c r="C144" s="5">
        <x:v>19.404</x:v>
      </x:c>
      <x:c r="D144" s="5">
        <x:f t="shared" si="2"/>
        <x:v>2.0040000000000013</x:v>
      </x:c>
      <x:c r="E144" t="s">
        <x:v>73</x:v>
      </x:c>
      <x:c r="F144" t="s">
        <x:v>10</x:v>
      </x:c>
      <x:c r="G144" t="s">
        <x:v>393</x:v>
      </x:c>
      <x:c r="H144" t="s">
        <x:v>394</x:v>
      </x:c>
      <x:c r="I144" s="17"/>
      <x:c r="J144" s="17"/>
      <x:c r="K144" s="17"/>
      <x:c r="L144"/>
      <x:c r="M144"/>
      <x:c r="N144"/>
      <x:c r="O144"/>
      <x:c r="P144"/>
      <x:c r="Q144" t="str">
        <x:v>未匹配</x:v>
      </x:c>
      <x:c r="R144"/>
    </x:row>
    <x:row r="145" ht="18">
      <x:c r="A145" s="12" t="s">
        <x:v>395</x:v>
      </x:c>
      <x:c r="B145" s="3">
        <x:v>23.15</x:v>
      </x:c>
      <x:c r="C145" s="5">
        <x:v>52.14</x:v>
      </x:c>
      <x:c r="D145" s="5">
        <x:f t="shared" si="2"/>
        <x:v>28.990000000000002</x:v>
      </x:c>
      <x:c r="E145" t="s">
        <x:v>25</x:v>
      </x:c>
      <x:c r="F145" t="s">
        <x:v>10</x:v>
      </x:c>
      <x:c r="G145" t="s">
        <x:v>396</x:v>
      </x:c>
      <x:c r="H145" t="s">
        <x:v>397</x:v>
      </x:c>
      <x:c r="I145" s="17"/>
      <x:c r="J145" s="17"/>
      <x:c r="K145" s="17"/>
      <x:c r="L145"/>
      <x:c r="M145"/>
      <x:c r="N145"/>
      <x:c r="O145"/>
      <x:c r="P145"/>
      <x:c r="Q145" t="str">
        <x:v>未匹配</x:v>
      </x:c>
      <x:c r="R145"/>
    </x:row>
    <x:row r="146" ht="18">
      <x:c r="A146" s="12" t="s">
        <x:v>398</x:v>
      </x:c>
      <x:c r="B146" s="3">
        <x:v>36.65</x:v>
      </x:c>
      <x:c r="C146" s="5">
        <x:v>39.302999999999997</x:v>
      </x:c>
      <x:c r="D146" s="5">
        <x:f t="shared" si="2"/>
        <x:v>2.6529999999999987</x:v>
      </x:c>
      <x:c r="E146" t="s">
        <x:v>21</x:v>
      </x:c>
      <x:c r="F146" t="s">
        <x:v>10</x:v>
      </x:c>
      <x:c r="G146" t="s">
        <x:v>399</x:v>
      </x:c>
      <x:c r="H146" t="s">
        <x:v>400</x:v>
      </x:c>
      <x:c r="I146" s="17"/>
      <x:c r="J146" s="17"/>
      <x:c r="K146" s="17"/>
      <x:c r="L146"/>
      <x:c r="M146"/>
      <x:c r="N146"/>
      <x:c r="O146"/>
      <x:c r="P146"/>
      <x:c r="Q146" t="str">
        <x:v>未匹配</x:v>
      </x:c>
      <x:c r="R146"/>
    </x:row>
    <x:row r="147" ht="18">
      <x:c r="A147" s="12" t="s">
        <x:v>401</x:v>
      </x:c>
      <x:c r="B147" s="3">
        <x:v>20.32</x:v>
      </x:c>
      <x:c r="C147" s="5">
        <x:v>22.55</x:v>
      </x:c>
      <x:c r="D147" s="5">
        <x:f t="shared" si="2"/>
        <x:v>2.2300000000000004</x:v>
      </x:c>
      <x:c r="E147" t="s">
        <x:v>25</x:v>
      </x:c>
      <x:c r="F147" t="s">
        <x:v>10</x:v>
      </x:c>
      <x:c r="G147" t="s">
        <x:v>402</x:v>
      </x:c>
      <x:c r="H147" t="s">
        <x:v>403</x:v>
      </x:c>
      <x:c r="I147" s="17"/>
      <x:c r="J147" s="17"/>
      <x:c r="K147" s="17"/>
      <x:c r="L147"/>
      <x:c r="M147"/>
      <x:c r="N147"/>
      <x:c r="O147"/>
      <x:c r="P147"/>
      <x:c r="Q147" t="str">
        <x:v>未匹配</x:v>
      </x:c>
      <x:c r="R147"/>
    </x:row>
    <x:row r="148" ht="18">
      <x:c r="A148" s="12" t="s">
        <x:v>404</x:v>
      </x:c>
      <x:c r="B148" s="3">
        <x:v>103.39</x:v>
      </x:c>
      <x:c r="C148" s="5">
        <x:v>117.90900000000001</x:v>
      </x:c>
      <x:c r="D148" s="5">
        <x:f t="shared" si="2"/>
        <x:v>14.519000000000005</x:v>
      </x:c>
      <x:c r="E148" t="s">
        <x:v>87</x:v>
      </x:c>
      <x:c r="F148" t="s">
        <x:v>10</x:v>
      </x:c>
      <x:c r="G148" t="s">
        <x:v>405</x:v>
      </x:c>
      <x:c r="H148" t="s">
        <x:v>406</x:v>
      </x:c>
      <x:c r="I148" s="17"/>
      <x:c r="J148" s="17"/>
      <x:c r="K148" s="17"/>
      <x:c r="L148"/>
      <x:c r="M148"/>
      <x:c r="N148"/>
      <x:c r="O148"/>
      <x:c r="P148"/>
      <x:c r="Q148" t="str">
        <x:v>未匹配</x:v>
      </x:c>
      <x:c r="R148"/>
    </x:row>
    <x:row r="149" ht="18">
      <x:c r="A149" s="12" t="s">
        <x:v>407</x:v>
      </x:c>
      <x:c r="B149" s="3">
        <x:v>65.680000000000007</x:v>
      </x:c>
      <x:c r="C149" s="5">
        <x:v>70.906000000000006</x:v>
      </x:c>
      <x:c r="D149" s="5">
        <x:f t="shared" si="2"/>
        <x:v>5.2259999999999991</x:v>
      </x:c>
      <x:c r="E149" t="s">
        <x:v>35</x:v>
      </x:c>
      <x:c r="F149" t="s">
        <x:v>10</x:v>
      </x:c>
      <x:c r="G149" t="s">
        <x:v>408</x:v>
      </x:c>
      <x:c r="H149" t="s">
        <x:v>409</x:v>
      </x:c>
      <x:c r="I149" s="17" t="n">
        <x:v>20</x:v>
      </x:c>
      <x:c r="J149" s="17" t="n">
        <x:v>16</x:v>
      </x:c>
      <x:c r="K149" s="17" t="n">
        <x:v>16</x:v>
      </x:c>
      <x:c r="L149" t="str">
        <x:v>I</x:v>
      </x:c>
      <x:c r="M149" t="str">
        <x:v>NY</x:v>
      </x:c>
      <x:c r="N149" t="str">
        <x:v>SARATOGA SPRINGS</x:v>
      </x:c>
      <x:c r="O149" t="str">
        <x:v>NJ</x:v>
      </x:c>
      <x:c r="P149" t="str">
        <x:v>NEW BRUNSWICK</x:v>
      </x:c>
      <x:c r="Q149" t="str">
        <x:v>已匹配</x:v>
      </x:c>
      <x:c r="R149" t="n">
        <x:v>563</x:v>
      </x:c>
    </x:row>
    <x:row r="150" ht="18">
      <x:c r="A150" s="12" t="s">
        <x:v>410</x:v>
      </x:c>
      <x:c r="B150" s="3">
        <x:v>19.579999999999998</x:v>
      </x:c>
      <x:c r="C150" s="5">
        <x:v>24.233000000000001</x:v>
      </x:c>
      <x:c r="D150" s="5">
        <x:f t="shared" si="2"/>
        <x:v>4.6530000000000022</x:v>
      </x:c>
      <x:c r="E150" t="s">
        <x:v>14</x:v>
      </x:c>
      <x:c r="F150" t="s">
        <x:v>10</x:v>
      </x:c>
      <x:c r="G150" t="s">
        <x:v>411</x:v>
      </x:c>
      <x:c r="H150" t="s">
        <x:v>412</x:v>
      </x:c>
      <x:c r="I150" s="17"/>
      <x:c r="J150" s="17"/>
      <x:c r="K150" s="17"/>
      <x:c r="L150"/>
      <x:c r="M150"/>
      <x:c r="N150"/>
      <x:c r="O150"/>
      <x:c r="P150"/>
      <x:c r="Q150" t="str">
        <x:v>未匹配</x:v>
      </x:c>
      <x:c r="R150"/>
    </x:row>
    <x:row r="151" ht="18">
      <x:c r="A151" s="12" t="s">
        <x:v>413</x:v>
      </x:c>
      <x:c r="B151" s="3">
        <x:v>29.94</x:v>
      </x:c>
      <x:c r="C151" s="5">
        <x:v>38.302</x:v>
      </x:c>
      <x:c r="D151" s="5">
        <x:f t="shared" si="2"/>
        <x:v>8.3619999999999983</x:v>
      </x:c>
      <x:c r="E151" t="s">
        <x:v>25</x:v>
      </x:c>
      <x:c r="F151" t="s">
        <x:v>10</x:v>
      </x:c>
      <x:c r="G151" t="s">
        <x:v>414</x:v>
      </x:c>
      <x:c r="H151" t="s">
        <x:v>415</x:v>
      </x:c>
      <x:c r="I151" s="17"/>
      <x:c r="J151" s="17"/>
      <x:c r="K151" s="17"/>
      <x:c r="L151"/>
      <x:c r="M151"/>
      <x:c r="N151"/>
      <x:c r="O151"/>
      <x:c r="P151"/>
      <x:c r="Q151" t="str">
        <x:v>未匹配</x:v>
      </x:c>
      <x:c r="R151"/>
    </x:row>
    <x:row r="152" ht="18">
      <x:c r="A152" s="12" t="s">
        <x:v>416</x:v>
      </x:c>
      <x:c r="B152" s="3">
        <x:v>34.6</x:v>
      </x:c>
      <x:c r="C152" s="5">
        <x:v>71.686999999999998</x:v>
      </x:c>
      <x:c r="D152" s="5">
        <x:f t="shared" si="2"/>
        <x:v>37.086999999999996</x:v>
      </x:c>
      <x:c r="E152" t="s">
        <x:v>417</x:v>
      </x:c>
      <x:c r="F152" t="s">
        <x:v>10</x:v>
      </x:c>
      <x:c r="G152" t="s">
        <x:v>418</x:v>
      </x:c>
      <x:c r="H152" t="s">
        <x:v>419</x:v>
      </x:c>
      <x:c r="I152" s="17" t="n">
        <x:v>30</x:v>
      </x:c>
      <x:c r="J152" s="17" t="n">
        <x:v>18</x:v>
      </x:c>
      <x:c r="K152" s="17" t="n">
        <x:v>7</x:v>
      </x:c>
      <x:c r="L152" t="str">
        <x:v>I</x:v>
      </x:c>
      <x:c r="M152" t="str">
        <x:v>NC</x:v>
      </x:c>
      <x:c r="N152" t="str">
        <x:v>DENVER</x:v>
      </x:c>
      <x:c r="O152" t="str">
        <x:v>NJ</x:v>
      </x:c>
      <x:c r="P152" t="str">
        <x:v>NEW BRUNSWICK</x:v>
      </x:c>
      <x:c r="Q152" t="str">
        <x:v>已匹配</x:v>
      </x:c>
      <x:c r="R152" t="n">
        <x:v>545</x:v>
      </x:c>
    </x:row>
    <x:row r="153" ht="18">
      <x:c r="A153" s="12" t="s">
        <x:v>420</x:v>
      </x:c>
      <x:c r="B153" s="3">
        <x:v>29.94</x:v>
      </x:c>
      <x:c r="C153" s="5">
        <x:v>38.148000000000003</x:v>
      </x:c>
      <x:c r="D153" s="5">
        <x:f t="shared" si="2"/>
        <x:v>8.208000000000002</x:v>
      </x:c>
      <x:c r="E153" t="s">
        <x:v>25</x:v>
      </x:c>
      <x:c r="F153" t="s">
        <x:v>10</x:v>
      </x:c>
      <x:c r="G153" t="s">
        <x:v>421</x:v>
      </x:c>
      <x:c r="H153" t="s">
        <x:v>422</x:v>
      </x:c>
      <x:c r="I153" s="17" t="n">
        <x:v>16</x:v>
      </x:c>
      <x:c r="J153" s="17" t="n">
        <x:v>16</x:v>
      </x:c>
      <x:c r="K153" s="17" t="n">
        <x:v>12</x:v>
      </x:c>
      <x:c r="L153" t="str">
        <x:v>I</x:v>
      </x:c>
      <x:c r="M153" t="str">
        <x:v>FL</x:v>
      </x:c>
      <x:c r="N153" t="str">
        <x:v>LEHIGH ACRES</x:v>
      </x:c>
      <x:c r="O153" t="str">
        <x:v>NJ</x:v>
      </x:c>
      <x:c r="P153" t="str">
        <x:v>NEW BRUNSWICK</x:v>
      </x:c>
      <x:c r="Q153" t="str">
        <x:v>已匹配</x:v>
      </x:c>
      <x:c r="R153" t="n">
        <x:v>562</x:v>
      </x:c>
    </x:row>
    <x:row r="154" ht="18">
      <x:c r="A154" s="12" t="s">
        <x:v>423</x:v>
      </x:c>
      <x:c r="B154" s="3">
        <x:v>21.72</x:v>
      </x:c>
      <x:c r="C154" s="5">
        <x:v>25.277999999999999</x:v>
      </x:c>
      <x:c r="D154" s="5">
        <x:f t="shared" si="2"/>
        <x:v>3.5579999999999998</x:v>
      </x:c>
      <x:c r="E154" t="s">
        <x:v>25</x:v>
      </x:c>
      <x:c r="F154" t="s">
        <x:v>10</x:v>
      </x:c>
      <x:c r="G154" t="s">
        <x:v>424</x:v>
      </x:c>
      <x:c r="H154" t="s">
        <x:v>425</x:v>
      </x:c>
      <x:c r="I154" s="17"/>
      <x:c r="J154" s="17"/>
      <x:c r="K154" s="17"/>
      <x:c r="L154"/>
      <x:c r="M154"/>
      <x:c r="N154"/>
      <x:c r="O154"/>
      <x:c r="P154"/>
      <x:c r="Q154" t="str">
        <x:v>未匹配</x:v>
      </x:c>
      <x:c r="R154"/>
    </x:row>
    <x:row r="155" ht="18">
      <x:c r="A155" s="12" t="s">
        <x:v>426</x:v>
      </x:c>
      <x:c r="B155" s="3">
        <x:v>88.81</x:v>
      </x:c>
      <x:c r="C155" s="5">
        <x:v>96.47</x:v>
      </x:c>
      <x:c r="D155" s="5">
        <x:f t="shared" si="2"/>
        <x:v>7.6599999999999966</x:v>
      </x:c>
      <x:c r="E155" t="s">
        <x:v>309</x:v>
      </x:c>
      <x:c r="F155" t="s">
        <x:v>10</x:v>
      </x:c>
      <x:c r="G155" t="s">
        <x:v>427</x:v>
      </x:c>
      <x:c r="H155" t="s">
        <x:v>428</x:v>
      </x:c>
      <x:c r="I155" s="17" t="n">
        <x:v>26</x:v>
      </x:c>
      <x:c r="J155" s="17" t="n">
        <x:v>19</x:v>
      </x:c>
      <x:c r="K155" s="17" t="n">
        <x:v>18</x:v>
      </x:c>
      <x:c r="L155" t="str">
        <x:v>I</x:v>
      </x:c>
      <x:c r="M155" t="str">
        <x:v>NC</x:v>
      </x:c>
      <x:c r="N155" t="str">
        <x:v>KERNERSVILLE</x:v>
      </x:c>
      <x:c r="O155" t="str">
        <x:v>NJ</x:v>
      </x:c>
      <x:c r="P155" t="str">
        <x:v>NEW BRUNSWICK</x:v>
      </x:c>
      <x:c r="Q155" t="str">
        <x:v>已匹配</x:v>
      </x:c>
      <x:c r="R155" t="n">
        <x:v>544</x:v>
      </x:c>
    </x:row>
    <x:row r="156" ht="18">
      <x:c r="A156" s="12" t="s">
        <x:v>429</x:v>
      </x:c>
      <x:c r="B156" s="3">
        <x:v>74.099999999999994</x:v>
      </x:c>
      <x:c r="C156" s="5">
        <x:v>77.626999999999995</x:v>
      </x:c>
      <x:c r="D156" s="5">
        <x:f t="shared" si="2"/>
        <x:v>3.527000000000001</x:v>
      </x:c>
      <x:c r="E156" t="s">
        <x:v>180</x:v>
      </x:c>
      <x:c r="F156" t="s">
        <x:v>10</x:v>
      </x:c>
      <x:c r="G156" t="s">
        <x:v>430</x:v>
      </x:c>
      <x:c r="H156" t="s">
        <x:v>431</x:v>
      </x:c>
      <x:c r="I156" s="17" t="n">
        <x:v>21</x:v>
      </x:c>
      <x:c r="J156" s="17" t="n">
        <x:v>21</x:v>
      </x:c>
      <x:c r="K156" s="17" t="n">
        <x:v>16</x:v>
      </x:c>
      <x:c r="L156" t="str">
        <x:v>I</x:v>
      </x:c>
      <x:c r="M156" t="str">
        <x:v>SC</x:v>
      </x:c>
      <x:c r="N156" t="str">
        <x:v>CONWAY</x:v>
      </x:c>
      <x:c r="O156" t="str">
        <x:v>NJ</x:v>
      </x:c>
      <x:c r="P156" t="str">
        <x:v>NEW BRUNSWICK</x:v>
      </x:c>
      <x:c r="Q156" t="str">
        <x:v>已匹配</x:v>
      </x:c>
      <x:c r="R156" t="n">
        <x:v>542</x:v>
      </x:c>
    </x:row>
    <x:row r="157" ht="18">
      <x:c r="A157" s="12" t="s">
        <x:v>432</x:v>
      </x:c>
      <x:c r="B157" s="3">
        <x:v>23.66</x:v>
      </x:c>
      <x:c r="C157" s="5">
        <x:v>29.238</x:v>
      </x:c>
      <x:c r="D157" s="5">
        <x:f t="shared" si="2"/>
        <x:v>5.5779999999999994</x:v>
      </x:c>
      <x:c r="E157" t="s">
        <x:v>14</x:v>
      </x:c>
      <x:c r="F157" t="s">
        <x:v>10</x:v>
      </x:c>
      <x:c r="G157" t="s">
        <x:v>433</x:v>
      </x:c>
      <x:c r="H157" t="s">
        <x:v>434</x:v>
      </x:c>
      <x:c r="I157" s="17"/>
      <x:c r="J157" s="17"/>
      <x:c r="K157" s="17"/>
      <x:c r="L157"/>
      <x:c r="M157"/>
      <x:c r="N157"/>
      <x:c r="O157"/>
      <x:c r="P157"/>
      <x:c r="Q157" t="str">
        <x:v>未匹配</x:v>
      </x:c>
      <x:c r="R157"/>
    </x:row>
    <x:row r="158" ht="18">
      <x:c r="A158" s="12" t="s">
        <x:v>435</x:v>
      </x:c>
      <x:c r="B158" s="3">
        <x:v>30.61</x:v>
      </x:c>
      <x:c r="C158" s="5">
        <x:v>72.808999999999997</x:v>
      </x:c>
      <x:c r="D158" s="5">
        <x:f t="shared" si="2"/>
        <x:v>42.198999999999998</x:v>
      </x:c>
      <x:c r="E158" t="s">
        <x:v>180</x:v>
      </x:c>
      <x:c r="F158" t="s">
        <x:v>10</x:v>
      </x:c>
      <x:c r="G158" t="s">
        <x:v>436</x:v>
      </x:c>
      <x:c r="H158" t="s">
        <x:v>437</x:v>
      </x:c>
      <x:c r="I158" s="17"/>
      <x:c r="J158" s="17"/>
      <x:c r="K158" s="17"/>
      <x:c r="L158"/>
      <x:c r="M158"/>
      <x:c r="N158"/>
      <x:c r="O158"/>
      <x:c r="P158"/>
      <x:c r="Q158" t="str">
        <x:v>未匹配</x:v>
      </x:c>
      <x:c r="R158"/>
    </x:row>
    <x:row r="159" ht="18">
      <x:c r="A159" s="12" t="s">
        <x:v>438</x:v>
      </x:c>
      <x:c r="B159" s="3">
        <x:v>21.72</x:v>
      </x:c>
      <x:c r="C159" s="5">
        <x:v>25.795000000000002</x:v>
      </x:c>
      <x:c r="D159" s="5">
        <x:f t="shared" si="2"/>
        <x:v>4.0750000000000028</x:v>
      </x:c>
      <x:c r="F159" t="s">
        <x:v>91</x:v>
      </x:c>
      <x:c r="I159" s="17" t="n">
        <x:v>16</x:v>
      </x:c>
      <x:c r="J159" s="17" t="n">
        <x:v>16</x:v>
      </x:c>
      <x:c r="K159" s="17" t="n">
        <x:v>12</x:v>
      </x:c>
      <x:c r="L159" t="str">
        <x:v>I</x:v>
      </x:c>
      <x:c r="M159" t="str">
        <x:v>NC</x:v>
      </x:c>
      <x:c r="N159" t="str">
        <x:v>FRANKLINTON</x:v>
      </x:c>
      <x:c r="O159" t="str">
        <x:v>NJ</x:v>
      </x:c>
      <x:c r="P159" t="str">
        <x:v>NEW BRUNSWICK</x:v>
      </x:c>
      <x:c r="Q159" t="str">
        <x:v>已匹配</x:v>
      </x:c>
      <x:c r="R159" t="n">
        <x:v>540</x:v>
      </x:c>
    </x:row>
    <x:row r="160" ht="18">
      <x:c r="A160" s="12" t="s">
        <x:v>439</x:v>
      </x:c>
      <x:c r="B160" s="3">
        <x:v>61.02</x:v>
      </x:c>
      <x:c r="C160" s="5">
        <x:v>69.849999999999994</x:v>
      </x:c>
      <x:c r="D160" s="5">
        <x:f t="shared" si="2"/>
        <x:v>8.8299999999999912</x:v>
      </x:c>
      <x:c r="E160" t="s">
        <x:v>21</x:v>
      </x:c>
      <x:c r="F160" t="s">
        <x:v>10</x:v>
      </x:c>
      <x:c r="G160" t="s">
        <x:v>440</x:v>
      </x:c>
      <x:c r="H160" t="s">
        <x:v>441</x:v>
      </x:c>
      <x:c r="I160" s="17"/>
      <x:c r="J160" s="17"/>
      <x:c r="K160" s="17"/>
      <x:c r="L160"/>
      <x:c r="M160"/>
      <x:c r="N160"/>
      <x:c r="O160"/>
      <x:c r="P160"/>
      <x:c r="Q160" t="str">
        <x:v>未匹配</x:v>
      </x:c>
      <x:c r="R160"/>
    </x:row>
    <x:row r="161" ht="18">
      <x:c r="A161" s="12" t="s">
        <x:v>442</x:v>
      </x:c>
      <x:c r="B161" s="3">
        <x:v>19.04</x:v>
      </x:c>
      <x:c r="C161" s="5">
        <x:v>23.132999999999999</x:v>
      </x:c>
      <x:c r="D161" s="5">
        <x:f t="shared" si="2"/>
        <x:v>4.093</x:v>
      </x:c>
      <x:c r="E161" t="s">
        <x:v>443</x:v>
      </x:c>
      <x:c r="F161" t="s">
        <x:v>10</x:v>
      </x:c>
      <x:c r="G161" t="s">
        <x:v>444</x:v>
      </x:c>
      <x:c r="H161" t="s">
        <x:v>445</x:v>
      </x:c>
      <x:c r="I161" s="17" t="n">
        <x:v>22</x:v>
      </x:c>
      <x:c r="J161" s="17" t="n">
        <x:v>15</x:v>
      </x:c>
      <x:c r="K161" s="17" t="n">
        <x:v>8</x:v>
      </x:c>
      <x:c r="L161" t="str">
        <x:v>I</x:v>
      </x:c>
      <x:c r="M161" t="str">
        <x:v>FL</x:v>
      </x:c>
      <x:c r="N161" t="str">
        <x:v>VERO BEACH</x:v>
      </x:c>
      <x:c r="O161" t="str">
        <x:v>NJ</x:v>
      </x:c>
      <x:c r="P161" t="str">
        <x:v>NEW BRUNSWICK</x:v>
      </x:c>
      <x:c r="Q161" t="str">
        <x:v>已匹配</x:v>
      </x:c>
      <x:c r="R161" t="n">
        <x:v>561</x:v>
      </x:c>
    </x:row>
    <x:row r="162" ht="18">
      <x:c r="A162" s="12" t="s">
        <x:v>446</x:v>
      </x:c>
      <x:c r="B162" s="3">
        <x:v>21.72</x:v>
      </x:c>
      <x:c r="C162" s="5">
        <x:v>24.353999999999999</x:v>
      </x:c>
      <x:c r="D162" s="5">
        <x:f t="shared" si="2"/>
        <x:v>2.6340000000000003</x:v>
      </x:c>
      <x:c r="E162" t="s">
        <x:v>25</x:v>
      </x:c>
      <x:c r="F162" t="s">
        <x:v>10</x:v>
      </x:c>
      <x:c r="G162" t="s">
        <x:v>447</x:v>
      </x:c>
      <x:c r="H162" t="s">
        <x:v>448</x:v>
      </x:c>
      <x:c r="I162" s="17" t="n">
        <x:v>19</x:v>
      </x:c>
      <x:c r="J162" s="17" t="n">
        <x:v>17</x:v>
      </x:c>
      <x:c r="K162" s="17" t="n">
        <x:v>13</x:v>
      </x:c>
      <x:c r="L162" t="str">
        <x:v>I</x:v>
      </x:c>
      <x:c r="M162" t="str">
        <x:v>SC</x:v>
      </x:c>
      <x:c r="N162" t="str">
        <x:v>GAFFNEY</x:v>
      </x:c>
      <x:c r="O162" t="str">
        <x:v>NJ</x:v>
      </x:c>
      <x:c r="P162" t="str">
        <x:v>NEW BRUNSWICK</x:v>
      </x:c>
      <x:c r="Q162" t="str">
        <x:v>已匹配</x:v>
      </x:c>
      <x:c r="R162" t="n">
        <x:v>538</x:v>
      </x:c>
    </x:row>
    <x:row r="163" ht="18">
      <x:c r="A163" s="12" t="s">
        <x:v>449</x:v>
      </x:c>
      <x:c r="B163" s="3">
        <x:v>17.5</x:v>
      </x:c>
      <x:c r="C163" s="5">
        <x:v>20.262</x:v>
      </x:c>
      <x:c r="D163" s="5">
        <x:f t="shared" si="2"/>
        <x:v>2.7620000000000005</x:v>
      </x:c>
      <x:c r="F163" t="s">
        <x:v>91</x:v>
      </x:c>
      <x:c r="I163" s="17"/>
      <x:c r="J163" s="17"/>
      <x:c r="K163" s="17"/>
      <x:c r="L163"/>
      <x:c r="M163"/>
      <x:c r="N163"/>
      <x:c r="O163"/>
      <x:c r="P163"/>
      <x:c r="Q163" t="str">
        <x:v>未匹配</x:v>
      </x:c>
      <x:c r="R163"/>
    </x:row>
    <x:row r="164" ht="18">
      <x:c r="A164" s="12" t="s">
        <x:v>450</x:v>
      </x:c>
      <x:c r="B164" s="3">
        <x:v>21.72</x:v>
      </x:c>
      <x:c r="C164" s="5">
        <x:v>24.134</x:v>
      </x:c>
      <x:c r="D164" s="5">
        <x:f t="shared" si="2"/>
        <x:v>2.4140000000000015</x:v>
      </x:c>
      <x:c r="F164" t="s">
        <x:v>91</x:v>
      </x:c>
      <x:c r="I164" s="17" t="n">
        <x:v>15</x:v>
      </x:c>
      <x:c r="J164" s="17" t="n">
        <x:v>15</x:v>
      </x:c>
      <x:c r="K164" s="17" t="n">
        <x:v>11</x:v>
      </x:c>
      <x:c r="L164" t="str">
        <x:v>I</x:v>
      </x:c>
      <x:c r="M164" t="str">
        <x:v>OH</x:v>
      </x:c>
      <x:c r="N164" t="str">
        <x:v>LISBON</x:v>
      </x:c>
      <x:c r="O164" t="str">
        <x:v>NJ</x:v>
      </x:c>
      <x:c r="P164" t="str">
        <x:v>NEW BRUNSWICK</x:v>
      </x:c>
      <x:c r="Q164" t="str">
        <x:v>已匹配</x:v>
      </x:c>
      <x:c r="R164" t="n">
        <x:v>537</x:v>
      </x:c>
    </x:row>
    <x:row r="165" ht="18">
      <x:c r="A165" s="12" t="s">
        <x:v>451</x:v>
      </x:c>
      <x:c r="B165" s="3">
        <x:v>30.61</x:v>
      </x:c>
      <x:c r="C165" s="5">
        <x:v>67.165999999999997</x:v>
      </x:c>
      <x:c r="D165" s="5">
        <x:f t="shared" si="2"/>
        <x:v>36.555999999999997</x:v>
      </x:c>
      <x:c r="E165" t="s">
        <x:v>353</x:v>
      </x:c>
      <x:c r="F165" t="s">
        <x:v>10</x:v>
      </x:c>
      <x:c r="G165" t="s">
        <x:v>452</x:v>
      </x:c>
      <x:c r="H165" t="s">
        <x:v>453</x:v>
      </x:c>
      <x:c r="I165" s="17" t="n">
        <x:v>19</x:v>
      </x:c>
      <x:c r="J165" s="17" t="n">
        <x:v>17</x:v>
      </x:c>
      <x:c r="K165" s="17" t="n">
        <x:v>14</x:v>
      </x:c>
      <x:c r="L165" t="str">
        <x:v>I</x:v>
      </x:c>
      <x:c r="M165" t="str">
        <x:v>MA</x:v>
      </x:c>
      <x:c r="N165" t="str">
        <x:v>BOSTON</x:v>
      </x:c>
      <x:c r="O165" t="str">
        <x:v>NJ</x:v>
      </x:c>
      <x:c r="P165" t="str">
        <x:v>NEW BRUNSWICK</x:v>
      </x:c>
      <x:c r="Q165" t="str">
        <x:v>已匹配</x:v>
      </x:c>
      <x:c r="R165" t="n">
        <x:v>560</x:v>
      </x:c>
    </x:row>
    <x:row r="166" ht="18">
      <x:c r="A166" s="12" t="s">
        <x:v>454</x:v>
      </x:c>
      <x:c r="B166" s="3">
        <x:v>17.5</x:v>
      </x:c>
      <x:c r="C166" s="5">
        <x:v>21.439</x:v>
      </x:c>
      <x:c r="D166" s="5">
        <x:f t="shared" si="2"/>
        <x:v>3.9390000000000001</x:v>
      </x:c>
      <x:c r="E166" t="s">
        <x:v>455</x:v>
      </x:c>
      <x:c r="F166" t="s">
        <x:v>10</x:v>
      </x:c>
      <x:c r="G166" t="s">
        <x:v>456</x:v>
      </x:c>
      <x:c r="H166" t="s">
        <x:v>457</x:v>
      </x:c>
      <x:c r="I166" s="17" t="n">
        <x:v>15</x:v>
      </x:c>
      <x:c r="J166" s="17" t="n">
        <x:v>13</x:v>
      </x:c>
      <x:c r="K166" s="17" t="n">
        <x:v>12</x:v>
      </x:c>
      <x:c r="L166" t="str">
        <x:v>I</x:v>
      </x:c>
      <x:c r="M166" t="str">
        <x:v>PA</x:v>
      </x:c>
      <x:c r="N166" t="str">
        <x:v>MILL CREEK</x:v>
      </x:c>
      <x:c r="O166" t="str">
        <x:v>NJ</x:v>
      </x:c>
      <x:c r="P166" t="str">
        <x:v>NEW BRUNSWICK</x:v>
      </x:c>
      <x:c r="Q166" t="str">
        <x:v>已匹配</x:v>
      </x:c>
      <x:c r="R166" t="n">
        <x:v>536</x:v>
      </x:c>
    </x:row>
    <x:row r="167" ht="18">
      <x:c r="A167" s="12" t="s">
        <x:v>458</x:v>
      </x:c>
      <x:c r="B167" s="3">
        <x:v>30.19</x:v>
      </x:c>
      <x:c r="C167" s="5">
        <x:v>35.838000000000001</x:v>
      </x:c>
      <x:c r="D167" s="5">
        <x:f t="shared" si="2"/>
        <x:v>5.6479999999999997</x:v>
      </x:c>
      <x:c r="E167" t="s">
        <x:v>21</x:v>
      </x:c>
      <x:c r="F167" t="s">
        <x:v>10</x:v>
      </x:c>
      <x:c r="G167" t="s">
        <x:v>459</x:v>
      </x:c>
      <x:c r="H167" t="s">
        <x:v>460</x:v>
      </x:c>
      <x:c r="I167" s="17"/>
      <x:c r="J167" s="17"/>
      <x:c r="K167" s="17"/>
      <x:c r="L167"/>
      <x:c r="M167"/>
      <x:c r="N167"/>
      <x:c r="O167"/>
      <x:c r="P167"/>
      <x:c r="Q167" t="str">
        <x:v>未匹配</x:v>
      </x:c>
      <x:c r="R167"/>
    </x:row>
    <x:row r="168" ht="18">
      <x:c r="A168" s="12" t="s">
        <x:v>461</x:v>
      </x:c>
      <x:c r="B168" s="3">
        <x:v>23.06</x:v>
      </x:c>
      <x:c r="C168" s="5">
        <x:v>25.277999999999999</x:v>
      </x:c>
      <x:c r="D168" s="5">
        <x:f t="shared" si="2"/>
        <x:v>2.218</x:v>
      </x:c>
      <x:c r="F168" t="s">
        <x:v>91</x:v>
      </x:c>
      <x:c r="I168" s="17" t="n">
        <x:v>16</x:v>
      </x:c>
      <x:c r="J168" s="17" t="n">
        <x:v>16</x:v>
      </x:c>
      <x:c r="K168" s="17" t="n">
        <x:v>12</x:v>
      </x:c>
      <x:c r="L168" t="str">
        <x:v>I</x:v>
      </x:c>
      <x:c r="M168" t="str">
        <x:v>OH</x:v>
      </x:c>
      <x:c r="N168" t="str">
        <x:v>AVON LAKE</x:v>
      </x:c>
      <x:c r="O168" t="str">
        <x:v>NJ</x:v>
      </x:c>
      <x:c r="P168" t="str">
        <x:v>NEW BRUNSWICK</x:v>
      </x:c>
      <x:c r="Q168" t="str">
        <x:v>已匹配</x:v>
      </x:c>
      <x:c r="R168" t="n">
        <x:v>530</x:v>
      </x:c>
    </x:row>
    <x:row r="169" ht="18">
      <x:c r="A169" s="12" t="s">
        <x:v>462</x:v>
      </x:c>
      <x:c r="B169" s="3">
        <x:v>23.47</x:v>
      </x:c>
      <x:c r="C169" s="5">
        <x:v>62.710999999999999</x:v>
      </x:c>
      <x:c r="D169" s="5">
        <x:f t="shared" si="2"/>
        <x:v>39.241</x:v>
      </x:c>
      <x:c r="E169" t="s">
        <x:v>180</x:v>
      </x:c>
      <x:c r="F169" t="s">
        <x:v>10</x:v>
      </x:c>
      <x:c r="G169" t="s">
        <x:v>463</x:v>
      </x:c>
      <x:c r="H169" t="s">
        <x:v>464</x:v>
      </x:c>
      <x:c r="I169" s="17" t="n">
        <x:v>23</x:v>
      </x:c>
      <x:c r="J169" s="17" t="n">
        <x:v>22</x:v>
      </x:c>
      <x:c r="K169" s="17" t="n">
        <x:v>17</x:v>
      </x:c>
      <x:c r="L169" t="str">
        <x:v>I</x:v>
      </x:c>
      <x:c r="M169" t="str">
        <x:v>CT</x:v>
      </x:c>
      <x:c r="N169" t="str">
        <x:v>HAMDEN</x:v>
      </x:c>
      <x:c r="O169" t="str">
        <x:v>NJ</x:v>
      </x:c>
      <x:c r="P169" t="str">
        <x:v>NEW BRUNSWICK</x:v>
      </x:c>
      <x:c r="Q169" t="str">
        <x:v>已匹配</x:v>
      </x:c>
      <x:c r="R169" t="n">
        <x:v>529</x:v>
      </x:c>
    </x:row>
    <x:row r="170" ht="18">
      <x:c r="A170" s="12" t="s">
        <x:v>465</x:v>
      </x:c>
      <x:c r="B170" s="3">
        <x:v>45.03</x:v>
      </x:c>
      <x:c r="C170" s="5">
        <x:v>47.267000000000003</x:v>
      </x:c>
      <x:c r="D170" s="5">
        <x:f t="shared" si="2"/>
        <x:v>2.2370000000000019</x:v>
      </x:c>
      <x:c r="E170" t="s">
        <x:v>21</x:v>
      </x:c>
      <x:c r="F170" t="s">
        <x:v>10</x:v>
      </x:c>
      <x:c r="G170" t="s">
        <x:v>466</x:v>
      </x:c>
      <x:c r="H170" t="s">
        <x:v>467</x:v>
      </x:c>
      <x:c r="I170" s="17"/>
      <x:c r="J170" s="17"/>
      <x:c r="K170" s="17"/>
      <x:c r="L170"/>
      <x:c r="M170"/>
      <x:c r="N170"/>
      <x:c r="O170"/>
      <x:c r="P170"/>
      <x:c r="Q170" t="str">
        <x:v>未匹配</x:v>
      </x:c>
      <x:c r="R170"/>
    </x:row>
    <x:row r="171" ht="18">
      <x:c r="A171" s="12" t="s">
        <x:v>468</x:v>
      </x:c>
      <x:c r="B171" s="3">
        <x:v>20.239999999999998</x:v>
      </x:c>
      <x:c r="C171" s="5">
        <x:v>22.373999999999999</x:v>
      </x:c>
      <x:c r="D171" s="5">
        <x:f t="shared" si="2"/>
        <x:v>2.1340000000000003</x:v>
      </x:c>
      <x:c r="E171" t="s">
        <x:v>25</x:v>
      </x:c>
      <x:c r="F171" t="s">
        <x:v>10</x:v>
      </x:c>
      <x:c r="G171" t="s">
        <x:v>469</x:v>
      </x:c>
      <x:c r="H171" t="s">
        <x:v>470</x:v>
      </x:c>
      <x:c r="I171" s="17" t="n">
        <x:v>16</x:v>
      </x:c>
      <x:c r="J171" s="17" t="n">
        <x:v>15</x:v>
      </x:c>
      <x:c r="K171" s="17" t="n">
        <x:v>12</x:v>
      </x:c>
      <x:c r="L171" t="str">
        <x:v>I</x:v>
      </x:c>
      <x:c r="M171" t="str">
        <x:v>NY</x:v>
      </x:c>
      <x:c r="N171" t="str">
        <x:v>FREDONIA</x:v>
      </x:c>
      <x:c r="O171" t="str">
        <x:v>NJ</x:v>
      </x:c>
      <x:c r="P171" t="str">
        <x:v>NEW BRUNSWICK</x:v>
      </x:c>
      <x:c r="Q171" t="str">
        <x:v>已匹配</x:v>
      </x:c>
      <x:c r="R171" t="n">
        <x:v>506</x:v>
      </x:c>
    </x:row>
    <x:row r="172" ht="18">
      <x:c r="A172" s="12" t="s">
        <x:v>471</x:v>
      </x:c>
      <x:c r="B172" s="3">
        <x:v>35.65</x:v>
      </x:c>
      <x:c r="C172" s="5">
        <x:v>39.149000000000001</x:v>
      </x:c>
      <x:c r="D172" s="5">
        <x:f t="shared" si="2"/>
        <x:v>3.4990000000000023</x:v>
      </x:c>
      <x:c r="E172" t="s">
        <x:v>21</x:v>
      </x:c>
      <x:c r="F172" t="s">
        <x:v>10</x:v>
      </x:c>
      <x:c r="G172" t="s">
        <x:v>472</x:v>
      </x:c>
      <x:c r="H172" t="s">
        <x:v>473</x:v>
      </x:c>
      <x:c r="I172" s="17"/>
      <x:c r="J172" s="17"/>
      <x:c r="K172" s="17"/>
      <x:c r="L172"/>
      <x:c r="M172"/>
      <x:c r="N172"/>
      <x:c r="O172"/>
      <x:c r="P172"/>
      <x:c r="Q172" t="str">
        <x:v>未匹配</x:v>
      </x:c>
      <x:c r="R172"/>
    </x:row>
    <x:row r="173" ht="18">
      <x:c r="A173" s="12" t="s">
        <x:v>474</x:v>
      </x:c>
      <x:c r="B173" s="3">
        <x:v>125.38</x:v>
      </x:c>
      <x:c r="C173" s="5">
        <x:v>129.29400000000001</x:v>
      </x:c>
      <x:c r="D173" s="5">
        <x:f t="shared" si="2"/>
        <x:v>3.9140000000000157</x:v>
      </x:c>
      <x:c r="E173" t="s">
        <x:v>147</x:v>
      </x:c>
      <x:c r="F173" t="s">
        <x:v>10</x:v>
      </x:c>
      <x:c r="G173" t="s">
        <x:v>475</x:v>
      </x:c>
      <x:c r="H173" t="s">
        <x:v>476</x:v>
      </x:c>
      <x:c r="I173" s="17"/>
      <x:c r="J173" s="17"/>
      <x:c r="K173" s="17"/>
      <x:c r="L173"/>
      <x:c r="M173"/>
      <x:c r="N173"/>
      <x:c r="O173"/>
      <x:c r="P173"/>
      <x:c r="Q173" t="str">
        <x:v>未匹配</x:v>
      </x:c>
      <x:c r="R173"/>
    </x:row>
    <x:row r="174" ht="18">
      <x:c r="A174" s="12" t="s">
        <x:v>477</x:v>
      </x:c>
      <x:c r="B174" s="3">
        <x:v>20.190000000000001</x:v>
      </x:c>
      <x:c r="C174" s="5">
        <x:v>43.01</x:v>
      </x:c>
      <x:c r="D174" s="5">
        <x:f t="shared" si="2"/>
        <x:v>22.819999999999997</x:v>
      </x:c>
      <x:c r="E174" t="s">
        <x:v>39</x:v>
      </x:c>
      <x:c r="F174" t="s">
        <x:v>10</x:v>
      </x:c>
      <x:c r="G174" t="s">
        <x:v>478</x:v>
      </x:c>
      <x:c r="H174" t="s">
        <x:v>479</x:v>
      </x:c>
      <x:c r="I174" s="17" t="n">
        <x:v>39</x:v>
      </x:c>
      <x:c r="J174" s="17" t="n">
        <x:v>29</x:v>
      </x:c>
      <x:c r="K174" s="17" t="n">
        <x:v>5</x:v>
      </x:c>
      <x:c r="L174" t="str">
        <x:v>I</x:v>
      </x:c>
      <x:c r="M174" t="str">
        <x:v>PA</x:v>
      </x:c>
      <x:c r="N174" t="str">
        <x:v>STEVENS</x:v>
      </x:c>
      <x:c r="O174" t="str">
        <x:v>NJ</x:v>
      </x:c>
      <x:c r="P174" t="str">
        <x:v>NEW BRUNSWICK</x:v>
      </x:c>
      <x:c r="Q174" t="str">
        <x:v>已匹配</x:v>
      </x:c>
      <x:c r="R174" t="n">
        <x:v>555</x:v>
      </x:c>
    </x:row>
    <x:row r="175" ht="18">
      <x:c r="A175" s="12" t="s">
        <x:v>480</x:v>
      </x:c>
      <x:c r="B175" s="3">
        <x:v>74.260000000000005</x:v>
      </x:c>
      <x:c r="C175" s="5">
        <x:v>95.204999999999998</x:v>
      </x:c>
      <x:c r="D175" s="5">
        <x:f t="shared" si="2"/>
        <x:v>20.944999999999993</x:v>
      </x:c>
      <x:c r="E175" t="s">
        <x:v>309</x:v>
      </x:c>
      <x:c r="F175" t="s">
        <x:v>10</x:v>
      </x:c>
      <x:c r="G175" t="s">
        <x:v>481</x:v>
      </x:c>
      <x:c r="I175" s="17" t="n">
        <x:v>27</x:v>
      </x:c>
      <x:c r="J175" s="17" t="n">
        <x:v>20</x:v>
      </x:c>
      <x:c r="K175" s="17" t="n">
        <x:v>20</x:v>
      </x:c>
      <x:c r="L175" t="str">
        <x:v>I</x:v>
      </x:c>
      <x:c r="M175" t="str">
        <x:v>PA</x:v>
      </x:c>
      <x:c r="N175" t="str">
        <x:v>STEVENS</x:v>
      </x:c>
      <x:c r="O175" t="str">
        <x:v>NJ</x:v>
      </x:c>
      <x:c r="P175" t="str">
        <x:v>NEW BRUNSWICK</x:v>
      </x:c>
      <x:c r="Q175" t="str">
        <x:v>已匹配</x:v>
      </x:c>
      <x:c r="R175" t="n">
        <x:v>554</x:v>
      </x:c>
    </x:row>
    <x:row r="176" ht="18">
      <x:c r="A176" s="12" t="s">
        <x:v>482</x:v>
      </x:c>
      <x:c r="B176" s="3">
        <x:v>36.51</x:v>
      </x:c>
      <x:c r="C176" s="5">
        <x:v>38.994999999999997</x:v>
      </x:c>
      <x:c r="D176" s="5">
        <x:f t="shared" si="2"/>
        <x:v>2.4849999999999994</x:v>
      </x:c>
      <x:c r="E176" t="s">
        <x:v>21</x:v>
      </x:c>
      <x:c r="F176" t="s">
        <x:v>10</x:v>
      </x:c>
      <x:c r="G176" t="s">
        <x:v>483</x:v>
      </x:c>
      <x:c r="H176" t="s">
        <x:v>484</x:v>
      </x:c>
      <x:c r="I176" s="17" t="n">
        <x:v>19</x:v>
      </x:c>
      <x:c r="J176" s="17" t="n">
        <x:v>17</x:v>
      </x:c>
      <x:c r="K176" s="17" t="n">
        <x:v>13</x:v>
      </x:c>
      <x:c r="L176" t="str">
        <x:v>I</x:v>
      </x:c>
      <x:c r="M176" t="str">
        <x:v>IL</x:v>
      </x:c>
      <x:c r="N176" t="str">
        <x:v>CHICAGO</x:v>
      </x:c>
      <x:c r="O176" t="str">
        <x:v>NJ</x:v>
      </x:c>
      <x:c r="P176" t="str">
        <x:v>NEW BRUNSWICK</x:v>
      </x:c>
      <x:c r="Q176" t="str">
        <x:v>已匹配</x:v>
      </x:c>
      <x:c r="R176" t="n">
        <x:v>553</x:v>
      </x:c>
    </x:row>
    <x:row r="177" ht="18">
      <x:c r="A177" s="12" t="s">
        <x:v>485</x:v>
      </x:c>
      <x:c r="B177" s="3">
        <x:v>74.260000000000005</x:v>
      </x:c>
      <x:c r="C177" s="5">
        <x:v>94.765000000000001</x:v>
      </x:c>
      <x:c r="D177" s="5">
        <x:f t="shared" si="2"/>
        <x:v>20.504999999999995</x:v>
      </x:c>
      <x:c r="E177" t="s">
        <x:v>309</x:v>
      </x:c>
      <x:c r="F177" t="s">
        <x:v>10</x:v>
      </x:c>
      <x:c r="G177" t="s">
        <x:v>486</x:v>
      </x:c>
      <x:c r="H177" t="s">
        <x:v>479</x:v>
      </x:c>
      <x:c r="I177" s="17" t="n">
        <x:v>27</x:v>
      </x:c>
      <x:c r="J177" s="17" t="n">
        <x:v>20</x:v>
      </x:c>
      <x:c r="K177" s="17" t="n">
        <x:v>20</x:v>
      </x:c>
      <x:c r="L177" t="str">
        <x:v>I</x:v>
      </x:c>
      <x:c r="M177" t="str">
        <x:v>PA</x:v>
      </x:c>
      <x:c r="N177" t="str">
        <x:v>STEVENS</x:v>
      </x:c>
      <x:c r="O177" t="str">
        <x:v>NJ</x:v>
      </x:c>
      <x:c r="P177" t="str">
        <x:v>NEW BRUNSWICK</x:v>
      </x:c>
      <x:c r="Q177" t="str">
        <x:v>已匹配</x:v>
      </x:c>
      <x:c r="R177" t="n">
        <x:v>552</x:v>
      </x:c>
    </x:row>
    <x:row r="178" ht="18">
      <x:c r="A178" s="12" t="s">
        <x:v>487</x:v>
      </x:c>
      <x:c r="B178" s="3">
        <x:v>74.260000000000005</x:v>
      </x:c>
      <x:c r="C178" s="5">
        <x:v>94.765000000000001</x:v>
      </x:c>
      <x:c r="D178" s="5">
        <x:f t="shared" si="2"/>
        <x:v>20.504999999999995</x:v>
      </x:c>
      <x:c r="E178" t="s">
        <x:v>309</x:v>
      </x:c>
      <x:c r="F178" t="s">
        <x:v>10</x:v>
      </x:c>
      <x:c r="G178" t="s">
        <x:v>488</x:v>
      </x:c>
      <x:c r="I178" s="17" t="n">
        <x:v>27</x:v>
      </x:c>
      <x:c r="J178" s="17" t="n">
        <x:v>21</x:v>
      </x:c>
      <x:c r="K178" s="17" t="n">
        <x:v>20</x:v>
      </x:c>
      <x:c r="L178" t="str">
        <x:v>I</x:v>
      </x:c>
      <x:c r="M178" t="str">
        <x:v>PA</x:v>
      </x:c>
      <x:c r="N178" t="str">
        <x:v>STEVENS</x:v>
      </x:c>
      <x:c r="O178" t="str">
        <x:v>NJ</x:v>
      </x:c>
      <x:c r="P178" t="str">
        <x:v>NEW BRUNSWICK</x:v>
      </x:c>
      <x:c r="Q178" t="str">
        <x:v>已匹配</x:v>
      </x:c>
      <x:c r="R178" t="n">
        <x:v>551</x:v>
      </x:c>
    </x:row>
    <x:row r="179" ht="18">
      <x:c r="A179" s="12" t="s">
        <x:v>489</x:v>
      </x:c>
      <x:c r="B179" s="3">
        <x:v>20.239999999999998</x:v>
      </x:c>
      <x:c r="C179" s="5">
        <x:v>23.408000000000001</x:v>
      </x:c>
      <x:c r="D179" s="5">
        <x:f t="shared" si="2"/>
        <x:v>3.1680000000000028</x:v>
      </x:c>
      <x:c r="E179" t="s">
        <x:v>25</x:v>
      </x:c>
      <x:c r="F179" t="s">
        <x:v>10</x:v>
      </x:c>
      <x:c r="G179" t="s">
        <x:v>490</x:v>
      </x:c>
      <x:c r="H179" t="s">
        <x:v>491</x:v>
      </x:c>
      <x:c r="I179" s="17" t="n">
        <x:v>18</x:v>
      </x:c>
      <x:c r="J179" s="17" t="n">
        <x:v>16</x:v>
      </x:c>
      <x:c r="K179" s="17" t="n">
        <x:v>15</x:v>
      </x:c>
      <x:c r="L179" t="str">
        <x:v>I</x:v>
      </x:c>
      <x:c r="M179" t="str">
        <x:v>MA</x:v>
      </x:c>
      <x:c r="N179" t="str">
        <x:v>ORLEANS</x:v>
      </x:c>
      <x:c r="O179" t="str">
        <x:v>NJ</x:v>
      </x:c>
      <x:c r="P179" t="str">
        <x:v>NEW BRUNSWICK</x:v>
      </x:c>
      <x:c r="Q179" t="str">
        <x:v>已匹配</x:v>
      </x:c>
      <x:c r="R179" t="n">
        <x:v>504</x:v>
      </x:c>
    </x:row>
    <x:row r="180" ht="18">
      <x:c r="A180" s="12" t="s">
        <x:v>492</x:v>
      </x:c>
      <x:c r="B180" s="3">
        <x:v>114.59</x:v>
      </x:c>
      <x:c r="C180" s="5">
        <x:v>308.55</x:v>
      </x:c>
      <x:c r="D180" s="5">
        <x:f t="shared" si="2"/>
        <x:v>193.96</x:v>
      </x:c>
      <x:c r="E180" t="s">
        <x:v>493</x:v>
      </x:c>
      <x:c r="F180" t="s">
        <x:v>10</x:v>
      </x:c>
      <x:c r="G180" t="s">
        <x:v>494</x:v>
      </x:c>
      <x:c r="H180" t="s">
        <x:v>495</x:v>
      </x:c>
      <x:c r="I180" s="17" t="n">
        <x:v>32</x:v>
      </x:c>
      <x:c r="J180" s="17" t="n">
        <x:v>22</x:v>
      </x:c>
      <x:c r="K180" s="17" t="n">
        <x:v>13</x:v>
      </x:c>
      <x:c r="L180" t="str">
        <x:v>I</x:v>
      </x:c>
      <x:c r="M180" t="str">
        <x:v>MO</x:v>
      </x:c>
      <x:c r="N180" t="str">
        <x:v>ALTENBURG</x:v>
      </x:c>
      <x:c r="O180" t="str">
        <x:v>NJ</x:v>
      </x:c>
      <x:c r="P180" t="str">
        <x:v>NEW BRUNSWICK</x:v>
      </x:c>
      <x:c r="Q180" t="str">
        <x:v>已匹配</x:v>
      </x:c>
      <x:c r="R180" t="n">
        <x:v>474</x:v>
      </x:c>
    </x:row>
    <x:row r="181" ht="18">
      <x:c r="A181" s="12" t="s">
        <x:v>496</x:v>
      </x:c>
      <x:c r="B181" s="3">
        <x:v>21.72</x:v>
      </x:c>
      <x:c r="C181" s="5">
        <x:v>24.353999999999999</x:v>
      </x:c>
      <x:c r="D181" s="5">
        <x:f t="shared" si="2"/>
        <x:v>2.6340000000000003</x:v>
      </x:c>
      <x:c r="F181" t="s">
        <x:v>91</x:v>
      </x:c>
      <x:c r="I181" s="17" t="n">
        <x:v>16</x:v>
      </x:c>
      <x:c r="J181" s="17" t="n">
        <x:v>16</x:v>
      </x:c>
      <x:c r="K181" s="17" t="n">
        <x:v>12</x:v>
      </x:c>
      <x:c r="L181" t="str">
        <x:v>I</x:v>
      </x:c>
      <x:c r="M181" t="str">
        <x:v>OH</x:v>
      </x:c>
      <x:c r="N181" t="str">
        <x:v>SAINT CLAIRSVILLE</x:v>
      </x:c>
      <x:c r="O181" t="str">
        <x:v>NJ</x:v>
      </x:c>
      <x:c r="P181" t="str">
        <x:v>NEW BRUNSWICK</x:v>
      </x:c>
      <x:c r="Q181" t="str">
        <x:v>已匹配</x:v>
      </x:c>
      <x:c r="R181" t="n">
        <x:v>524</x:v>
      </x:c>
    </x:row>
    <x:row r="182" ht="18">
      <x:c r="A182" s="12" t="s">
        <x:v>497</x:v>
      </x:c>
      <x:c r="B182" s="3">
        <x:v>76.989999999999995</x:v>
      </x:c>
      <x:c r="C182" s="5">
        <x:v>88.363</x:v>
      </x:c>
      <x:c r="D182" s="5">
        <x:f t="shared" si="2"/>
        <x:v>11.373000000000005</x:v>
      </x:c>
      <x:c r="E182" t="s">
        <x:v>87</x:v>
      </x:c>
      <x:c r="F182" t="s">
        <x:v>10</x:v>
      </x:c>
      <x:c r="G182" t="s">
        <x:v>498</x:v>
      </x:c>
      <x:c r="H182" t="s">
        <x:v>499</x:v>
      </x:c>
      <x:c r="I182" s="17" t="n">
        <x:v>26</x:v>
      </x:c>
      <x:c r="J182" s="17" t="n">
        <x:v>22</x:v>
      </x:c>
      <x:c r="K182" s="17" t="n">
        <x:v>16</x:v>
      </x:c>
      <x:c r="L182" t="str">
        <x:v>I</x:v>
      </x:c>
      <x:c r="M182" t="str">
        <x:v>NY</x:v>
      </x:c>
      <x:c r="N182" t="str">
        <x:v>MAMARONECK</x:v>
      </x:c>
      <x:c r="O182" t="str">
        <x:v>NJ</x:v>
      </x:c>
      <x:c r="P182" t="str">
        <x:v>NEW BRUNSWICK</x:v>
      </x:c>
      <x:c r="Q182" t="str">
        <x:v>已匹配</x:v>
      </x:c>
      <x:c r="R182" t="n">
        <x:v>549</x:v>
      </x:c>
    </x:row>
    <x:row r="183" ht="18">
      <x:c r="A183" s="12" t="s">
        <x:v>500</x:v>
      </x:c>
      <x:c r="B183" s="3">
        <x:v>36.700000000000003</x:v>
      </x:c>
      <x:c r="C183" s="5">
        <x:v>71.972999999999999</x:v>
      </x:c>
      <x:c r="D183" s="5">
        <x:f t="shared" si="2"/>
        <x:v>35.272999999999996</x:v>
      </x:c>
      <x:c r="E183" t="s">
        <x:v>147</x:v>
      </x:c>
      <x:c r="F183" t="s">
        <x:v>10</x:v>
      </x:c>
      <x:c r="G183" t="s">
        <x:v>501</x:v>
      </x:c>
      <x:c r="H183" t="s">
        <x:v>502</x:v>
      </x:c>
      <x:c r="I183" s="17"/>
      <x:c r="J183" s="17"/>
      <x:c r="K183" s="17"/>
      <x:c r="L183"/>
      <x:c r="M183"/>
      <x:c r="N183"/>
      <x:c r="O183"/>
      <x:c r="P183"/>
      <x:c r="Q183" t="str">
        <x:v>未匹配</x:v>
      </x:c>
      <x:c r="R183"/>
    </x:row>
    <x:row r="184" ht="18">
      <x:c r="A184" s="12" t="s">
        <x:v>503</x:v>
      </x:c>
      <x:c r="B184" s="3">
        <x:v>30.19</x:v>
      </x:c>
      <x:c r="C184" s="5">
        <x:v>33.670999999999999</x:v>
      </x:c>
      <x:c r="D184" s="5">
        <x:f t="shared" si="2"/>
        <x:v>3.4809999999999981</x:v>
      </x:c>
      <x:c r="E184" t="s">
        <x:v>21</x:v>
      </x:c>
      <x:c r="F184" t="s">
        <x:v>10</x:v>
      </x:c>
      <x:c r="G184" t="s">
        <x:v>504</x:v>
      </x:c>
      <x:c r="H184" t="s">
        <x:v>505</x:v>
      </x:c>
      <x:c r="I184" s="17" t="n">
        <x:v>18</x:v>
      </x:c>
      <x:c r="J184" s="17" t="n">
        <x:v>17</x:v>
      </x:c>
      <x:c r="K184" s="17" t="n">
        <x:v>13</x:v>
      </x:c>
      <x:c r="L184" t="str">
        <x:v>I</x:v>
      </x:c>
      <x:c r="M184" t="str">
        <x:v>SC</x:v>
      </x:c>
      <x:c r="N184" t="str">
        <x:v>COLUMBIA</x:v>
      </x:c>
      <x:c r="O184" t="str">
        <x:v>NJ</x:v>
      </x:c>
      <x:c r="P184" t="str">
        <x:v>NEW BRUNSWICK</x:v>
      </x:c>
      <x:c r="Q184" t="str">
        <x:v>已匹配</x:v>
      </x:c>
      <x:c r="R184" t="n">
        <x:v>502</x:v>
      </x:c>
    </x:row>
    <x:row r="185" ht="18">
      <x:c r="A185" s="12" t="s">
        <x:v>506</x:v>
      </x:c>
      <x:c r="B185" s="3">
        <x:v>21.77</x:v>
      </x:c>
      <x:c r="C185" s="5">
        <x:v>23.837</x:v>
      </x:c>
      <x:c r="D185" s="5">
        <x:f t="shared" si="2"/>
        <x:v>2.0670000000000002</x:v>
      </x:c>
      <x:c r="E185" t="s">
        <x:v>21</x:v>
      </x:c>
      <x:c r="F185" t="s">
        <x:v>10</x:v>
      </x:c>
      <x:c r="G185" t="s">
        <x:v>507</x:v>
      </x:c>
      <x:c r="H185" t="s">
        <x:v>508</x:v>
      </x:c>
      <x:c r="I185" s="17" t="n">
        <x:v>26</x:v>
      </x:c>
      <x:c r="J185" s="17" t="n">
        <x:v>17</x:v>
      </x:c>
      <x:c r="K185" s="17" t="n">
        <x:v>16</x:v>
      </x:c>
      <x:c r="L185" t="str">
        <x:v>I</x:v>
      </x:c>
      <x:c r="M185" t="str">
        <x:v>NJ</x:v>
      </x:c>
      <x:c r="N185" t="str">
        <x:v>NUTLEY</x:v>
      </x:c>
      <x:c r="O185" t="str">
        <x:v>NJ</x:v>
      </x:c>
      <x:c r="P185" t="str">
        <x:v>NEW BRUNSWICK</x:v>
      </x:c>
      <x:c r="Q185" t="str">
        <x:v>已匹配</x:v>
      </x:c>
      <x:c r="R185" t="n">
        <x:v>462</x:v>
      </x:c>
    </x:row>
    <x:row r="186" ht="18">
      <x:c r="A186" s="12" t="s">
        <x:v>509</x:v>
      </x:c>
      <x:c r="B186" s="3">
        <x:v>59.67</x:v>
      </x:c>
      <x:c r="C186" s="5">
        <x:v>82.313000000000002</x:v>
      </x:c>
      <x:c r="D186" s="5">
        <x:f t="shared" si="2"/>
        <x:v>22.643000000000001</x:v>
      </x:c>
      <x:c r="E186" t="s">
        <x:v>147</x:v>
      </x:c>
      <x:c r="F186" t="s">
        <x:v>10</x:v>
      </x:c>
      <x:c r="G186" t="s">
        <x:v>510</x:v>
      </x:c>
      <x:c r="H186" t="s">
        <x:v>511</x:v>
      </x:c>
      <x:c r="I186" s="17" t="n">
        <x:v>28</x:v>
      </x:c>
      <x:c r="J186" s="17" t="n">
        <x:v>25</x:v>
      </x:c>
      <x:c r="K186" s="17" t="n">
        <x:v>21</x:v>
      </x:c>
      <x:c r="L186" t="str">
        <x:v>I</x:v>
      </x:c>
      <x:c r="M186" t="str">
        <x:v>DE</x:v>
      </x:c>
      <x:c r="N186" t="str">
        <x:v>MIDDLETOWN</x:v>
      </x:c>
      <x:c r="O186" t="str">
        <x:v>NJ</x:v>
      </x:c>
      <x:c r="P186" t="str">
        <x:v>NEW BRUNSWICK</x:v>
      </x:c>
      <x:c r="Q186" t="str">
        <x:v>已匹配</x:v>
      </x:c>
      <x:c r="R186" t="n">
        <x:v>548</x:v>
      </x:c>
    </x:row>
    <x:row r="187" ht="18">
      <x:c r="A187" s="12" t="s">
        <x:v>512</x:v>
      </x:c>
      <x:c r="B187" s="3">
        <x:v>27.65</x:v>
      </x:c>
      <x:c r="C187" s="5">
        <x:v>36.509</x:v>
      </x:c>
      <x:c r="D187" s="5">
        <x:f t="shared" si="2"/>
        <x:v>8.8590000000000018</x:v>
      </x:c>
      <x:c r="E187" t="s">
        <x:v>14</x:v>
      </x:c>
      <x:c r="F187" t="s">
        <x:v>10</x:v>
      </x:c>
      <x:c r="G187" t="s">
        <x:v>513</x:v>
      </x:c>
      <x:c r="H187" t="s">
        <x:v>514</x:v>
      </x:c>
      <x:c r="I187" s="17" t="n">
        <x:v>16</x:v>
      </x:c>
      <x:c r="J187" s="17" t="n">
        <x:v>15</x:v>
      </x:c>
      <x:c r="K187" s="17" t="n">
        <x:v>12</x:v>
      </x:c>
      <x:c r="L187" t="str">
        <x:v>I</x:v>
      </x:c>
      <x:c r="M187" t="str">
        <x:v>FL</x:v>
      </x:c>
      <x:c r="N187" t="str">
        <x:v>MIAMI BEACH</x:v>
      </x:c>
      <x:c r="O187" t="str">
        <x:v>NJ</x:v>
      </x:c>
      <x:c r="P187" t="str">
        <x:v>NEW BRUNSWICK</x:v>
      </x:c>
      <x:c r="Q187" t="str">
        <x:v>已匹配</x:v>
      </x:c>
      <x:c r="R187" t="n">
        <x:v>500</x:v>
      </x:c>
    </x:row>
    <x:row r="188" ht="18">
      <x:c r="A188" s="12" t="s">
        <x:v>515</x:v>
      </x:c>
      <x:c r="B188" s="3">
        <x:v>28.69</x:v>
      </x:c>
      <x:c r="C188" s="5">
        <x:v>34.869999999999997</x:v>
      </x:c>
      <x:c r="D188" s="5">
        <x:f t="shared" si="2"/>
        <x:v>6.1799999999999962</x:v>
      </x:c>
      <x:c r="E188" t="s">
        <x:v>62</x:v>
      </x:c>
      <x:c r="F188" t="s">
        <x:v>10</x:v>
      </x:c>
      <x:c r="G188" t="s">
        <x:v>516</x:v>
      </x:c>
      <x:c r="H188" t="s">
        <x:v>517</x:v>
      </x:c>
      <x:c r="I188" s="17"/>
      <x:c r="J188" s="17"/>
      <x:c r="K188" s="17"/>
      <x:c r="L188"/>
      <x:c r="M188"/>
      <x:c r="N188"/>
      <x:c r="O188"/>
      <x:c r="P188"/>
      <x:c r="Q188" t="str">
        <x:v>未匹配</x:v>
      </x:c>
      <x:c r="R188"/>
    </x:row>
    <x:row r="189" ht="18">
      <x:c r="A189" s="12" t="s">
        <x:v>518</x:v>
      </x:c>
      <x:c r="B189" s="3">
        <x:v>23.79</x:v>
      </x:c>
      <x:c r="C189" s="5">
        <x:v>118.074</x:v>
      </x:c>
      <x:c r="D189" s="5">
        <x:f t="shared" si="2"/>
        <x:v>94.283999999999992</x:v>
      </x:c>
      <x:c r="E189" t="s">
        <x:v>317</x:v>
      </x:c>
      <x:c r="F189" t="s">
        <x:v>10</x:v>
      </x:c>
      <x:c r="G189" t="s">
        <x:v>519</x:v>
      </x:c>
      <x:c r="H189" t="s">
        <x:v>520</x:v>
      </x:c>
      <x:c r="I189" s="17" t="n">
        <x:v>30</x:v>
      </x:c>
      <x:c r="J189" s="17" t="n">
        <x:v>18</x:v>
      </x:c>
      <x:c r="K189" s="17" t="n">
        <x:v>8</x:v>
      </x:c>
      <x:c r="L189" t="str">
        <x:v>I</x:v>
      </x:c>
      <x:c r="M189" t="str">
        <x:v>PA</x:v>
      </x:c>
      <x:c r="N189" t="str">
        <x:v>COOPERSBURG</x:v>
      </x:c>
      <x:c r="O189" t="str">
        <x:v>NJ</x:v>
      </x:c>
      <x:c r="P189" t="str">
        <x:v>NEW BRUNSWICK</x:v>
      </x:c>
      <x:c r="Q189" t="str">
        <x:v>已匹配</x:v>
      </x:c>
      <x:c r="R189" t="n">
        <x:v>461</x:v>
      </x:c>
    </x:row>
    <x:row r="190" ht="18">
      <x:c r="A190" s="12" t="s">
        <x:v>521</x:v>
      </x:c>
      <x:c r="B190" s="3">
        <x:v>71.67</x:v>
      </x:c>
      <x:c r="C190" s="5">
        <x:v>74.096000000000004</x:v>
      </x:c>
      <x:c r="D190" s="5">
        <x:f t="shared" si="2"/>
        <x:v>2.4260000000000019</x:v>
      </x:c>
      <x:c r="F190" t="s">
        <x:v>91</x:v>
      </x:c>
      <x:c r="I190" s="17" t="n">
        <x:v>19</x:v>
      </x:c>
      <x:c r="J190" s="17" t="n">
        <x:v>15</x:v>
      </x:c>
      <x:c r="K190" s="17" t="n">
        <x:v>15</x:v>
      </x:c>
      <x:c r="L190" t="str">
        <x:v>I</x:v>
      </x:c>
      <x:c r="M190" t="str">
        <x:v>WV</x:v>
      </x:c>
      <x:c r="N190" t="str">
        <x:v>ONA</x:v>
      </x:c>
      <x:c r="O190" t="str">
        <x:v>NJ</x:v>
      </x:c>
      <x:c r="P190" t="str">
        <x:v>NEW BRUNSWICK</x:v>
      </x:c>
      <x:c r="Q190" t="str">
        <x:v>已匹配</x:v>
      </x:c>
      <x:c r="R190" t="n">
        <x:v>471</x:v>
      </x:c>
    </x:row>
    <x:row r="191" ht="18">
      <x:c r="A191" s="12" t="s">
        <x:v>522</x:v>
      </x:c>
      <x:c r="B191" s="3">
        <x:v>95.71</x:v>
      </x:c>
      <x:c r="C191" s="5">
        <x:v>99.725999999999999</x:v>
      </x:c>
      <x:c r="D191" s="5">
        <x:f t="shared" si="2"/>
        <x:v>4.0160000000000053</x:v>
      </x:c>
      <x:c r="E191" t="s">
        <x:v>35</x:v>
      </x:c>
      <x:c r="F191" t="s">
        <x:v>10</x:v>
      </x:c>
      <x:c r="G191" t="s">
        <x:v>523</x:v>
      </x:c>
      <x:c r="H191" t="s">
        <x:v>524</x:v>
      </x:c>
      <x:c r="I191" s="17" t="n">
        <x:v>19</x:v>
      </x:c>
      <x:c r="J191" s="17" t="n">
        <x:v>16</x:v>
      </x:c>
      <x:c r="K191" s="17" t="n">
        <x:v>16</x:v>
      </x:c>
      <x:c r="L191" t="str">
        <x:v>I</x:v>
      </x:c>
      <x:c r="M191" t="str">
        <x:v>FL</x:v>
      </x:c>
      <x:c r="N191" t="str">
        <x:v>CORAL SPRINGS</x:v>
      </x:c>
      <x:c r="O191" t="str">
        <x:v>NJ</x:v>
      </x:c>
      <x:c r="P191" t="str">
        <x:v>NEW BRUNSWICK</x:v>
      </x:c>
      <x:c r="Q191" t="str">
        <x:v>已匹配</x:v>
      </x:c>
      <x:c r="R191" t="n">
        <x:v>498</x:v>
      </x:c>
    </x:row>
    <x:row r="192" ht="18">
      <x:c r="A192" s="12" t="s">
        <x:v>525</x:v>
      </x:c>
      <x:c r="B192" s="3">
        <x:v>16.940000000000001</x:v>
      </x:c>
      <x:c r="C192" s="5">
        <x:v>19.349</x:v>
      </x:c>
      <x:c r="D192" s="5">
        <x:f t="shared" si="2"/>
        <x:v>2.4089999999999989</x:v>
      </x:c>
      <x:c r="E192" t="s">
        <x:v>25</x:v>
      </x:c>
      <x:c r="F192" t="s">
        <x:v>10</x:v>
      </x:c>
      <x:c r="G192" t="s">
        <x:v>526</x:v>
      </x:c>
      <x:c r="H192" t="s">
        <x:v>527</x:v>
      </x:c>
      <x:c r="I192" s="17" t="n">
        <x:v>16</x:v>
      </x:c>
      <x:c r="J192" s="17" t="n">
        <x:v>16</x:v>
      </x:c>
      <x:c r="K192" s="17" t="n">
        <x:v>12</x:v>
      </x:c>
      <x:c r="L192" t="str">
        <x:v>I</x:v>
      </x:c>
      <x:c r="M192" t="str">
        <x:v>NY</x:v>
      </x:c>
      <x:c r="N192" t="str">
        <x:v>BROOKLYN</x:v>
      </x:c>
      <x:c r="O192" t="str">
        <x:v>NJ</x:v>
      </x:c>
      <x:c r="P192" t="str">
        <x:v>NEW BRUNSWICK</x:v>
      </x:c>
      <x:c r="Q192" t="str">
        <x:v>已匹配</x:v>
      </x:c>
      <x:c r="R192" t="n">
        <x:v>494</x:v>
      </x:c>
    </x:row>
    <x:row r="193" ht="18">
      <x:c r="A193" s="12" t="s">
        <x:v>528</x:v>
      </x:c>
      <x:c r="B193" s="3">
        <x:v>36.44</x:v>
      </x:c>
      <x:c r="C193" s="5">
        <x:v>110.52800000000001</x:v>
      </x:c>
      <x:c r="D193" s="5">
        <x:f t="shared" si="2"/>
        <x:v>74.088000000000008</x:v>
      </x:c>
      <x:c r="E193" t="s">
        <x:v>309</x:v>
      </x:c>
      <x:c r="F193" t="s">
        <x:v>10</x:v>
      </x:c>
      <x:c r="G193" t="s">
        <x:v>529</x:v>
      </x:c>
      <x:c r="H193" t="s">
        <x:v>530</x:v>
      </x:c>
      <x:c r="I193" s="17" t="n">
        <x:v>28</x:v>
      </x:c>
      <x:c r="J193" s="17" t="n">
        <x:v>20</x:v>
      </x:c>
      <x:c r="K193" s="17" t="n">
        <x:v>19</x:v>
      </x:c>
      <x:c r="L193" t="str">
        <x:v>I</x:v>
      </x:c>
      <x:c r="M193" t="str">
        <x:v>GA</x:v>
      </x:c>
      <x:c r="N193" t="str">
        <x:v>KATHLEEN</x:v>
      </x:c>
      <x:c r="O193" t="str">
        <x:v>NJ</x:v>
      </x:c>
      <x:c r="P193" t="str">
        <x:v>NEW BRUNSWICK</x:v>
      </x:c>
      <x:c r="Q193" t="str">
        <x:v>已匹配</x:v>
      </x:c>
      <x:c r="R193" t="n">
        <x:v>492</x:v>
      </x:c>
    </x:row>
    <x:row r="194" ht="18">
      <x:c r="A194" s="12" t="s">
        <x:v>531</x:v>
      </x:c>
      <x:c r="B194" s="3">
        <x:v>26.2</x:v>
      </x:c>
      <x:c r="C194" s="5">
        <x:v>29.347999999999999</x:v>
      </x:c>
      <x:c r="D194" s="5" t="n">
        <x:f t="shared" ref="D194:D257" si="3">C194-B194</x:f>
        <x:v>3.1479999999999997</x:v>
      </x:c>
      <x:c r="E194" t="s">
        <x:v>25</x:v>
      </x:c>
      <x:c r="F194" t="s">
        <x:v>10</x:v>
      </x:c>
      <x:c r="G194" t="s">
        <x:v>532</x:v>
      </x:c>
      <x:c r="H194" t="s">
        <x:v>533</x:v>
      </x:c>
      <x:c r="I194" s="17" t="n">
        <x:v>15</x:v>
      </x:c>
      <x:c r="J194" s="17" t="n">
        <x:v>14</x:v>
      </x:c>
      <x:c r="K194" s="17" t="n">
        <x:v>11</x:v>
      </x:c>
      <x:c r="L194" t="str">
        <x:v>I</x:v>
      </x:c>
      <x:c r="M194" t="str">
        <x:v>MO</x:v>
      </x:c>
      <x:c r="N194" t="str">
        <x:v>BALLWIN</x:v>
      </x:c>
      <x:c r="O194" t="str">
        <x:v>NJ</x:v>
      </x:c>
      <x:c r="P194" t="str">
        <x:v>NEW BRUNSWICK</x:v>
      </x:c>
      <x:c r="Q194" t="str">
        <x:v>已匹配</x:v>
      </x:c>
      <x:c r="R194" t="n">
        <x:v>491</x:v>
      </x:c>
    </x:row>
    <x:row r="195" ht="18">
      <x:c r="A195" s="12" t="s">
        <x:v>534</x:v>
      </x:c>
      <x:c r="B195" s="3">
        <x:v>66.86</x:v>
      </x:c>
      <x:c r="C195" s="5">
        <x:v>70.597999999999999</x:v>
      </x:c>
      <x:c r="D195" s="5">
        <x:f t="shared" si="3"/>
        <x:v>3.7379999999999995</x:v>
      </x:c>
      <x:c r="E195" t="s">
        <x:v>35</x:v>
      </x:c>
      <x:c r="F195" t="s">
        <x:v>10</x:v>
      </x:c>
      <x:c r="G195" t="s">
        <x:v>535</x:v>
      </x:c>
      <x:c r="H195" t="s">
        <x:v>536</x:v>
      </x:c>
      <x:c r="I195" s="17" t="n">
        <x:v>53</x:v>
      </x:c>
      <x:c r="J195" s="17" t="n">
        <x:v>41</x:v>
      </x:c>
      <x:c r="K195" s="17" t="n">
        <x:v>41</x:v>
      </x:c>
      <x:c r="L195" t="str">
        <x:v>C</x:v>
      </x:c>
      <x:c r="M195" t="str">
        <x:v>MA</x:v>
      </x:c>
      <x:c r="N195" t="str">
        <x:v>HINGHAM</x:v>
      </x:c>
      <x:c r="O195" t="str">
        <x:v>NJ</x:v>
      </x:c>
      <x:c r="P195" t="str">
        <x:v>NEW BRUNSWICK</x:v>
      </x:c>
      <x:c r="Q195" t="str">
        <x:v>已匹配</x:v>
      </x:c>
      <x:c r="R195" t="n">
        <x:v>459</x:v>
      </x:c>
    </x:row>
    <x:row r="196" ht="18">
      <x:c r="A196" s="12" t="s">
        <x:v>537</x:v>
      </x:c>
      <x:c r="B196" s="3">
        <x:v>27.46</x:v>
      </x:c>
      <x:c r="C196" s="5">
        <x:v>44.692999999999998</x:v>
      </x:c>
      <x:c r="D196" s="5">
        <x:f t="shared" si="3"/>
        <x:v>17.232999999999997</x:v>
      </x:c>
      <x:c r="E196" t="s">
        <x:v>25</x:v>
      </x:c>
      <x:c r="F196" t="s">
        <x:v>10</x:v>
      </x:c>
      <x:c r="G196" t="s">
        <x:v>538</x:v>
      </x:c>
      <x:c r="H196" t="s">
        <x:v>539</x:v>
      </x:c>
      <x:c r="I196" s="17"/>
      <x:c r="J196" s="17"/>
      <x:c r="K196" s="17"/>
      <x:c r="L196"/>
      <x:c r="M196"/>
      <x:c r="N196"/>
      <x:c r="O196"/>
      <x:c r="P196"/>
      <x:c r="Q196" t="str">
        <x:v>未匹配</x:v>
      </x:c>
      <x:c r="R196"/>
    </x:row>
    <x:row r="197" ht="18">
      <x:c r="A197" s="12" t="s">
        <x:v>540</x:v>
      </x:c>
      <x:c r="B197" s="3">
        <x:v>21.67</x:v>
      </x:c>
      <x:c r="C197" s="5">
        <x:v>25.277999999999999</x:v>
      </x:c>
      <x:c r="D197" s="5">
        <x:f t="shared" si="3"/>
        <x:v>3.607999999999997</x:v>
      </x:c>
      <x:c r="F197" t="s">
        <x:v>91</x:v>
      </x:c>
      <x:c r="I197" s="17" t="n">
        <x:v>24</x:v>
      </x:c>
      <x:c r="J197" s="17" t="n">
        <x:v>15</x:v>
      </x:c>
      <x:c r="K197" s="17" t="n">
        <x:v>11</x:v>
      </x:c>
      <x:c r="L197" t="str">
        <x:v>I</x:v>
      </x:c>
      <x:c r="M197" t="str">
        <x:v>WV</x:v>
      </x:c>
      <x:c r="N197" t="str">
        <x:v>WALKER</x:v>
      </x:c>
      <x:c r="O197" t="str">
        <x:v>NJ</x:v>
      </x:c>
      <x:c r="P197" t="str">
        <x:v>NEW BRUNSWICK</x:v>
      </x:c>
      <x:c r="Q197" t="str">
        <x:v>已匹配</x:v>
      </x:c>
      <x:c r="R197" t="n">
        <x:v>490</x:v>
      </x:c>
    </x:row>
    <x:row r="198" ht="18">
      <x:c r="A198" s="12" t="s">
        <x:v>541</x:v>
      </x:c>
      <x:c r="B198" s="3">
        <x:v>21.67</x:v>
      </x:c>
      <x:c r="C198" s="5">
        <x:v>24.353999999999999</x:v>
      </x:c>
      <x:c r="D198" s="5">
        <x:f t="shared" si="3"/>
        <x:v>2.6839999999999975</x:v>
      </x:c>
      <x:c r="E198" t="s">
        <x:v>25</x:v>
      </x:c>
      <x:c r="F198" t="s">
        <x:v>10</x:v>
      </x:c>
      <x:c r="G198" t="s">
        <x:v>542</x:v>
      </x:c>
      <x:c r="H198" t="s">
        <x:v>543</x:v>
      </x:c>
      <x:c r="I198" s="17" t="n">
        <x:v>16</x:v>
      </x:c>
      <x:c r="J198" s="17" t="n">
        <x:v>16</x:v>
      </x:c>
      <x:c r="K198" s="17" t="n">
        <x:v>12</x:v>
      </x:c>
      <x:c r="L198" t="str">
        <x:v>I</x:v>
      </x:c>
      <x:c r="M198" t="str">
        <x:v>ME</x:v>
      </x:c>
      <x:c r="N198" t="str">
        <x:v>BROWNVILLE</x:v>
      </x:c>
      <x:c r="O198" t="str">
        <x:v>NJ</x:v>
      </x:c>
      <x:c r="P198" t="str">
        <x:v>NEW BRUNSWICK</x:v>
      </x:c>
      <x:c r="Q198" t="str">
        <x:v>已匹配</x:v>
      </x:c>
      <x:c r="R198" t="n">
        <x:v>470</x:v>
      </x:c>
    </x:row>
    <x:row r="199" ht="18">
      <x:c r="A199" s="12" t="s">
        <x:v>544</x:v>
      </x:c>
      <x:c r="B199" s="3">
        <x:v>26.2</x:v>
      </x:c>
      <x:c r="C199" s="5">
        <x:v>29.073</x:v>
      </x:c>
      <x:c r="D199" s="5">
        <x:f t="shared" si="3"/>
        <x:v>2.8730000000000011</x:v>
      </x:c>
      <x:c r="E199" t="s">
        <x:v>25</x:v>
      </x:c>
      <x:c r="F199" t="s">
        <x:v>10</x:v>
      </x:c>
      <x:c r="G199" t="s">
        <x:v>545</x:v>
      </x:c>
      <x:c r="H199" t="s">
        <x:v>546</x:v>
      </x:c>
      <x:c r="I199" s="17" t="n">
        <x:v>15</x:v>
      </x:c>
      <x:c r="J199" s="17" t="n">
        <x:v>15</x:v>
      </x:c>
      <x:c r="K199" s="17" t="n">
        <x:v>11</x:v>
      </x:c>
      <x:c r="L199" t="str">
        <x:v>I</x:v>
      </x:c>
      <x:c r="M199" t="str">
        <x:v>FL</x:v>
      </x:c>
      <x:c r="N199" t="str">
        <x:v>MILTON</x:v>
      </x:c>
      <x:c r="O199" t="str">
        <x:v>NJ</x:v>
      </x:c>
      <x:c r="P199" t="str">
        <x:v>NEW BRUNSWICK</x:v>
      </x:c>
      <x:c r="Q199" t="str">
        <x:v>已匹配</x:v>
      </x:c>
      <x:c r="R199" t="n">
        <x:v>489</x:v>
      </x:c>
    </x:row>
    <x:row r="200" ht="18">
      <x:c r="A200" s="12" t="s">
        <x:v>547</x:v>
      </x:c>
      <x:c r="B200" s="3">
        <x:v>95.73</x:v>
      </x:c>
      <x:c r="C200" s="5">
        <x:v>99.528000000000006</x:v>
      </x:c>
      <x:c r="D200" s="5">
        <x:f t="shared" si="3"/>
        <x:v>3.7980000000000018</x:v>
      </x:c>
      <x:c r="E200" t="s">
        <x:v>35</x:v>
      </x:c>
      <x:c r="F200" t="s">
        <x:v>10</x:v>
      </x:c>
      <x:c r="G200" t="s">
        <x:v>548</x:v>
      </x:c>
      <x:c r="H200" t="s">
        <x:v>549</x:v>
      </x:c>
      <x:c r="I200" s="17" t="n">
        <x:v>20</x:v>
      </x:c>
      <x:c r="J200" s="17" t="n">
        <x:v>16</x:v>
      </x:c>
      <x:c r="K200" s="17" t="n">
        <x:v>16</x:v>
      </x:c>
      <x:c r="L200" t="str">
        <x:v>I</x:v>
      </x:c>
      <x:c r="M200" t="str">
        <x:v>LA</x:v>
      </x:c>
      <x:c r="N200" t="str">
        <x:v>BOSSIER CITY</x:v>
      </x:c>
      <x:c r="O200" t="str">
        <x:v>NJ</x:v>
      </x:c>
      <x:c r="P200" t="str">
        <x:v>NEW BRUNSWICK</x:v>
      </x:c>
      <x:c r="Q200" t="str">
        <x:v>已匹配</x:v>
      </x:c>
      <x:c r="R200" t="n">
        <x:v>450</x:v>
      </x:c>
    </x:row>
    <x:row r="201" ht="18">
      <x:c r="A201" s="12" t="s">
        <x:v>550</x:v>
      </x:c>
      <x:c r="B201" s="3">
        <x:v>29.87</x:v>
      </x:c>
      <x:c r="C201" s="5">
        <x:v>38.148000000000003</x:v>
      </x:c>
      <x:c r="D201" s="5">
        <x:f t="shared" si="3"/>
        <x:v>8.2780000000000022</x:v>
      </x:c>
      <x:c r="E201" t="s">
        <x:v>25</x:v>
      </x:c>
      <x:c r="F201" t="s">
        <x:v>10</x:v>
      </x:c>
      <x:c r="G201" t="s">
        <x:v>551</x:v>
      </x:c>
      <x:c r="H201" t="s">
        <x:v>552</x:v>
      </x:c>
      <x:c r="I201" s="17" t="n">
        <x:v>16</x:v>
      </x:c>
      <x:c r="J201" s="17" t="n">
        <x:v>16</x:v>
      </x:c>
      <x:c r="K201" s="17" t="n">
        <x:v>12</x:v>
      </x:c>
      <x:c r="L201" t="str">
        <x:v>I</x:v>
      </x:c>
      <x:c r="M201" t="str">
        <x:v>FL</x:v>
      </x:c>
      <x:c r="N201" t="str">
        <x:v>FORT LAUDERDALE</x:v>
      </x:c>
      <x:c r="O201" t="str">
        <x:v>NJ</x:v>
      </x:c>
      <x:c r="P201" t="str">
        <x:v>NEW BRUNSWICK</x:v>
      </x:c>
      <x:c r="Q201" t="str">
        <x:v>已匹配</x:v>
      </x:c>
      <x:c r="R201" t="n">
        <x:v>488</x:v>
      </x:c>
    </x:row>
    <x:row r="202" ht="18">
      <x:c r="A202" s="12" t="s">
        <x:v>553</x:v>
      </x:c>
      <x:c r="B202" s="3">
        <x:v>20.2</x:v>
      </x:c>
      <x:c r="C202" s="5">
        <x:v>22.33</x:v>
      </x:c>
      <x:c r="D202" s="5">
        <x:f t="shared" si="3"/>
        <x:v>2.129999999999999</x:v>
      </x:c>
      <x:c r="E202" t="s">
        <x:v>25</x:v>
      </x:c>
      <x:c r="F202" t="s">
        <x:v>10</x:v>
      </x:c>
      <x:c r="G202" t="s">
        <x:v>554</x:v>
      </x:c>
      <x:c r="H202" t="s">
        <x:v>555</x:v>
      </x:c>
      <x:c r="I202" s="17" t="n">
        <x:v>15</x:v>
      </x:c>
      <x:c r="J202" s="17" t="n">
        <x:v>14</x:v>
      </x:c>
      <x:c r="K202" s="17" t="n">
        <x:v>12</x:v>
      </x:c>
      <x:c r="L202" t="str">
        <x:v>I</x:v>
      </x:c>
      <x:c r="M202" t="str">
        <x:v>NY</x:v>
      </x:c>
      <x:c r="N202" t="str">
        <x:v>WEEDSPORT</x:v>
      </x:c>
      <x:c r="O202" t="str">
        <x:v>NJ</x:v>
      </x:c>
      <x:c r="P202" t="str">
        <x:v>NEW BRUNSWICK</x:v>
      </x:c>
      <x:c r="Q202" t="str">
        <x:v>已匹配</x:v>
      </x:c>
      <x:c r="R202" t="n">
        <x:v>426</x:v>
      </x:c>
    </x:row>
    <x:row r="203" ht="18">
      <x:c r="A203" s="12" t="s">
        <x:v>556</x:v>
      </x:c>
      <x:c r="B203" s="3">
        <x:v>97.2</x:v>
      </x:c>
      <x:c r="C203" s="5">
        <x:v>99.528000000000006</x:v>
      </x:c>
      <x:c r="D203" s="5">
        <x:f t="shared" si="3"/>
        <x:v>2.328000000000003</x:v>
      </x:c>
      <x:c r="E203" t="s">
        <x:v>35</x:v>
      </x:c>
      <x:c r="F203" t="s">
        <x:v>10</x:v>
      </x:c>
      <x:c r="G203" t="s">
        <x:v>557</x:v>
      </x:c>
      <x:c r="H203" t="s">
        <x:v>558</x:v>
      </x:c>
      <x:c r="I203" s="17" t="n">
        <x:v>20</x:v>
      </x:c>
      <x:c r="J203" s="17" t="n">
        <x:v>16</x:v>
      </x:c>
      <x:c r="K203" s="17" t="n">
        <x:v>16</x:v>
      </x:c>
      <x:c r="L203" t="str">
        <x:v>I</x:v>
      </x:c>
      <x:c r="M203" t="str">
        <x:v>FL</x:v>
      </x:c>
      <x:c r="N203" t="str">
        <x:v>EVERGLADES CITY</x:v>
      </x:c>
      <x:c r="O203" t="str">
        <x:v>NJ</x:v>
      </x:c>
      <x:c r="P203" t="str">
        <x:v>NEW BRUNSWICK</x:v>
      </x:c>
      <x:c r="Q203" t="str">
        <x:v>已匹配</x:v>
      </x:c>
      <x:c r="R203" t="n">
        <x:v>449</x:v>
      </x:c>
    </x:row>
    <x:row r="204" ht="18">
      <x:c r="A204" s="12" t="s">
        <x:v>559</x:v>
      </x:c>
      <x:c r="B204" s="3">
        <x:v>27.26</x:v>
      </x:c>
      <x:c r="C204" s="5">
        <x:v>30.283000000000001</x:v>
      </x:c>
      <x:c r="D204" s="5">
        <x:f t="shared" si="3"/>
        <x:v>3.0229999999999997</x:v>
      </x:c>
      <x:c r="E204" t="s">
        <x:v>25</x:v>
      </x:c>
      <x:c r="F204" t="s">
        <x:v>10</x:v>
      </x:c>
      <x:c r="G204" t="s">
        <x:v>560</x:v>
      </x:c>
      <x:c r="H204" t="s">
        <x:v>561</x:v>
      </x:c>
      <x:c r="I204" s="17" t="n">
        <x:v>15</x:v>
      </x:c>
      <x:c r="J204" s="17" t="n">
        <x:v>15</x:v>
      </x:c>
      <x:c r="K204" s="17" t="n">
        <x:v>11</x:v>
      </x:c>
      <x:c r="L204" t="str">
        <x:v>I</x:v>
      </x:c>
      <x:c r="M204" t="str">
        <x:v>GA</x:v>
      </x:c>
      <x:c r="N204" t="str">
        <x:v>THOMSON</x:v>
      </x:c>
      <x:c r="O204" t="str">
        <x:v>NJ</x:v>
      </x:c>
      <x:c r="P204" t="str">
        <x:v>NEW BRUNSWICK</x:v>
      </x:c>
      <x:c r="Q204" t="str">
        <x:v>已匹配</x:v>
      </x:c>
      <x:c r="R204" t="n">
        <x:v>487</x:v>
      </x:c>
    </x:row>
    <x:row r="205" ht="18">
      <x:c r="A205" s="12" t="s">
        <x:v>562</x:v>
      </x:c>
      <x:c r="B205" s="3">
        <x:v>25.89</x:v>
      </x:c>
      <x:c r="C205" s="5">
        <x:v>28.754000000000001</x:v>
      </x:c>
      <x:c r="D205" s="5">
        <x:f t="shared" si="3"/>
        <x:v>2.8640000000000008</x:v>
      </x:c>
      <x:c r="E205" t="s">
        <x:v>21</x:v>
      </x:c>
      <x:c r="F205" t="s">
        <x:v>10</x:v>
      </x:c>
      <x:c r="G205" t="s">
        <x:v>563</x:v>
      </x:c>
      <x:c r="H205" t="s">
        <x:v>564</x:v>
      </x:c>
      <x:c r="I205" s="17" t="n">
        <x:v>19</x:v>
      </x:c>
      <x:c r="J205" s="17" t="n">
        <x:v>17</x:v>
      </x:c>
      <x:c r="K205" s="17" t="n">
        <x:v>13</x:v>
      </x:c>
      <x:c r="L205" t="str">
        <x:v>I</x:v>
      </x:c>
      <x:c r="M205" t="str">
        <x:v>NH</x:v>
      </x:c>
      <x:c r="N205" t="str">
        <x:v>TROY</x:v>
      </x:c>
      <x:c r="O205" t="str">
        <x:v>NJ</x:v>
      </x:c>
      <x:c r="P205" t="str">
        <x:v>NEW BRUNSWICK</x:v>
      </x:c>
      <x:c r="Q205" t="str">
        <x:v>已匹配</x:v>
      </x:c>
      <x:c r="R205" t="n">
        <x:v>486</x:v>
      </x:c>
    </x:row>
    <x:row r="206" ht="18">
      <x:c r="A206" s="12" t="s">
        <x:v>565</x:v>
      </x:c>
      <x:c r="B206" s="3">
        <x:v>21.67</x:v>
      </x:c>
      <x:c r="C206" s="5">
        <x:v>25.277999999999999</x:v>
      </x:c>
      <x:c r="D206" s="5">
        <x:f t="shared" si="3"/>
        <x:v>3.607999999999997</x:v>
      </x:c>
      <x:c r="E206" t="s">
        <x:v>25</x:v>
      </x:c>
      <x:c r="F206" t="s">
        <x:v>10</x:v>
      </x:c>
      <x:c r="G206" t="s">
        <x:v>566</x:v>
      </x:c>
      <x:c r="H206" t="s">
        <x:v>567</x:v>
      </x:c>
      <x:c r="I206" s="17" t="n">
        <x:v>16</x:v>
      </x:c>
      <x:c r="J206" s="17" t="n">
        <x:v>16</x:v>
      </x:c>
      <x:c r="K206" s="17" t="n">
        <x:v>12</x:v>
      </x:c>
      <x:c r="L206" t="str">
        <x:v>I</x:v>
      </x:c>
      <x:c r="M206" t="str">
        <x:v>SC</x:v>
      </x:c>
      <x:c r="N206" t="str">
        <x:v>SUMTER</x:v>
      </x:c>
      <x:c r="O206" t="str">
        <x:v>NJ</x:v>
      </x:c>
      <x:c r="P206" t="str">
        <x:v>NEW BRUNSWICK</x:v>
      </x:c>
      <x:c r="Q206" t="str">
        <x:v>已匹配</x:v>
      </x:c>
      <x:c r="R206" t="n">
        <x:v>468</x:v>
      </x:c>
    </x:row>
    <x:row r="207" ht="18">
      <x:c r="A207" s="12" t="s">
        <x:v>568</x:v>
      </x:c>
      <x:c r="B207" s="3">
        <x:v>71.62</x:v>
      </x:c>
      <x:c r="C207" s="5">
        <x:v>79.233000000000004</x:v>
      </x:c>
      <x:c r="D207" s="5">
        <x:f t="shared" si="3"/>
        <x:v>7.6129999999999995</x:v>
      </x:c>
      <x:c r="E207" t="s">
        <x:v>180</x:v>
      </x:c>
      <x:c r="F207" t="s">
        <x:v>10</x:v>
      </x:c>
      <x:c r="G207" t="s">
        <x:v>569</x:v>
      </x:c>
      <x:c r="H207" t="s">
        <x:v>570</x:v>
      </x:c>
      <x:c r="I207" s="17" t="n">
        <x:v>23</x:v>
      </x:c>
      <x:c r="J207" s="17" t="n">
        <x:v>23</x:v>
      </x:c>
      <x:c r="K207" s="17" t="n">
        <x:v>17</x:v>
      </x:c>
      <x:c r="L207" t="str">
        <x:v>I</x:v>
      </x:c>
      <x:c r="M207" t="str">
        <x:v>OH</x:v>
      </x:c>
      <x:c r="N207" t="str">
        <x:v>FAIRFIELD</x:v>
      </x:c>
      <x:c r="O207" t="str">
        <x:v>NJ</x:v>
      </x:c>
      <x:c r="P207" t="str">
        <x:v>NEW BRUNSWICK</x:v>
      </x:c>
      <x:c r="Q207" t="str">
        <x:v>已匹配</x:v>
      </x:c>
      <x:c r="R207" t="n">
        <x:v>521</x:v>
      </x:c>
    </x:row>
    <x:row r="208" ht="18">
      <x:c r="A208" s="12" t="s">
        <x:v>571</x:v>
      </x:c>
      <x:c r="B208" s="3">
        <x:v>20.7</x:v>
      </x:c>
      <x:c r="C208" s="5">
        <x:v>25.234000000000002</x:v>
      </x:c>
      <x:c r="D208" s="5">
        <x:f t="shared" si="3"/>
        <x:v>4.5340000000000025</x:v>
      </x:c>
      <x:c r="E208" t="s">
        <x:v>572</x:v>
      </x:c>
      <x:c r="F208" t="s">
        <x:v>10</x:v>
      </x:c>
      <x:c r="G208" t="s">
        <x:v>573</x:v>
      </x:c>
      <x:c r="H208" t="s">
        <x:v>574</x:v>
      </x:c>
      <x:c r="I208" s="17" t="n">
        <x:v>16</x:v>
      </x:c>
      <x:c r="J208" s="17" t="n">
        <x:v>16</x:v>
      </x:c>
      <x:c r="K208" s="17" t="n">
        <x:v>12</x:v>
      </x:c>
      <x:c r="L208" t="str">
        <x:v>I</x:v>
      </x:c>
      <x:c r="M208" t="str">
        <x:v>NC</x:v>
      </x:c>
      <x:c r="N208" t="str">
        <x:v>WAYNESVILLE</x:v>
      </x:c>
      <x:c r="O208" t="str">
        <x:v>NJ</x:v>
      </x:c>
      <x:c r="P208" t="str">
        <x:v>NEW BRUNSWICK</x:v>
      </x:c>
      <x:c r="Q208" t="str">
        <x:v>已匹配</x:v>
      </x:c>
      <x:c r="R208" t="n">
        <x:v>467</x:v>
      </x:c>
    </x:row>
    <x:row r="209" ht="18">
      <x:c r="A209" s="12" t="s">
        <x:v>575</x:v>
      </x:c>
      <x:c r="B209" s="3">
        <x:v>20.7</x:v>
      </x:c>
      <x:c r="C209" s="5">
        <x:v>22.858000000000001</x:v>
      </x:c>
      <x:c r="D209" s="5">
        <x:f t="shared" si="3"/>
        <x:v>2.1580000000000013</x:v>
      </x:c>
      <x:c r="E209" t="s">
        <x:v>25</x:v>
      </x:c>
      <x:c r="F209" t="s">
        <x:v>10</x:v>
      </x:c>
      <x:c r="G209" t="s">
        <x:v>576</x:v>
      </x:c>
      <x:c r="H209" t="s">
        <x:v>577</x:v>
      </x:c>
      <x:c r="I209" s="17" t="n">
        <x:v>16</x:v>
      </x:c>
      <x:c r="J209" s="17" t="n">
        <x:v>16</x:v>
      </x:c>
      <x:c r="K209" s="17" t="n">
        <x:v>12</x:v>
      </x:c>
      <x:c r="L209" t="str">
        <x:v>I</x:v>
      </x:c>
      <x:c r="M209" t="str">
        <x:v>PA</x:v>
      </x:c>
      <x:c r="N209" t="str">
        <x:v>FREEDOM</x:v>
      </x:c>
      <x:c r="O209" t="str">
        <x:v>NJ</x:v>
      </x:c>
      <x:c r="P209" t="str">
        <x:v>NEW BRUNSWICK</x:v>
      </x:c>
      <x:c r="Q209" t="str">
        <x:v>已匹配</x:v>
      </x:c>
      <x:c r="R209" t="n">
        <x:v>423</x:v>
      </x:c>
    </x:row>
    <x:row r="210" ht="18">
      <x:c r="A210" s="12" t="s">
        <x:v>578</x:v>
      </x:c>
      <x:c r="B210" s="3">
        <x:v>33.39</x:v>
      </x:c>
      <x:c r="C210" s="5">
        <x:v>38.819000000000003</x:v>
      </x:c>
      <x:c r="D210" s="5">
        <x:f t="shared" si="3"/>
        <x:v>5.429000000000002</x:v>
      </x:c>
      <x:c r="E210" t="s">
        <x:v>25</x:v>
      </x:c>
      <x:c r="F210" t="s">
        <x:v>10</x:v>
      </x:c>
      <x:c r="G210" t="s">
        <x:v>579</x:v>
      </x:c>
      <x:c r="H210" t="s">
        <x:v>580</x:v>
      </x:c>
      <x:c r="I210" s="17" t="n">
        <x:v>16</x:v>
      </x:c>
      <x:c r="J210" s="17" t="n">
        <x:v>16</x:v>
      </x:c>
      <x:c r="K210" s="17" t="n">
        <x:v>12</x:v>
      </x:c>
      <x:c r="L210" t="str">
        <x:v>I</x:v>
      </x:c>
      <x:c r="M210" t="str">
        <x:v>FL</x:v>
      </x:c>
      <x:c r="N210" t="str">
        <x:v>HIALEAH</x:v>
      </x:c>
      <x:c r="O210" t="str">
        <x:v>NJ</x:v>
      </x:c>
      <x:c r="P210" t="str">
        <x:v>NEW BRUNSWICK</x:v>
      </x:c>
      <x:c r="Q210" t="str">
        <x:v>已匹配</x:v>
      </x:c>
      <x:c r="R210" t="n">
        <x:v>445</x:v>
      </x:c>
    </x:row>
    <x:row r="211" ht="18">
      <x:c r="A211" s="12" t="s">
        <x:v>581</x:v>
      </x:c>
      <x:c r="B211" s="3">
        <x:v>56.27</x:v>
      </x:c>
      <x:c r="C211" s="5">
        <x:v>61.6</x:v>
      </x:c>
      <x:c r="D211" s="5">
        <x:f t="shared" si="3"/>
        <x:v>5.3299999999999983</x:v>
      </x:c>
      <x:c r="E211" t="s">
        <x:v>147</x:v>
      </x:c>
      <x:c r="F211" t="s">
        <x:v>10</x:v>
      </x:c>
      <x:c r="G211" t="s">
        <x:v>582</x:v>
      </x:c>
      <x:c r="H211" t="s">
        <x:v>583</x:v>
      </x:c>
      <x:c r="I211" s="17" t="n">
        <x:v>27</x:v>
      </x:c>
      <x:c r="J211" s="17" t="n">
        <x:v>21</x:v>
      </x:c>
      <x:c r="K211" s="17" t="n">
        <x:v>21</x:v>
      </x:c>
      <x:c r="L211" t="str">
        <x:v>I</x:v>
      </x:c>
      <x:c r="M211" t="str">
        <x:v>MD</x:v>
      </x:c>
      <x:c r="N211" t="str">
        <x:v>CALLAWAY</x:v>
      </x:c>
      <x:c r="O211" t="str">
        <x:v>NJ</x:v>
      </x:c>
      <x:c r="P211" t="str">
        <x:v>NEW BRUNSWICK</x:v>
      </x:c>
      <x:c r="Q211" t="str">
        <x:v>已匹配</x:v>
      </x:c>
      <x:c r="R211" t="n">
        <x:v>421</x:v>
      </x:c>
    </x:row>
    <x:row r="212" ht="18">
      <x:c r="A212" s="12" t="s">
        <x:v>584</x:v>
      </x:c>
      <x:c r="B212" s="3">
        <x:v>20.7</x:v>
      </x:c>
      <x:c r="C212" s="5">
        <x:v>23.023</x:v>
      </x:c>
      <x:c r="D212" s="5">
        <x:f t="shared" si="3"/>
        <x:v>2.3230000000000004</x:v>
      </x:c>
      <x:c r="E212" t="s">
        <x:v>25</x:v>
      </x:c>
      <x:c r="F212" t="s">
        <x:v>10</x:v>
      </x:c>
      <x:c r="G212" t="s">
        <x:v>585</x:v>
      </x:c>
      <x:c r="H212" t="s">
        <x:v>586</x:v>
      </x:c>
      <x:c r="I212" s="17" t="n">
        <x:v>19</x:v>
      </x:c>
      <x:c r="J212" s="17" t="n">
        <x:v>13</x:v>
      </x:c>
      <x:c r="K212" s="17" t="n">
        <x:v>13</x:v>
      </x:c>
      <x:c r="L212" t="str">
        <x:v>I</x:v>
      </x:c>
      <x:c r="M212" t="str">
        <x:v>NC</x:v>
      </x:c>
      <x:c r="N212" t="str">
        <x:v>GASTONIA</x:v>
      </x:c>
      <x:c r="O212" t="str">
        <x:v>NJ</x:v>
      </x:c>
      <x:c r="P212" t="str">
        <x:v>NEW BRUNSWICK</x:v>
      </x:c>
      <x:c r="Q212" t="str">
        <x:v>已匹配</x:v>
      </x:c>
      <x:c r="R212" t="n">
        <x:v>420</x:v>
      </x:c>
    </x:row>
    <x:row r="213" ht="18">
      <x:c r="A213" s="12" t="s">
        <x:v>587</x:v>
      </x:c>
      <x:c r="B213" s="3">
        <x:v>110.61</x:v>
      </x:c>
      <x:c r="C213" s="5">
        <x:v>126.91800000000001</x:v>
      </x:c>
      <x:c r="D213" s="5">
        <x:f t="shared" si="3"/>
        <x:v>16.308000000000007</x:v>
      </x:c>
      <x:c r="E213" t="s">
        <x:v>87</x:v>
      </x:c>
      <x:c r="F213" t="s">
        <x:v>10</x:v>
      </x:c>
      <x:c r="G213" t="s">
        <x:v>588</x:v>
      </x:c>
      <x:c r="H213" t="s">
        <x:v>589</x:v>
      </x:c>
      <x:c r="I213" s="17" t="n">
        <x:v>27</x:v>
      </x:c>
      <x:c r="J213" s="17" t="n">
        <x:v>22</x:v>
      </x:c>
      <x:c r="K213" s="17" t="n">
        <x:v>16</x:v>
      </x:c>
      <x:c r="L213" t="str">
        <x:v>I</x:v>
      </x:c>
      <x:c r="M213" t="str">
        <x:v>FL</x:v>
      </x:c>
      <x:c r="N213" t="str">
        <x:v>NAPLES</x:v>
      </x:c>
      <x:c r="O213" t="str">
        <x:v>NJ</x:v>
      </x:c>
      <x:c r="P213" t="str">
        <x:v>NEW BRUNSWICK</x:v>
      </x:c>
      <x:c r="Q213" t="str">
        <x:v>已匹配</x:v>
      </x:c>
      <x:c r="R213" t="n">
        <x:v>442</x:v>
      </x:c>
    </x:row>
    <x:row r="214" ht="18">
      <x:c r="A214" s="12" t="s">
        <x:v>590</x:v>
      </x:c>
      <x:c r="B214" s="3">
        <x:v>28.91</x:v>
      </x:c>
      <x:c r="C214" s="5">
        <x:v>32.350999999999999</x:v>
      </x:c>
      <x:c r="D214" s="5">
        <x:f t="shared" si="3"/>
        <x:v>3.4409999999999989</x:v>
      </x:c>
      <x:c r="E214" t="s">
        <x:v>21</x:v>
      </x:c>
      <x:c r="F214" t="s">
        <x:v>10</x:v>
      </x:c>
      <x:c r="G214" t="s">
        <x:v>591</x:v>
      </x:c>
      <x:c r="H214" t="s">
        <x:v>592</x:v>
      </x:c>
      <x:c r="I214" s="17" t="n">
        <x:v>19</x:v>
      </x:c>
      <x:c r="J214" s="17" t="n">
        <x:v>17</x:v>
      </x:c>
      <x:c r="K214" s="17" t="n">
        <x:v>12</x:v>
      </x:c>
      <x:c r="L214" t="str">
        <x:v>I</x:v>
      </x:c>
      <x:c r="M214" t="str">
        <x:v>ME</x:v>
      </x:c>
      <x:c r="N214" t="str">
        <x:v>UNION</x:v>
      </x:c>
      <x:c r="O214" t="str">
        <x:v>NJ</x:v>
      </x:c>
      <x:c r="P214" t="str">
        <x:v>NEW BRUNSWICK</x:v>
      </x:c>
      <x:c r="Q214" t="str">
        <x:v>已匹配</x:v>
      </x:c>
      <x:c r="R214" t="n">
        <x:v>440</x:v>
      </x:c>
    </x:row>
    <x:row r="215" ht="18">
      <x:c r="A215" s="12" t="s">
        <x:v>593</x:v>
      </x:c>
      <x:c r="B215" s="3">
        <x:v>62.65</x:v>
      </x:c>
      <x:c r="C215" s="5">
        <x:v>68.915000000000006</x:v>
      </x:c>
      <x:c r="D215" s="5">
        <x:f t="shared" si="3"/>
        <x:v>6.2650000000000077</x:v>
      </x:c>
      <x:c r="E215" t="s">
        <x:v>21</x:v>
      </x:c>
      <x:c r="F215" t="s">
        <x:v>10</x:v>
      </x:c>
      <x:c r="G215" t="s">
        <x:v>594</x:v>
      </x:c>
      <x:c r="H215" t="s">
        <x:v>595</x:v>
      </x:c>
      <x:c r="I215" s="17"/>
      <x:c r="J215" s="17"/>
      <x:c r="K215" s="17"/>
      <x:c r="L215"/>
      <x:c r="M215"/>
      <x:c r="N215"/>
      <x:c r="O215"/>
      <x:c r="P215"/>
      <x:c r="Q215" t="str">
        <x:v>未匹配</x:v>
      </x:c>
      <x:c r="R215"/>
    </x:row>
    <x:row r="216" ht="18">
      <x:c r="A216" s="12" t="s">
        <x:v>596</x:v>
      </x:c>
      <x:c r="B216" s="3">
        <x:v>34.54</x:v>
      </x:c>
      <x:c r="C216" s="5">
        <x:v>71.995000000000005</x:v>
      </x:c>
      <x:c r="D216" s="5">
        <x:f t="shared" si="3"/>
        <x:v>37.455000000000005</x:v>
      </x:c>
      <x:c r="E216" t="s">
        <x:v>417</x:v>
      </x:c>
      <x:c r="F216" t="s">
        <x:v>10</x:v>
      </x:c>
      <x:c r="G216" t="s">
        <x:v>597</x:v>
      </x:c>
      <x:c r="H216" t="s">
        <x:v>598</x:v>
      </x:c>
      <x:c r="I216" s="17"/>
      <x:c r="J216" s="17"/>
      <x:c r="K216" s="17"/>
      <x:c r="L216"/>
      <x:c r="M216"/>
      <x:c r="N216"/>
      <x:c r="O216"/>
      <x:c r="P216"/>
      <x:c r="Q216" t="str">
        <x:v>未匹配</x:v>
      </x:c>
      <x:c r="R216"/>
    </x:row>
    <x:row r="217" ht="18">
      <x:c r="A217" s="12" t="s">
        <x:v>599</x:v>
      </x:c>
      <x:c r="B217" s="3">
        <x:v>16.940000000000001</x:v>
      </x:c>
      <x:c r="C217" s="5">
        <x:v>19.349</x:v>
      </x:c>
      <x:c r="D217" s="5">
        <x:f t="shared" si="3"/>
        <x:v>2.4089999999999989</x:v>
      </x:c>
      <x:c r="E217" t="s">
        <x:v>25</x:v>
      </x:c>
      <x:c r="F217" t="s">
        <x:v>10</x:v>
      </x:c>
      <x:c r="G217" t="s">
        <x:v>600</x:v>
      </x:c>
      <x:c r="H217" t="s">
        <x:v>601</x:v>
      </x:c>
      <x:c r="I217" s="17" t="n">
        <x:v>16</x:v>
      </x:c>
      <x:c r="J217" s="17" t="n">
        <x:v>16</x:v>
      </x:c>
      <x:c r="K217" s="17" t="n">
        <x:v>12</x:v>
      </x:c>
      <x:c r="L217" t="str">
        <x:v>I</x:v>
      </x:c>
      <x:c r="M217" t="str">
        <x:v>PA</x:v>
      </x:c>
      <x:c r="N217" t="str">
        <x:v>EASTON</x:v>
      </x:c>
      <x:c r="O217" t="str">
        <x:v>NJ</x:v>
      </x:c>
      <x:c r="P217" t="str">
        <x:v>NEW BRUNSWICK</x:v>
      </x:c>
      <x:c r="Q217" t="str">
        <x:v>已匹配</x:v>
      </x:c>
      <x:c r="R217" t="n">
        <x:v>456</x:v>
      </x:c>
    </x:row>
    <x:row r="218" ht="18">
      <x:c r="A218" s="12" t="s">
        <x:v>602</x:v>
      </x:c>
      <x:c r="B218" s="3">
        <x:v>27.46</x:v>
      </x:c>
      <x:c r="C218" s="5">
        <x:v>30.228000000000002</x:v>
      </x:c>
      <x:c r="D218" s="5">
        <x:f t="shared" si="3"/>
        <x:v>2.7680000000000007</x:v>
      </x:c>
      <x:c r="E218" t="s">
        <x:v>25</x:v>
      </x:c>
      <x:c r="F218" t="s">
        <x:v>10</x:v>
      </x:c>
      <x:c r="G218" t="s">
        <x:v>603</x:v>
      </x:c>
      <x:c r="H218" t="s">
        <x:v>604</x:v>
      </x:c>
      <x:c r="I218" s="17" t="n">
        <x:v>16</x:v>
      </x:c>
      <x:c r="J218" s="17" t="n">
        <x:v>16</x:v>
      </x:c>
      <x:c r="K218" s="17" t="n">
        <x:v>12</x:v>
      </x:c>
      <x:c r="L218" t="str">
        <x:v>I</x:v>
      </x:c>
      <x:c r="M218" t="str">
        <x:v>IN</x:v>
      </x:c>
      <x:c r="N218" t="str">
        <x:v>MARTINSVILLE</x:v>
      </x:c>
      <x:c r="O218" t="str">
        <x:v>NJ</x:v>
      </x:c>
      <x:c r="P218" t="str">
        <x:v>NEW BRUNSWICK</x:v>
      </x:c>
      <x:c r="Q218" t="str">
        <x:v>已匹配</x:v>
      </x:c>
      <x:c r="R218" t="n">
        <x:v>416</x:v>
      </x:c>
    </x:row>
    <x:row r="219" ht="18">
      <x:c r="A219" s="12" t="s">
        <x:v>605</x:v>
      </x:c>
      <x:c r="B219" s="3">
        <x:v>22.58</x:v>
      </x:c>
      <x:c r="C219" s="5">
        <x:v>55.363</x:v>
      </x:c>
      <x:c r="D219" s="5">
        <x:f t="shared" si="3"/>
        <x:v>32.783000000000001</x:v>
      </x:c>
      <x:c r="E219" t="s">
        <x:v>25</x:v>
      </x:c>
      <x:c r="F219" t="s">
        <x:v>10</x:v>
      </x:c>
      <x:c r="G219" t="s">
        <x:v>606</x:v>
      </x:c>
      <x:c r="H219" t="s">
        <x:v>607</x:v>
      </x:c>
      <x:c r="I219" s="17" t="n">
        <x:v>16</x:v>
      </x:c>
      <x:c r="J219" s="17" t="n">
        <x:v>16</x:v>
      </x:c>
      <x:c r="K219" s="17" t="n">
        <x:v>12</x:v>
      </x:c>
      <x:c r="L219" t="str">
        <x:v>I</x:v>
      </x:c>
      <x:c r="M219" t="str">
        <x:v>NC</x:v>
      </x:c>
      <x:c r="N219" t="str">
        <x:v>SUMMERFIELD</x:v>
      </x:c>
      <x:c r="O219" t="str">
        <x:v>NJ</x:v>
      </x:c>
      <x:c r="P219" t="str">
        <x:v>NEW BRUNSWICK</x:v>
      </x:c>
      <x:c r="Q219" t="str">
        <x:v>已匹配</x:v>
      </x:c>
      <x:c r="R219" t="n">
        <x:v>393</x:v>
      </x:c>
    </x:row>
    <x:row r="220" ht="18">
      <x:c r="A220" s="12" t="s">
        <x:v>608</x:v>
      </x:c>
      <x:c r="B220" s="3">
        <x:v>62.65</x:v>
      </x:c>
      <x:c r="C220" s="5">
        <x:v>168.916</x:v>
      </x:c>
      <x:c r="D220" s="5">
        <x:f t="shared" si="3"/>
        <x:v>106.26599999999999</x:v>
      </x:c>
      <x:c r="E220" t="s">
        <x:v>21</x:v>
      </x:c>
      <x:c r="F220" t="s">
        <x:v>10</x:v>
      </x:c>
      <x:c r="G220" t="s">
        <x:v>609</x:v>
      </x:c>
      <x:c r="H220" t="s">
        <x:v>610</x:v>
      </x:c>
      <x:c r="I220" s="17" t="n">
        <x:v>20</x:v>
      </x:c>
      <x:c r="J220" s="17" t="n">
        <x:v>17</x:v>
      </x:c>
      <x:c r="K220" s="17" t="n">
        <x:v>13</x:v>
      </x:c>
      <x:c r="L220" t="str">
        <x:v>I</x:v>
      </x:c>
      <x:c r="M220" t="str">
        <x:v>CA</x:v>
      </x:c>
      <x:c r="N220" t="str">
        <x:v>PITTSBURG</x:v>
      </x:c>
      <x:c r="O220" t="str">
        <x:v>NJ</x:v>
      </x:c>
      <x:c r="P220" t="str">
        <x:v>NEW BRUNSWICK</x:v>
      </x:c>
      <x:c r="Q220" t="str">
        <x:v>已匹配</x:v>
      </x:c>
      <x:c r="R220" t="n">
        <x:v>439</x:v>
      </x:c>
    </x:row>
    <x:row r="221" ht="18">
      <x:c r="A221" s="12" t="s">
        <x:v>611</x:v>
      </x:c>
      <x:c r="B221" s="3">
        <x:v>46.44</x:v>
      </x:c>
      <x:c r="C221" s="5">
        <x:v>62.853999999999999</x:v>
      </x:c>
      <x:c r="D221" s="5">
        <x:f t="shared" si="3"/>
        <x:v>16.414000000000001</x:v>
      </x:c>
      <x:c r="E221" t="s">
        <x:v>612</x:v>
      </x:c>
      <x:c r="F221" t="s">
        <x:v>10</x:v>
      </x:c>
      <x:c r="G221" t="s">
        <x:v>613</x:v>
      </x:c>
      <x:c r="H221" t="s">
        <x:v>614</x:v>
      </x:c>
      <x:c r="I221" s="17" t="n">
        <x:v>32</x:v>
      </x:c>
      <x:c r="J221" s="17" t="n">
        <x:v>30</x:v>
      </x:c>
      <x:c r="K221" s="17" t="n">
        <x:v>25</x:v>
      </x:c>
      <x:c r="L221" t="str">
        <x:v>C</x:v>
      </x:c>
      <x:c r="M221" t="str">
        <x:v>CA</x:v>
      </x:c>
      <x:c r="N221" t="str">
        <x:v>LONG BEACH</x:v>
      </x:c>
      <x:c r="O221" t="str">
        <x:v>NJ</x:v>
      </x:c>
      <x:c r="P221" t="str">
        <x:v>NEW BRUNSWICK</x:v>
      </x:c>
      <x:c r="Q221" t="str">
        <x:v>已匹配</x:v>
      </x:c>
      <x:c r="R221" t="n">
        <x:v>438</x:v>
      </x:c>
    </x:row>
    <x:row r="222" ht="18">
      <x:c r="A222" s="12" t="s">
        <x:v>615</x:v>
      </x:c>
      <x:c r="B222" s="3">
        <x:v>44.42</x:v>
      </x:c>
      <x:c r="C222" s="5">
        <x:v>84.128</x:v>
      </x:c>
      <x:c r="D222" s="5">
        <x:f t="shared" si="3"/>
        <x:v>39.707999999999998</x:v>
      </x:c>
      <x:c r="E222" t="s">
        <x:v>147</x:v>
      </x:c>
      <x:c r="F222" t="s">
        <x:v>10</x:v>
      </x:c>
      <x:c r="G222" t="s">
        <x:v>616</x:v>
      </x:c>
      <x:c r="H222" t="s">
        <x:v>617</x:v>
      </x:c>
      <x:c r="I222" s="17" t="n">
        <x:v>25</x:v>
      </x:c>
      <x:c r="J222" s="17" t="n">
        <x:v>21</x:v>
      </x:c>
      <x:c r="K222" s="17" t="n">
        <x:v>17</x:v>
      </x:c>
      <x:c r="L222" t="str">
        <x:v>I</x:v>
      </x:c>
      <x:c r="M222" t="str">
        <x:v>GA</x:v>
      </x:c>
      <x:c r="N222" t="str">
        <x:v>JONESBORO</x:v>
      </x:c>
      <x:c r="O222" t="str">
        <x:v>NJ</x:v>
      </x:c>
      <x:c r="P222" t="str">
        <x:v>NEW BRUNSWICK</x:v>
      </x:c>
      <x:c r="Q222" t="str">
        <x:v>已匹配</x:v>
      </x:c>
      <x:c r="R222" t="n">
        <x:v>437</x:v>
      </x:c>
    </x:row>
    <x:row r="223" ht="18">
      <x:c r="A223" s="12" t="s">
        <x:v>618</x:v>
      </x:c>
      <x:c r="B223" s="3">
        <x:v>44.5</x:v>
      </x:c>
      <x:c r="C223" s="5">
        <x:v>52.14</x:v>
      </x:c>
      <x:c r="D223" s="5">
        <x:f t="shared" si="3"/>
        <x:v>7.6400000000000006</x:v>
      </x:c>
      <x:c r="E223" t="s">
        <x:v>25</x:v>
      </x:c>
      <x:c r="F223" t="s">
        <x:v>10</x:v>
      </x:c>
      <x:c r="G223" t="s">
        <x:v>619</x:v>
      </x:c>
      <x:c r="H223" t="s">
        <x:v>620</x:v>
      </x:c>
      <x:c r="I223" s="17"/>
      <x:c r="J223" s="17"/>
      <x:c r="K223" s="17"/>
      <x:c r="L223"/>
      <x:c r="M223"/>
      <x:c r="N223"/>
      <x:c r="O223"/>
      <x:c r="P223"/>
      <x:c r="Q223" t="str">
        <x:v>未匹配</x:v>
      </x:c>
      <x:c r="R223"/>
    </x:row>
    <x:row r="224" ht="18">
      <x:c r="A224" s="12" t="s">
        <x:v>621</x:v>
      </x:c>
      <x:c r="B224" s="3">
        <x:v>71.650000000000006</x:v>
      </x:c>
      <x:c r="C224" s="5">
        <x:v>179.42099999999999</x:v>
      </x:c>
      <x:c r="D224" s="5">
        <x:f t="shared" si="3"/>
        <x:v>107.77099999999999</x:v>
      </x:c>
      <x:c r="E224" t="s">
        <x:v>180</x:v>
      </x:c>
      <x:c r="F224" t="s">
        <x:v>10</x:v>
      </x:c>
      <x:c r="G224" t="s">
        <x:v>622</x:v>
      </x:c>
      <x:c r="H224" t="s">
        <x:v>623</x:v>
      </x:c>
      <x:c r="I224" s="17" t="n">
        <x:v>22</x:v>
      </x:c>
      <x:c r="J224" s="17" t="n">
        <x:v>22</x:v>
      </x:c>
      <x:c r="K224" s="17" t="n">
        <x:v>17</x:v>
      </x:c>
      <x:c r="L224" t="str">
        <x:v>I</x:v>
      </x:c>
      <x:c r="M224" t="str">
        <x:v>SC</x:v>
      </x:c>
      <x:c r="N224" t="str">
        <x:v>CHARLESTON</x:v>
      </x:c>
      <x:c r="O224" t="str">
        <x:v>NJ</x:v>
      </x:c>
      <x:c r="P224" t="str">
        <x:v>NEW BRUNSWICK</x:v>
      </x:c>
      <x:c r="Q224" t="str">
        <x:v>已匹配</x:v>
      </x:c>
      <x:c r="R224" t="n">
        <x:v>392</x:v>
      </x:c>
    </x:row>
    <x:row r="225" ht="18">
      <x:c r="A225" s="12" t="s">
        <x:v>624</x:v>
      </x:c>
      <x:c r="B225" s="3">
        <x:v>57.47</x:v>
      </x:c>
      <x:c r="C225" s="5">
        <x:v>128.47999999999999</x:v>
      </x:c>
      <x:c r="D225" s="5">
        <x:f t="shared" si="3"/>
        <x:v>71.009999999999991</x:v>
      </x:c>
      <x:c r="E225" t="s">
        <x:v>35</x:v>
      </x:c>
      <x:c r="F225" t="s">
        <x:v>10</x:v>
      </x:c>
      <x:c r="G225" t="s">
        <x:v>625</x:v>
      </x:c>
      <x:c r="H225" t="s">
        <x:v>626</x:v>
      </x:c>
      <x:c r="I225" s="17" t="n">
        <x:v>48</x:v>
      </x:c>
      <x:c r="J225" s="17" t="n">
        <x:v>41</x:v>
      </x:c>
      <x:c r="K225" s="17" t="n">
        <x:v>38</x:v>
      </x:c>
      <x:c r="L225" t="str">
        <x:v>C</x:v>
      </x:c>
      <x:c r="M225" t="str">
        <x:v>PA</x:v>
      </x:c>
      <x:c r="N225" t="str">
        <x:v>DOYLESTOWN</x:v>
      </x:c>
      <x:c r="O225" t="str">
        <x:v>NJ</x:v>
      </x:c>
      <x:c r="P225" t="str">
        <x:v>NEW BRUNSWICK</x:v>
      </x:c>
      <x:c r="Q225" t="str">
        <x:v>已匹配</x:v>
      </x:c>
      <x:c r="R225" t="n">
        <x:v>374</x:v>
      </x:c>
    </x:row>
    <x:row r="226" ht="18">
      <x:c r="A226" s="12" t="s">
        <x:v>627</x:v>
      </x:c>
      <x:c r="B226" s="3">
        <x:v>29.87</x:v>
      </x:c>
      <x:c r="C226" s="5">
        <x:v>38.148000000000003</x:v>
      </x:c>
      <x:c r="D226" s="5">
        <x:f t="shared" si="3"/>
        <x:v>8.2780000000000022</x:v>
      </x:c>
      <x:c r="F226" t="s">
        <x:v>91</x:v>
      </x:c>
      <x:c r="I226" s="17" t="n">
        <x:v>16</x:v>
      </x:c>
      <x:c r="J226" s="17" t="n">
        <x:v>16</x:v>
      </x:c>
      <x:c r="K226" s="17" t="n">
        <x:v>12</x:v>
      </x:c>
      <x:c r="L226" t="str">
        <x:v>I</x:v>
      </x:c>
      <x:c r="M226" t="str">
        <x:v>FL</x:v>
      </x:c>
      <x:c r="N226" t="str">
        <x:v>FORT LAUDERDALE</x:v>
      </x:c>
      <x:c r="O226" t="str">
        <x:v>NJ</x:v>
      </x:c>
      <x:c r="P226" t="str">
        <x:v>NEW BRUNSWICK</x:v>
      </x:c>
      <x:c r="Q226" t="str">
        <x:v>已匹配</x:v>
      </x:c>
      <x:c r="R226" t="n">
        <x:v>518</x:v>
      </x:c>
    </x:row>
    <x:row r="227" ht="18">
      <x:c r="A227" s="12" t="s">
        <x:v>628</x:v>
      </x:c>
      <x:c r="B227" s="3">
        <x:v>23.61</x:v>
      </x:c>
      <x:c r="C227" s="5">
        <x:v>72.709999999999994</x:v>
      </x:c>
      <x:c r="D227" s="5">
        <x:f t="shared" si="3"/>
        <x:v>49.099999999999994</x:v>
      </x:c>
      <x:c r="E227" t="s">
        <x:v>14</x:v>
      </x:c>
      <x:c r="F227" t="s">
        <x:v>10</x:v>
      </x:c>
      <x:c r="G227" t="s">
        <x:v>629</x:v>
      </x:c>
      <x:c r="H227" t="s">
        <x:v>630</x:v>
      </x:c>
      <x:c r="I227" s="17" t="n">
        <x:v>16</x:v>
      </x:c>
      <x:c r="J227" s="17" t="n">
        <x:v>15</x:v>
      </x:c>
      <x:c r="K227" s="17" t="n">
        <x:v>12</x:v>
      </x:c>
      <x:c r="L227" t="str">
        <x:v>I</x:v>
      </x:c>
      <x:c r="M227" t="str">
        <x:v>FL</x:v>
      </x:c>
      <x:c r="N227" t="str">
        <x:v>GRANT</x:v>
      </x:c>
      <x:c r="O227" t="str">
        <x:v>NJ</x:v>
      </x:c>
      <x:c r="P227" t="str">
        <x:v>NEW BRUNSWICK</x:v>
      </x:c>
      <x:c r="Q227" t="str">
        <x:v>已匹配</x:v>
      </x:c>
      <x:c r="R227" t="n">
        <x:v>411</x:v>
      </x:c>
    </x:row>
    <x:row r="228" ht="18">
      <x:c r="A228" s="12" t="s">
        <x:v>631</x:v>
      </x:c>
      <x:c r="B228" s="3">
        <x:v>149.24</x:v>
      </x:c>
      <x:c r="C228" s="5">
        <x:v>171.77600000000001</x:v>
      </x:c>
      <x:c r="D228" s="5">
        <x:f t="shared" si="3"/>
        <x:v>22.536000000000001</x:v>
      </x:c>
      <x:c r="E228" t="s">
        <x:v>35</x:v>
      </x:c>
      <x:c r="F228" t="s">
        <x:v>10</x:v>
      </x:c>
      <x:c r="G228" t="s">
        <x:v>632</x:v>
      </x:c>
      <x:c r="H228" t="s">
        <x:v>633</x:v>
      </x:c>
      <x:c r="I228" s="17" t="n">
        <x:v>49</x:v>
      </x:c>
      <x:c r="J228" s="17" t="n">
        <x:v>40</x:v>
      </x:c>
      <x:c r="K228" s="17" t="n">
        <x:v>39</x:v>
      </x:c>
      <x:c r="L228" t="str">
        <x:v>C</x:v>
      </x:c>
      <x:c r="M228" t="str">
        <x:v>NC</x:v>
      </x:c>
      <x:c r="N228" t="str">
        <x:v>ROSEBORO</x:v>
      </x:c>
      <x:c r="O228" t="str">
        <x:v>NJ</x:v>
      </x:c>
      <x:c r="P228" t="str">
        <x:v>NEW BRUNSWICK</x:v>
      </x:c>
      <x:c r="Q228" t="str">
        <x:v>已匹配</x:v>
      </x:c>
      <x:c r="R228" t="n">
        <x:v>409</x:v>
      </x:c>
    </x:row>
    <x:row r="229" ht="18">
      <x:c r="A229" s="12" t="s">
        <x:v>634</x:v>
      </x:c>
      <x:c r="B229" s="3">
        <x:v>37.47</x:v>
      </x:c>
      <x:c r="C229" s="5">
        <x:v>93.126000000000005</x:v>
      </x:c>
      <x:c r="D229" s="5">
        <x:f t="shared" si="3"/>
        <x:v>55.656000000000006</x:v>
      </x:c>
      <x:c r="E229" t="s">
        <x:v>25</x:v>
      </x:c>
      <x:c r="F229" t="s">
        <x:v>10</x:v>
      </x:c>
      <x:c r="G229" t="s">
        <x:v>635</x:v>
      </x:c>
      <x:c r="H229" t="s">
        <x:v>636</x:v>
      </x:c>
      <x:c r="I229" s="17" t="n">
        <x:v>40</x:v>
      </x:c>
      <x:c r="J229" s="17" t="n">
        <x:v>40</x:v>
      </x:c>
      <x:c r="K229" s="17" t="n">
        <x:v>30</x:v>
      </x:c>
      <x:c r="L229" t="str">
        <x:v>C</x:v>
      </x:c>
      <x:c r="M229" t="str">
        <x:v>MO</x:v>
      </x:c>
      <x:c r="N229" t="str">
        <x:v>WILLOW SPRINGS</x:v>
      </x:c>
      <x:c r="O229" t="str">
        <x:v>NJ</x:v>
      </x:c>
      <x:c r="P229" t="str">
        <x:v>NEW BRUNSWICK</x:v>
      </x:c>
      <x:c r="Q229" t="str">
        <x:v>已匹配</x:v>
      </x:c>
      <x:c r="R229" t="n">
        <x:v>408</x:v>
      </x:c>
    </x:row>
    <x:row r="230" ht="18">
      <x:c r="A230" s="12" t="s">
        <x:v>637</x:v>
      </x:c>
      <x:c r="B230" s="3">
        <x:v>24.39</x:v>
      </x:c>
      <x:c r="C230" s="5">
        <x:v>29.347999999999999</x:v>
      </x:c>
      <x:c r="D230" s="5">
        <x:f t="shared" si="3"/>
        <x:v>4.9579999999999984</x:v>
      </x:c>
      <x:c r="E230" t="s">
        <x:v>25</x:v>
      </x:c>
      <x:c r="F230" t="s">
        <x:v>10</x:v>
      </x:c>
      <x:c r="G230" t="s">
        <x:v>638</x:v>
      </x:c>
      <x:c r="H230" t="s">
        <x:v>639</x:v>
      </x:c>
      <x:c r="I230" s="17" t="n">
        <x:v>15</x:v>
      </x:c>
      <x:c r="J230" s="17" t="n">
        <x:v>12</x:v>
      </x:c>
      <x:c r="K230" s="17" t="n">
        <x:v>11</x:v>
      </x:c>
      <x:c r="L230" t="str">
        <x:v>I</x:v>
      </x:c>
      <x:c r="M230" t="str">
        <x:v>GA</x:v>
      </x:c>
      <x:c r="N230" t="str">
        <x:v>ATLANTA</x:v>
      </x:c>
      <x:c r="O230" t="str">
        <x:v>NJ</x:v>
      </x:c>
      <x:c r="P230" t="str">
        <x:v>NEW BRUNSWICK</x:v>
      </x:c>
      <x:c r="Q230" t="str">
        <x:v>已匹配</x:v>
      </x:c>
      <x:c r="R230" t="n">
        <x:v>484</x:v>
      </x:c>
    </x:row>
    <x:row r="231" ht="18">
      <x:c r="A231" s="12" t="s">
        <x:v>640</x:v>
      </x:c>
      <x:c r="B231" s="3">
        <x:v>21.9</x:v>
      </x:c>
      <x:c r="C231" s="5">
        <x:v>49.158999999999999</x:v>
      </x:c>
      <x:c r="D231" s="5">
        <x:f t="shared" si="3"/>
        <x:v>27.259</x:v>
      </x:c>
      <x:c r="E231" t="s">
        <x:v>25</x:v>
      </x:c>
      <x:c r="F231" t="s">
        <x:v>10</x:v>
      </x:c>
      <x:c r="G231" t="s">
        <x:v>641</x:v>
      </x:c>
      <x:c r="H231" t="s">
        <x:v>642</x:v>
      </x:c>
      <x:c r="I231" s="17" t="n">
        <x:v>41</x:v>
      </x:c>
      <x:c r="J231" s="17" t="n">
        <x:v>41</x:v>
      </x:c>
      <x:c r="K231" s="17" t="n">
        <x:v>28</x:v>
      </x:c>
      <x:c r="L231" t="str">
        <x:v>C</x:v>
      </x:c>
      <x:c r="M231" t="str">
        <x:v>NY</x:v>
      </x:c>
      <x:c r="N231" t="str">
        <x:v>BALDWINSVILLE</x:v>
      </x:c>
      <x:c r="O231" t="str">
        <x:v>NJ</x:v>
      </x:c>
      <x:c r="P231" t="str">
        <x:v>NEW BRUNSWICK</x:v>
      </x:c>
      <x:c r="Q231" t="str">
        <x:v>已匹配</x:v>
      </x:c>
      <x:c r="R231" t="n">
        <x:v>373</x:v>
      </x:c>
    </x:row>
    <x:row r="232" ht="18">
      <x:c r="A232" s="12" t="s">
        <x:v>643</x:v>
      </x:c>
      <x:c r="B232" s="3">
        <x:v>26.2</x:v>
      </x:c>
      <x:c r="C232" s="5">
        <x:v>29.073</x:v>
      </x:c>
      <x:c r="D232" s="5">
        <x:f t="shared" si="3"/>
        <x:v>2.8730000000000011</x:v>
      </x:c>
      <x:c r="E232" t="s">
        <x:v>25</x:v>
      </x:c>
      <x:c r="F232" t="s">
        <x:v>10</x:v>
      </x:c>
      <x:c r="G232" t="s">
        <x:v>644</x:v>
      </x:c>
      <x:c r="H232" t="s">
        <x:v>645</x:v>
      </x:c>
      <x:c r="I232" s="17" t="n">
        <x:v>15</x:v>
      </x:c>
      <x:c r="J232" s="17" t="n">
        <x:v>13</x:v>
      </x:c>
      <x:c r="K232" s="17" t="n">
        <x:v>11</x:v>
      </x:c>
      <x:c r="L232" t="str">
        <x:v>I</x:v>
      </x:c>
      <x:c r="M232" t="str">
        <x:v>MO</x:v>
      </x:c>
      <x:c r="N232" t="str">
        <x:v>BALLWIN</x:v>
      </x:c>
      <x:c r="O232" t="str">
        <x:v>NJ</x:v>
      </x:c>
      <x:c r="P232" t="str">
        <x:v>NEW BRUNSWICK</x:v>
      </x:c>
      <x:c r="Q232" t="str">
        <x:v>已匹配</x:v>
      </x:c>
      <x:c r="R232" t="n">
        <x:v>406</x:v>
      </x:c>
    </x:row>
    <x:row r="233" ht="18">
      <x:c r="A233" s="12" t="s">
        <x:v>646</x:v>
      </x:c>
      <x:c r="B233" s="3">
        <x:v>65.37</x:v>
      </x:c>
      <x:c r="C233" s="5">
        <x:v>69.179000000000002</x:v>
      </x:c>
      <x:c r="D233" s="5">
        <x:f t="shared" si="3"/>
        <x:v>3.8089999999999975</x:v>
      </x:c>
      <x:c r="E233" t="s">
        <x:v>180</x:v>
      </x:c>
      <x:c r="F233" t="s">
        <x:v>10</x:v>
      </x:c>
      <x:c r="G233" t="s">
        <x:v>647</x:v>
      </x:c>
      <x:c r="H233" t="s">
        <x:v>648</x:v>
      </x:c>
      <x:c r="I233" s="17" t="n">
        <x:v>19</x:v>
      </x:c>
      <x:c r="J233" s="17" t="n">
        <x:v>15</x:v>
      </x:c>
      <x:c r="K233" s="17" t="n">
        <x:v>13</x:v>
      </x:c>
      <x:c r="L233" t="str">
        <x:v>I</x:v>
      </x:c>
      <x:c r="M233" t="str">
        <x:v>NH</x:v>
      </x:c>
      <x:c r="N233" t="str">
        <x:v>MERRIMACK</x:v>
      </x:c>
      <x:c r="O233" t="str">
        <x:v>NJ</x:v>
      </x:c>
      <x:c r="P233" t="str">
        <x:v>NEW BRUNSWICK</x:v>
      </x:c>
      <x:c r="Q233" t="str">
        <x:v>已匹配</x:v>
      </x:c>
      <x:c r="R233" t="n">
        <x:v>435</x:v>
      </x:c>
    </x:row>
    <x:row r="234" ht="18">
      <x:c r="A234" s="12" t="s">
        <x:v>649</x:v>
      </x:c>
      <x:c r="B234" s="3">
        <x:v>32.22</x:v>
      </x:c>
      <x:c r="C234" s="5">
        <x:v>38.070999999999998</x:v>
      </x:c>
      <x:c r="D234" s="5">
        <x:f t="shared" si="3"/>
        <x:v>5.8509999999999991</x:v>
      </x:c>
      <x:c r="E234" t="s">
        <x:v>25</x:v>
      </x:c>
      <x:c r="F234" t="s">
        <x:v>10</x:v>
      </x:c>
      <x:c r="G234" t="s">
        <x:v>650</x:v>
      </x:c>
      <x:c r="H234" t="s">
        <x:v>651</x:v>
      </x:c>
      <x:c r="I234" s="17" t="n">
        <x:v>16</x:v>
      </x:c>
      <x:c r="J234" s="17" t="n">
        <x:v>16</x:v>
      </x:c>
      <x:c r="K234" s="17" t="n">
        <x:v>12</x:v>
      </x:c>
      <x:c r="L234" t="str">
        <x:v>I</x:v>
      </x:c>
      <x:c r="M234" t="str">
        <x:v>TX</x:v>
      </x:c>
      <x:c r="N234" t="str">
        <x:v>LITTLE ELM</x:v>
      </x:c>
      <x:c r="O234" t="str">
        <x:v>NJ</x:v>
      </x:c>
      <x:c r="P234" t="str">
        <x:v>NEW BRUNSWICK</x:v>
      </x:c>
      <x:c r="Q234" t="str">
        <x:v>已匹配</x:v>
      </x:c>
      <x:c r="R234" t="n">
        <x:v>361</x:v>
      </x:c>
    </x:row>
    <x:row r="235" ht="18">
      <x:c r="A235" s="12" t="s">
        <x:v>652</x:v>
      </x:c>
      <x:c r="B235" s="3">
        <x:v>31.44</x:v>
      </x:c>
      <x:c r="C235" s="5">
        <x:v>35.695</x:v>
      </x:c>
      <x:c r="D235" s="5">
        <x:f t="shared" si="3"/>
        <x:v>4.254999999999999</x:v>
      </x:c>
      <x:c r="E235" t="s">
        <x:v>139</x:v>
      </x:c>
      <x:c r="F235" t="s">
        <x:v>10</x:v>
      </x:c>
      <x:c r="G235" t="s">
        <x:v>653</x:v>
      </x:c>
      <x:c r="H235" t="s">
        <x:v>654</x:v>
      </x:c>
      <x:c r="I235" s="17" t="n">
        <x:v>29</x:v>
      </x:c>
      <x:c r="J235" s="17" t="n">
        <x:v>19</x:v>
      </x:c>
      <x:c r="K235" s="17" t="n">
        <x:v>7</x:v>
      </x:c>
      <x:c r="L235" t="str">
        <x:v>I</x:v>
      </x:c>
      <x:c r="M235" t="str">
        <x:v>NC</x:v>
      </x:c>
      <x:c r="N235" t="str">
        <x:v>RALEIGH</x:v>
      </x:c>
      <x:c r="O235" t="str">
        <x:v>NJ</x:v>
      </x:c>
      <x:c r="P235" t="str">
        <x:v>NEW BRUNSWICK</x:v>
      </x:c>
      <x:c r="Q235" t="str">
        <x:v>已匹配</x:v>
      </x:c>
      <x:c r="R235" t="n">
        <x:v>515</x:v>
      </x:c>
    </x:row>
    <x:row r="236" ht="18">
      <x:c r="A236" s="12" t="s">
        <x:v>655</x:v>
      </x:c>
      <x:c r="B236" s="3">
        <x:v>23.02</x:v>
      </x:c>
      <x:c r="C236" s="5">
        <x:v>53.933</x:v>
      </x:c>
      <x:c r="D236" s="5">
        <x:f t="shared" si="3"/>
        <x:v>30.913</x:v>
      </x:c>
      <x:c r="E236" t="s">
        <x:v>25</x:v>
      </x:c>
      <x:c r="F236" t="s">
        <x:v>10</x:v>
      </x:c>
      <x:c r="G236" t="s">
        <x:v>656</x:v>
      </x:c>
      <x:c r="H236" t="s">
        <x:v>657</x:v>
      </x:c>
      <x:c r="I236" s="17" t="n">
        <x:v>16</x:v>
      </x:c>
      <x:c r="J236" s="17" t="n">
        <x:v>16</x:v>
      </x:c>
      <x:c r="K236" s="17" t="n">
        <x:v>12</x:v>
      </x:c>
      <x:c r="L236" t="str">
        <x:v>I</x:v>
      </x:c>
      <x:c r="M236" t="str">
        <x:v>OH</x:v>
      </x:c>
      <x:c r="N236" t="str">
        <x:v>AVON LAKE</x:v>
      </x:c>
      <x:c r="O236" t="str">
        <x:v>NJ</x:v>
      </x:c>
      <x:c r="P236" t="str">
        <x:v>NEW BRUNSWICK</x:v>
      </x:c>
      <x:c r="Q236" t="str">
        <x:v>已匹配</x:v>
      </x:c>
      <x:c r="R236" t="n">
        <x:v>387</x:v>
      </x:c>
    </x:row>
    <x:row r="237" ht="18">
      <x:c r="A237" s="12" t="s">
        <x:v>658</x:v>
      </x:c>
      <x:c r="B237" s="3">
        <x:v>26.2</x:v>
      </x:c>
      <x:c r="C237" s="5">
        <x:v>76.724999999999994</x:v>
      </x:c>
      <x:c r="D237" s="5">
        <x:f t="shared" si="3"/>
        <x:v>50.524999999999991</x:v>
      </x:c>
      <x:c r="E237" t="s">
        <x:v>25</x:v>
      </x:c>
      <x:c r="F237" t="s">
        <x:v>10</x:v>
      </x:c>
      <x:c r="G237" t="s">
        <x:v>659</x:v>
      </x:c>
      <x:c r="H237" t="s">
        <x:v>660</x:v>
      </x:c>
      <x:c r="I237" s="17" t="n">
        <x:v>18</x:v>
      </x:c>
      <x:c r="J237" s="17" t="n">
        <x:v>13</x:v>
      </x:c>
      <x:c r="K237" s="17" t="n">
        <x:v>12</x:v>
      </x:c>
      <x:c r="L237" t="str">
        <x:v>I</x:v>
      </x:c>
      <x:c r="M237" t="str">
        <x:v>AL</x:v>
      </x:c>
      <x:c r="N237" t="str">
        <x:v>MADISON</x:v>
      </x:c>
      <x:c r="O237" t="str">
        <x:v>NJ</x:v>
      </x:c>
      <x:c r="P237" t="str">
        <x:v>NEW BRUNSWICK</x:v>
      </x:c>
      <x:c r="Q237" t="str">
        <x:v>已匹配</x:v>
      </x:c>
      <x:c r="R237" t="n">
        <x:v>405</x:v>
      </x:c>
    </x:row>
    <x:row r="238" ht="18">
      <x:c r="A238" s="12" t="s">
        <x:v>661</x:v>
      </x:c>
      <x:c r="B238" s="3">
        <x:v>36.44</x:v>
      </x:c>
      <x:c r="C238" s="5">
        <x:v>39.039000000000001</x:v>
      </x:c>
      <x:c r="D238" s="5">
        <x:f t="shared" si="3"/>
        <x:v>2.5990000000000038</x:v>
      </x:c>
      <x:c r="E238" t="s">
        <x:v>21</x:v>
      </x:c>
      <x:c r="F238" t="s">
        <x:v>10</x:v>
      </x:c>
      <x:c r="G238" t="s">
        <x:v>662</x:v>
      </x:c>
      <x:c r="H238" t="s">
        <x:v>663</x:v>
      </x:c>
      <x:c r="I238" s="17" t="n">
        <x:v>19</x:v>
      </x:c>
      <x:c r="J238" s="17" t="n">
        <x:v>17</x:v>
      </x:c>
      <x:c r="K238" s="17" t="n">
        <x:v>13</x:v>
      </x:c>
      <x:c r="L238" t="str">
        <x:v>I</x:v>
      </x:c>
      <x:c r="M238" t="str">
        <x:v>GA</x:v>
      </x:c>
      <x:c r="N238" t="str">
        <x:v>ACWORTH</x:v>
      </x:c>
      <x:c r="O238" t="str">
        <x:v>NJ</x:v>
      </x:c>
      <x:c r="P238" t="str">
        <x:v>NEW BRUNSWICK</x:v>
      </x:c>
      <x:c r="Q238" t="str">
        <x:v>已匹配</x:v>
      </x:c>
      <x:c r="R238" t="n">
        <x:v>360</x:v>
      </x:c>
    </x:row>
    <x:row r="239" ht="18">
      <x:c r="A239" s="12" t="s">
        <x:v>664</x:v>
      </x:c>
      <x:c r="B239" s="3">
        <x:v>22.55</x:v>
      </x:c>
      <x:c r="C239" s="5">
        <x:v>40.645000000000003</x:v>
      </x:c>
      <x:c r="D239" s="5">
        <x:f t="shared" si="3"/>
        <x:v>18.095000000000002</x:v>
      </x:c>
      <x:c r="E239" t="s">
        <x:v>47</x:v>
      </x:c>
      <x:c r="F239" t="s">
        <x:v>10</x:v>
      </x:c>
      <x:c r="G239" t="s">
        <x:v>665</x:v>
      </x:c>
      <x:c r="H239" t="s">
        <x:v>666</x:v>
      </x:c>
      <x:c r="I239" s="17" t="n">
        <x:v>15</x:v>
      </x:c>
      <x:c r="J239" s="17" t="n">
        <x:v>11</x:v>
      </x:c>
      <x:c r="K239" s="17" t="n">
        <x:v>11</x:v>
      </x:c>
      <x:c r="L239" t="str">
        <x:v>I</x:v>
      </x:c>
      <x:c r="M239" t="str">
        <x:v>IL</x:v>
      </x:c>
      <x:c r="N239" t="str">
        <x:v>MCHENRY</x:v>
      </x:c>
      <x:c r="O239" t="str">
        <x:v>NJ</x:v>
      </x:c>
      <x:c r="P239" t="str">
        <x:v>NEW BRUNSWICK</x:v>
      </x:c>
      <x:c r="Q239" t="str">
        <x:v>已匹配</x:v>
      </x:c>
      <x:c r="R239" t="n">
        <x:v>386</x:v>
      </x:c>
    </x:row>
    <x:row r="240" ht="18">
      <x:c r="A240" s="12" t="s">
        <x:v>667</x:v>
      </x:c>
      <x:c r="B240" s="3">
        <x:v>32.22</x:v>
      </x:c>
      <x:c r="C240" s="5">
        <x:v>46.683999999999997</x:v>
      </x:c>
      <x:c r="D240" s="5">
        <x:f t="shared" si="3"/>
        <x:v>14.463999999999999</x:v>
      </x:c>
      <x:c r="E240" t="s">
        <x:v>25</x:v>
      </x:c>
      <x:c r="F240" t="s">
        <x:v>10</x:v>
      </x:c>
      <x:c r="G240" t="s">
        <x:v>668</x:v>
      </x:c>
      <x:c r="H240" t="s">
        <x:v>669</x:v>
      </x:c>
      <x:c r="I240" s="17" t="n">
        <x:v>16</x:v>
      </x:c>
      <x:c r="J240" s="17" t="n">
        <x:v>13</x:v>
      </x:c>
      <x:c r="K240" s="17" t="n">
        <x:v>11</x:v>
      </x:c>
      <x:c r="L240" t="str">
        <x:v>I</x:v>
      </x:c>
      <x:c r="M240" t="str">
        <x:v>TX</x:v>
      </x:c>
      <x:c r="N240" t="str">
        <x:v>SPRING</x:v>
      </x:c>
      <x:c r="O240" t="str">
        <x:v>NJ</x:v>
      </x:c>
      <x:c r="P240" t="str">
        <x:v>NEW BRUNSWICK</x:v>
      </x:c>
      <x:c r="Q240" t="str">
        <x:v>已匹配</x:v>
      </x:c>
      <x:c r="R240" t="n">
        <x:v>384</x:v>
      </x:c>
    </x:row>
    <x:row r="241" ht="18">
      <x:c r="A241" s="12" t="s">
        <x:v>670</x:v>
      </x:c>
      <x:c r="B241" s="3">
        <x:v>20.9</x:v>
      </x:c>
      <x:c r="C241" s="5">
        <x:v>23.364000000000001</x:v>
      </x:c>
      <x:c r="D241" s="5">
        <x:f t="shared" si="3"/>
        <x:v>2.4640000000000022</x:v>
      </x:c>
      <x:c r="E241" t="s">
        <x:v>25</x:v>
      </x:c>
      <x:c r="F241" t="s">
        <x:v>10</x:v>
      </x:c>
      <x:c r="G241" t="s">
        <x:v>671</x:v>
      </x:c>
      <x:c r="H241" t="s">
        <x:v>672</x:v>
      </x:c>
      <x:c r="I241" s="17" t="n">
        <x:v>20</x:v>
      </x:c>
      <x:c r="J241" s="17" t="n">
        <x:v>16</x:v>
      </x:c>
      <x:c r="K241" s="17" t="n">
        <x:v>16</x:v>
      </x:c>
      <x:c r="L241" t="str">
        <x:v>I</x:v>
      </x:c>
      <x:c r="M241" t="str">
        <x:v>MA</x:v>
      </x:c>
      <x:c r="N241" t="str">
        <x:v>FRANKLIN</x:v>
      </x:c>
      <x:c r="O241" t="str">
        <x:v>NJ</x:v>
      </x:c>
      <x:c r="P241" t="str">
        <x:v>NEW BRUNSWICK</x:v>
      </x:c>
      <x:c r="Q241" t="str">
        <x:v>已匹配</x:v>
      </x:c>
      <x:c r="R241" t="n">
        <x:v>359</x:v>
      </x:c>
    </x:row>
    <x:row r="242" ht="18">
      <x:c r="A242" s="12" t="s">
        <x:v>673</x:v>
      </x:c>
      <x:c r="B242" s="3">
        <x:v>88.7</x:v>
      </x:c>
      <x:c r="C242" s="5">
        <x:v>95.183000000000007</x:v>
      </x:c>
      <x:c r="D242" s="5">
        <x:f t="shared" si="3"/>
        <x:v>6.4830000000000041</x:v>
      </x:c>
      <x:c r="E242" t="s">
        <x:v>674</x:v>
      </x:c>
      <x:c r="F242" t="s">
        <x:v>10</x:v>
      </x:c>
      <x:c r="G242" t="s">
        <x:v>675</x:v>
      </x:c>
      <x:c r="I242" s="17" t="n">
        <x:v>27</x:v>
      </x:c>
      <x:c r="J242" s="17" t="n">
        <x:v>20</x:v>
      </x:c>
      <x:c r="K242" s="17" t="n">
        <x:v>15</x:v>
      </x:c>
      <x:c r="L242" t="str">
        <x:v>I</x:v>
      </x:c>
      <x:c r="M242" t="str">
        <x:v>MI</x:v>
      </x:c>
      <x:c r="N242" t="str">
        <x:v>PETOSKEY</x:v>
      </x:c>
      <x:c r="O242" t="str">
        <x:v>NJ</x:v>
      </x:c>
      <x:c r="P242" t="str">
        <x:v>NEW BRUNSWICK</x:v>
      </x:c>
      <x:c r="Q242" t="str">
        <x:v>已匹配</x:v>
      </x:c>
      <x:c r="R242" t="n">
        <x:v>358</x:v>
      </x:c>
    </x:row>
    <x:row r="243" ht="18">
      <x:c r="A243" s="12" t="s">
        <x:v>676</x:v>
      </x:c>
      <x:c r="B243" s="3">
        <x:v>88.7</x:v>
      </x:c>
      <x:c r="C243" s="5">
        <x:v>95.183000000000007</x:v>
      </x:c>
      <x:c r="D243" s="5">
        <x:f t="shared" si="3"/>
        <x:v>6.4830000000000041</x:v>
      </x:c>
      <x:c r="E243" t="s">
        <x:v>674</x:v>
      </x:c>
      <x:c r="F243" t="s">
        <x:v>10</x:v>
      </x:c>
      <x:c r="G243" t="s">
        <x:v>677</x:v>
      </x:c>
      <x:c r="H243" t="s">
        <x:v>678</x:v>
      </x:c>
      <x:c r="I243" s="17" t="n">
        <x:v>27</x:v>
      </x:c>
      <x:c r="J243" s="17" t="n">
        <x:v>20</x:v>
      </x:c>
      <x:c r="K243" s="17" t="n">
        <x:v>15</x:v>
      </x:c>
      <x:c r="L243" t="str">
        <x:v>I</x:v>
      </x:c>
      <x:c r="M243" t="str">
        <x:v>MI</x:v>
      </x:c>
      <x:c r="N243" t="str">
        <x:v>PETOSKEY</x:v>
      </x:c>
      <x:c r="O243" t="str">
        <x:v>NJ</x:v>
      </x:c>
      <x:c r="P243" t="str">
        <x:v>NEW BRUNSWICK</x:v>
      </x:c>
      <x:c r="Q243" t="str">
        <x:v>已匹配</x:v>
      </x:c>
      <x:c r="R243" t="n">
        <x:v>357</x:v>
      </x:c>
    </x:row>
    <x:row r="244" ht="18">
      <x:c r="A244" s="12" t="s">
        <x:v>679</x:v>
      </x:c>
      <x:c r="B244" s="3">
        <x:v>88.7</x:v>
      </x:c>
      <x:c r="C244" s="5">
        <x:v>95.183000000000007</x:v>
      </x:c>
      <x:c r="D244" s="5">
        <x:f t="shared" si="3"/>
        <x:v>6.4830000000000041</x:v>
      </x:c>
      <x:c r="E244" t="s">
        <x:v>674</x:v>
      </x:c>
      <x:c r="F244" t="s">
        <x:v>10</x:v>
      </x:c>
      <x:c r="G244" t="s">
        <x:v>680</x:v>
      </x:c>
      <x:c r="I244" s="17" t="n">
        <x:v>27</x:v>
      </x:c>
      <x:c r="J244" s="17" t="n">
        <x:v>20</x:v>
      </x:c>
      <x:c r="K244" s="17" t="n">
        <x:v>15</x:v>
      </x:c>
      <x:c r="L244" t="str">
        <x:v>I</x:v>
      </x:c>
      <x:c r="M244" t="str">
        <x:v>MI</x:v>
      </x:c>
      <x:c r="N244" t="str">
        <x:v>PETOSKEY</x:v>
      </x:c>
      <x:c r="O244" t="str">
        <x:v>NJ</x:v>
      </x:c>
      <x:c r="P244" t="str">
        <x:v>NEW BRUNSWICK</x:v>
      </x:c>
      <x:c r="Q244" t="str">
        <x:v>已匹配</x:v>
      </x:c>
      <x:c r="R244" t="n">
        <x:v>356</x:v>
      </x:c>
    </x:row>
    <x:row r="245" ht="18">
      <x:c r="A245" s="12" t="s">
        <x:v>681</x:v>
      </x:c>
      <x:c r="B245" s="3">
        <x:v>100.59</x:v>
      </x:c>
      <x:c r="C245" s="5">
        <x:v>113.245</x:v>
      </x:c>
      <x:c r="D245" s="5">
        <x:f t="shared" si="3"/>
        <x:v>12.655000000000001</x:v>
      </x:c>
      <x:c r="E245" t="s">
        <x:v>309</x:v>
      </x:c>
      <x:c r="F245" t="s">
        <x:v>10</x:v>
      </x:c>
      <x:c r="G245" t="s">
        <x:v>682</x:v>
      </x:c>
      <x:c r="H245" t="s">
        <x:v>678</x:v>
      </x:c>
      <x:c r="I245" s="17" t="n">
        <x:v>27</x:v>
      </x:c>
      <x:c r="J245" s="17" t="n">
        <x:v>20</x:v>
      </x:c>
      <x:c r="K245" s="17" t="n">
        <x:v>20</x:v>
      </x:c>
      <x:c r="L245" t="str">
        <x:v>I</x:v>
      </x:c>
      <x:c r="M245" t="str">
        <x:v>MI</x:v>
      </x:c>
      <x:c r="N245" t="str">
        <x:v>PETOSKEY</x:v>
      </x:c>
      <x:c r="O245" t="str">
        <x:v>NJ</x:v>
      </x:c>
      <x:c r="P245" t="str">
        <x:v>NEW BRUNSWICK</x:v>
      </x:c>
      <x:c r="Q245" t="str">
        <x:v>已匹配</x:v>
      </x:c>
      <x:c r="R245" t="n">
        <x:v>355</x:v>
      </x:c>
    </x:row>
    <x:row r="246" ht="18">
      <x:c r="A246" s="12" t="s">
        <x:v>683</x:v>
      </x:c>
      <x:c r="B246" s="3">
        <x:v>36.44</x:v>
      </x:c>
      <x:c r="C246" s="5">
        <x:v>38.917999999999999</x:v>
      </x:c>
      <x:c r="D246" s="5">
        <x:f t="shared" si="3"/>
        <x:v>2.4780000000000015</x:v>
      </x:c>
      <x:c r="E246" t="s">
        <x:v>684</x:v>
      </x:c>
      <x:c r="F246" t="s">
        <x:v>10</x:v>
      </x:c>
      <x:c r="G246" t="s">
        <x:v>685</x:v>
      </x:c>
      <x:c r="H246" t="s">
        <x:v>686</x:v>
      </x:c>
      <x:c r="I246" s="17" t="n">
        <x:v>19</x:v>
      </x:c>
      <x:c r="J246" s="17" t="n">
        <x:v>16</x:v>
      </x:c>
      <x:c r="K246" s="17" t="n">
        <x:v>13</x:v>
      </x:c>
      <x:c r="L246" t="str">
        <x:v>I</x:v>
      </x:c>
      <x:c r="M246" t="str">
        <x:v>FL</x:v>
      </x:c>
      <x:c r="N246" t="str">
        <x:v>INVERNESS</x:v>
      </x:c>
      <x:c r="O246" t="str">
        <x:v>NJ</x:v>
      </x:c>
      <x:c r="P246" t="str">
        <x:v>NEW BRUNSWICK</x:v>
      </x:c>
      <x:c r="Q246" t="str">
        <x:v>已匹配</x:v>
      </x:c>
      <x:c r="R246" t="n">
        <x:v>354</x:v>
      </x:c>
    </x:row>
    <x:row r="247" ht="18">
      <x:c r="A247" s="12" t="s">
        <x:v>687</x:v>
      </x:c>
      <x:c r="B247" s="3">
        <x:v>95.71</x:v>
      </x:c>
      <x:c r="C247" s="5">
        <x:v>99.99</x:v>
      </x:c>
      <x:c r="D247" s="5">
        <x:f t="shared" si="3"/>
        <x:v>4.2800000000000011</x:v>
      </x:c>
      <x:c r="E247" t="s">
        <x:v>35</x:v>
      </x:c>
      <x:c r="F247" t="s">
        <x:v>10</x:v>
      </x:c>
      <x:c r="G247" t="s">
        <x:v>688</x:v>
      </x:c>
      <x:c r="H247" t="s">
        <x:v>689</x:v>
      </x:c>
      <x:c r="I247" s="17" t="n">
        <x:v>20</x:v>
      </x:c>
      <x:c r="J247" s="17" t="n">
        <x:v>16</x:v>
      </x:c>
      <x:c r="K247" s="17" t="n">
        <x:v>16</x:v>
      </x:c>
      <x:c r="L247" t="str">
        <x:v>I</x:v>
      </x:c>
      <x:c r="M247" t="str">
        <x:v>OK</x:v>
      </x:c>
      <x:c r="N247" t="str">
        <x:v>BETHANY</x:v>
      </x:c>
      <x:c r="O247" t="str">
        <x:v>NJ</x:v>
      </x:c>
      <x:c r="P247" t="str">
        <x:v>NEW BRUNSWICK</x:v>
      </x:c>
      <x:c r="Q247" t="str">
        <x:v>已匹配</x:v>
      </x:c>
      <x:c r="R247" t="n">
        <x:v>351</x:v>
      </x:c>
    </x:row>
    <x:row r="248" ht="18">
      <x:c r="A248" s="12" t="s">
        <x:v>690</x:v>
      </x:c>
      <x:c r="B248" s="3">
        <x:v>20.2</x:v>
      </x:c>
      <x:c r="C248" s="5">
        <x:v>22.858000000000001</x:v>
      </x:c>
      <x:c r="D248" s="5">
        <x:f t="shared" si="3"/>
        <x:v>2.6580000000000013</x:v>
      </x:c>
      <x:c r="E248" t="s">
        <x:v>25</x:v>
      </x:c>
      <x:c r="F248" t="s">
        <x:v>10</x:v>
      </x:c>
      <x:c r="G248" t="s">
        <x:v>691</x:v>
      </x:c>
      <x:c r="H248" t="s">
        <x:v>692</x:v>
      </x:c>
      <x:c r="I248" s="17" t="n">
        <x:v>16</x:v>
      </x:c>
      <x:c r="J248" s="17" t="n">
        <x:v>16</x:v>
      </x:c>
      <x:c r="K248" s="17" t="n">
        <x:v>12</x:v>
      </x:c>
      <x:c r="L248" t="str">
        <x:v>I</x:v>
      </x:c>
      <x:c r="M248" t="str">
        <x:v>VA</x:v>
      </x:c>
      <x:c r="N248" t="str">
        <x:v>STEPHENS CITY</x:v>
      </x:c>
      <x:c r="O248" t="str">
        <x:v>NJ</x:v>
      </x:c>
      <x:c r="P248" t="str">
        <x:v>NEW BRUNSWICK</x:v>
      </x:c>
      <x:c r="Q248" t="str">
        <x:v>已匹配</x:v>
      </x:c>
      <x:c r="R248" t="n">
        <x:v>350</x:v>
      </x:c>
    </x:row>
    <x:row r="249" ht="18">
      <x:c r="A249" s="12" t="s">
        <x:v>693</x:v>
      </x:c>
      <x:c r="B249" s="3">
        <x:v>26.2</x:v>
      </x:c>
      <x:c r="C249" s="5">
        <x:v>30.228000000000002</x:v>
      </x:c>
      <x:c r="D249" s="5">
        <x:f t="shared" si="3"/>
        <x:v>4.0280000000000022</x:v>
      </x:c>
      <x:c r="E249" t="s">
        <x:v>25</x:v>
      </x:c>
      <x:c r="F249" t="s">
        <x:v>10</x:v>
      </x:c>
      <x:c r="G249" t="s">
        <x:v>694</x:v>
      </x:c>
      <x:c r="H249" t="s">
        <x:v>695</x:v>
      </x:c>
      <x:c r="I249" s="17" t="n">
        <x:v>16</x:v>
      </x:c>
      <x:c r="J249" s="17" t="n">
        <x:v>16</x:v>
      </x:c>
      <x:c r="K249" s="17" t="n">
        <x:v>12</x:v>
      </x:c>
      <x:c r="L249" t="str">
        <x:v>I</x:v>
      </x:c>
      <x:c r="M249" t="str">
        <x:v>MO</x:v>
      </x:c>
      <x:c r="N249" t="str">
        <x:v>LABADIE</x:v>
      </x:c>
      <x:c r="O249" t="str">
        <x:v>NJ</x:v>
      </x:c>
      <x:c r="P249" t="str">
        <x:v>NEW BRUNSWICK</x:v>
      </x:c>
      <x:c r="Q249" t="str">
        <x:v>已匹配</x:v>
      </x:c>
      <x:c r="R249" t="n">
        <x:v>349</x:v>
      </x:c>
    </x:row>
    <x:row r="250" ht="18">
      <x:c r="A250" s="12" t="s">
        <x:v>696</x:v>
      </x:c>
      <x:c r="B250" s="3">
        <x:v>26.2</x:v>
      </x:c>
      <x:c r="C250" s="5">
        <x:v>30.228000000000002</x:v>
      </x:c>
      <x:c r="D250" s="5">
        <x:f t="shared" si="3"/>
        <x:v>4.0280000000000022</x:v>
      </x:c>
      <x:c r="E250" t="s">
        <x:v>25</x:v>
      </x:c>
      <x:c r="F250" t="s">
        <x:v>10</x:v>
      </x:c>
      <x:c r="G250" t="s">
        <x:v>697</x:v>
      </x:c>
      <x:c r="H250" t="s">
        <x:v>698</x:v>
      </x:c>
      <x:c r="I250" s="17" t="n">
        <x:v>16</x:v>
      </x:c>
      <x:c r="J250" s="17" t="n">
        <x:v>16</x:v>
      </x:c>
      <x:c r="K250" s="17" t="n">
        <x:v>12</x:v>
      </x:c>
      <x:c r="L250" t="str">
        <x:v>I</x:v>
      </x:c>
      <x:c r="M250" t="str">
        <x:v>FL</x:v>
      </x:c>
      <x:c r="N250" t="str">
        <x:v>PALMETTO</x:v>
      </x:c>
      <x:c r="O250" t="str">
        <x:v>NJ</x:v>
      </x:c>
      <x:c r="P250" t="str">
        <x:v>NEW BRUNSWICK</x:v>
      </x:c>
      <x:c r="Q250" t="str">
        <x:v>已匹配</x:v>
      </x:c>
      <x:c r="R250" t="n">
        <x:v>348</x:v>
      </x:c>
    </x:row>
    <x:row r="251" ht="18">
      <x:c r="A251" s="12" t="s">
        <x:v>699</x:v>
      </x:c>
      <x:c r="B251" s="3">
        <x:v>30.14</x:v>
      </x:c>
      <x:c r="C251" s="5">
        <x:v>33.604999999999997</x:v>
      </x:c>
      <x:c r="D251" s="5">
        <x:f t="shared" si="3"/>
        <x:v>3.4649999999999963</x:v>
      </x:c>
      <x:c r="E251" t="s">
        <x:v>21</x:v>
      </x:c>
      <x:c r="F251" t="s">
        <x:v>10</x:v>
      </x:c>
      <x:c r="G251" t="s">
        <x:v>700</x:v>
      </x:c>
      <x:c r="H251" t="s">
        <x:v>701</x:v>
      </x:c>
      <x:c r="I251" s="17" t="n">
        <x:v>18</x:v>
      </x:c>
      <x:c r="J251" s="17" t="n">
        <x:v>17</x:v>
      </x:c>
      <x:c r="K251" s="17" t="n">
        <x:v>13</x:v>
      </x:c>
      <x:c r="L251" t="str">
        <x:v>I</x:v>
      </x:c>
      <x:c r="M251" t="str">
        <x:v>NC</x:v>
      </x:c>
      <x:c r="N251" t="str">
        <x:v>CHARLOTTE</x:v>
      </x:c>
      <x:c r="O251" t="str">
        <x:v>NJ</x:v>
      </x:c>
      <x:c r="P251" t="str">
        <x:v>NEW BRUNSWICK</x:v>
      </x:c>
      <x:c r="Q251" t="str">
        <x:v>已匹配</x:v>
      </x:c>
      <x:c r="R251" t="n">
        <x:v>347</x:v>
      </x:c>
    </x:row>
    <x:row r="252" ht="18">
      <x:c r="A252" s="12" t="s">
        <x:v>702</x:v>
      </x:c>
      <x:c r="B252" s="3">
        <x:v>34.799999999999997</x:v>
      </x:c>
      <x:c r="C252" s="5">
        <x:v>41.844000000000001</x:v>
      </x:c>
      <x:c r="D252" s="5">
        <x:f t="shared" si="3"/>
        <x:v>7.044000000000004</x:v>
      </x:c>
      <x:c r="E252" t="s">
        <x:v>21</x:v>
      </x:c>
      <x:c r="F252" t="s">
        <x:v>10</x:v>
      </x:c>
      <x:c r="G252" t="s">
        <x:v>703</x:v>
      </x:c>
      <x:c r="H252" t="s">
        <x:v>704</x:v>
      </x:c>
      <x:c r="I252" s="17" t="n">
        <x:v>18</x:v>
      </x:c>
      <x:c r="J252" s="17" t="n">
        <x:v>17</x:v>
      </x:c>
      <x:c r="K252" s="17" t="n">
        <x:v>16</x:v>
      </x:c>
      <x:c r="L252" t="str">
        <x:v>I</x:v>
      </x:c>
      <x:c r="M252" t="str">
        <x:v>IL</x:v>
      </x:c>
      <x:c r="N252" t="str">
        <x:v>NAPERVILLE</x:v>
      </x:c>
      <x:c r="O252" t="str">
        <x:v>NJ</x:v>
      </x:c>
      <x:c r="P252" t="str">
        <x:v>NEW BRUNSWICK</x:v>
      </x:c>
      <x:c r="Q252" t="str">
        <x:v>已匹配</x:v>
      </x:c>
      <x:c r="R252" t="n">
        <x:v>481</x:v>
      </x:c>
    </x:row>
    <x:row r="253" ht="18">
      <x:c r="A253" s="12" t="s">
        <x:v>705</x:v>
      </x:c>
      <x:c r="B253" s="3">
        <x:v>21.67</x:v>
      </x:c>
      <x:c r="C253" s="5">
        <x:v>51.216000000000001</x:v>
      </x:c>
      <x:c r="D253" s="5">
        <x:f t="shared" si="3"/>
        <x:v>29.545999999999999</x:v>
      </x:c>
      <x:c r="E253" t="s">
        <x:v>25</x:v>
      </x:c>
      <x:c r="F253" t="s">
        <x:v>10</x:v>
      </x:c>
      <x:c r="G253" t="s">
        <x:v>706</x:v>
      </x:c>
      <x:c r="H253" t="s">
        <x:v>707</x:v>
      </x:c>
      <x:c r="I253" s="17" t="n">
        <x:v>15</x:v>
      </x:c>
      <x:c r="J253" s="17" t="n">
        <x:v>13</x:v>
      </x:c>
      <x:c r="K253" s="17" t="n">
        <x:v>11</x:v>
      </x:c>
      <x:c r="L253" t="str">
        <x:v>I</x:v>
      </x:c>
      <x:c r="M253" t="str">
        <x:v>PA</x:v>
      </x:c>
      <x:c r="N253" t="str">
        <x:v>PITTSBURGH</x:v>
      </x:c>
      <x:c r="O253" t="str">
        <x:v>NJ</x:v>
      </x:c>
      <x:c r="P253" t="str">
        <x:v>NEW BRUNSWICK</x:v>
      </x:c>
      <x:c r="Q253" t="str">
        <x:v>已匹配</x:v>
      </x:c>
      <x:c r="R253" t="n">
        <x:v>382</x:v>
      </x:c>
    </x:row>
    <x:row r="254" ht="18">
      <x:c r="A254" s="12" t="s">
        <x:v>708</x:v>
      </x:c>
      <x:c r="B254" s="3">
        <x:v>20.38</x:v>
      </x:c>
      <x:c r="C254" s="5">
        <x:v>39.588999999999999</x:v>
      </x:c>
      <x:c r="D254" s="5">
        <x:f t="shared" si="3"/>
        <x:v>19.209</x:v>
      </x:c>
      <x:c r="E254" t="s">
        <x:v>25</x:v>
      </x:c>
      <x:c r="F254" t="s">
        <x:v>10</x:v>
      </x:c>
      <x:c r="G254" t="s">
        <x:v>709</x:v>
      </x:c>
      <x:c r="H254" t="s">
        <x:v>710</x:v>
      </x:c>
      <x:c r="I254" s="17" t="n">
        <x:v>15</x:v>
      </x:c>
      <x:c r="J254" s="17" t="n">
        <x:v>15</x:v>
      </x:c>
      <x:c r="K254" s="17" t="n">
        <x:v>11</x:v>
      </x:c>
      <x:c r="L254" t="str">
        <x:v>I</x:v>
      </x:c>
      <x:c r="M254" t="str">
        <x:v>MD</x:v>
      </x:c>
      <x:c r="N254" t="str">
        <x:v>ELKRIDGE</x:v>
      </x:c>
      <x:c r="O254" t="str">
        <x:v>NJ</x:v>
      </x:c>
      <x:c r="P254" t="str">
        <x:v>NEW BRUNSWICK</x:v>
      </x:c>
      <x:c r="Q254" t="str">
        <x:v>已匹配</x:v>
      </x:c>
      <x:c r="R254" t="n">
        <x:v>369</x:v>
      </x:c>
    </x:row>
    <x:row r="255" ht="18">
      <x:c r="A255" s="12" t="s">
        <x:v>711</x:v>
      </x:c>
      <x:c r="B255" s="3">
        <x:v>33.659999999999997</x:v>
      </x:c>
      <x:c r="C255" s="5">
        <x:v>74.613</x:v>
      </x:c>
      <x:c r="D255" s="5">
        <x:f t="shared" si="3"/>
        <x:v>40.953000000000003</x:v>
      </x:c>
      <x:c r="E255" t="s">
        <x:v>35</x:v>
      </x:c>
      <x:c r="F255" t="s">
        <x:v>10</x:v>
      </x:c>
      <x:c r="G255" t="s">
        <x:v>712</x:v>
      </x:c>
      <x:c r="H255" t="s">
        <x:v>713</x:v>
      </x:c>
      <x:c r="I255" s="17" t="n">
        <x:v>19</x:v>
      </x:c>
      <x:c r="J255" s="17" t="n">
        <x:v>16</x:v>
      </x:c>
      <x:c r="K255" s="17" t="n">
        <x:v>16</x:v>
      </x:c>
      <x:c r="L255" t="str">
        <x:v>I</x:v>
      </x:c>
      <x:c r="M255" t="str">
        <x:v>OH</x:v>
      </x:c>
      <x:c r="N255" t="str">
        <x:v>DUPONT</x:v>
      </x:c>
      <x:c r="O255" t="str">
        <x:v>NJ</x:v>
      </x:c>
      <x:c r="P255" t="str">
        <x:v>NEW BRUNSWICK</x:v>
      </x:c>
      <x:c r="Q255" t="str">
        <x:v>已匹配</x:v>
      </x:c>
      <x:c r="R255" t="n">
        <x:v>345</x:v>
      </x:c>
    </x:row>
    <x:row r="256" ht="18">
      <x:c r="A256" s="12" t="s">
        <x:v>714</x:v>
      </x:c>
      <x:c r="B256" s="3">
        <x:v>18.64</x:v>
      </x:c>
      <x:c r="C256" s="5">
        <x:v>31.437999999999999</x:v>
      </x:c>
      <x:c r="D256" s="5">
        <x:f t="shared" si="3"/>
        <x:v>12.797999999999998</x:v>
      </x:c>
      <x:c r="E256" t="s">
        <x:v>21</x:v>
      </x:c>
      <x:c r="F256" t="s">
        <x:v>10</x:v>
      </x:c>
      <x:c r="G256" t="s">
        <x:v>715</x:v>
      </x:c>
      <x:c r="H256" t="s">
        <x:v>716</x:v>
      </x:c>
      <x:c r="I256" s="17" t="n">
        <x:v>18</x:v>
      </x:c>
      <x:c r="J256" s="17" t="n">
        <x:v>16</x:v>
      </x:c>
      <x:c r="K256" s="17" t="n">
        <x:v>12</x:v>
      </x:c>
      <x:c r="L256" t="str">
        <x:v>I</x:v>
      </x:c>
      <x:c r="M256" t="str">
        <x:v>OH</x:v>
      </x:c>
      <x:c r="N256" t="str">
        <x:v>LIMA</x:v>
      </x:c>
      <x:c r="O256" t="str">
        <x:v>NJ</x:v>
      </x:c>
      <x:c r="P256" t="str">
        <x:v>NEW BRUNSWICK</x:v>
      </x:c>
      <x:c r="Q256" t="str">
        <x:v>已匹配</x:v>
      </x:c>
      <x:c r="R256" t="n">
        <x:v>344</x:v>
      </x:c>
    </x:row>
    <x:row r="257" ht="18">
      <x:c r="A257" s="12" t="s">
        <x:v>717</x:v>
      </x:c>
      <x:c r="B257" s="3">
        <x:v>36.630000000000003</x:v>
      </x:c>
      <x:c r="C257" s="5">
        <x:v>71.543999999999997</x:v>
      </x:c>
      <x:c r="D257" s="5">
        <x:f t="shared" si="3"/>
        <x:v>34.913999999999994</x:v>
      </x:c>
      <x:c r="E257" t="s">
        <x:v>417</x:v>
      </x:c>
      <x:c r="F257" t="s">
        <x:v>10</x:v>
      </x:c>
      <x:c r="G257" t="s">
        <x:v>718</x:v>
      </x:c>
      <x:c r="H257" t="s">
        <x:v>719</x:v>
      </x:c>
      <x:c r="I257" s="17" t="n">
        <x:v>76</x:v>
      </x:c>
      <x:c r="J257" s="17" t="n">
        <x:v>46</x:v>
      </x:c>
      <x:c r="K257" s="17" t="n">
        <x:v>20</x:v>
      </x:c>
      <x:c r="L257" t="str">
        <x:v>C</x:v>
      </x:c>
      <x:c r="M257" t="str">
        <x:v>SC</x:v>
      </x:c>
      <x:c r="N257" t="str">
        <x:v>CONWAY</x:v>
      </x:c>
      <x:c r="O257" t="str">
        <x:v>NJ</x:v>
      </x:c>
      <x:c r="P257" t="str">
        <x:v>NEW BRUNSWICK</x:v>
      </x:c>
      <x:c r="Q257" t="str">
        <x:v>已匹配</x:v>
      </x:c>
      <x:c r="R257" t="n">
        <x:v>342</x:v>
      </x:c>
    </x:row>
    <x:row r="258" ht="18">
      <x:c r="A258" s="12" t="s">
        <x:v>720</x:v>
      </x:c>
      <x:c r="B258" s="3">
        <x:v>88.7</x:v>
      </x:c>
      <x:c r="C258" s="5">
        <x:v>204.71</x:v>
      </x:c>
      <x:c r="D258" s="5" t="n">
        <x:f t="shared" ref="D258:D307" si="4">C258-B258</x:f>
        <x:v>116.01</x:v>
      </x:c>
      <x:c r="E258" t="s">
        <x:v>353</x:v>
      </x:c>
      <x:c r="F258" t="s">
        <x:v>10</x:v>
      </x:c>
      <x:c r="G258" t="s">
        <x:v>721</x:v>
      </x:c>
      <x:c r="H258" t="s">
        <x:v>722</x:v>
      </x:c>
      <x:c r="I258" s="17" t="n">
        <x:v>48</x:v>
      </x:c>
      <x:c r="J258" s="17" t="n">
        <x:v>48</x:v>
      </x:c>
      <x:c r="K258" s="17" t="n">
        <x:v>36</x:v>
      </x:c>
      <x:c r="L258" t="str">
        <x:v>C</x:v>
      </x:c>
      <x:c r="M258" t="str">
        <x:v>IL</x:v>
      </x:c>
      <x:c r="N258" t="str">
        <x:v>GURNEE</x:v>
      </x:c>
      <x:c r="O258" t="str">
        <x:v>NJ</x:v>
      </x:c>
      <x:c r="P258" t="str">
        <x:v>NEW BRUNSWICK</x:v>
      </x:c>
      <x:c r="Q258" t="str">
        <x:v>已匹配</x:v>
      </x:c>
      <x:c r="R258" t="n">
        <x:v>381</x:v>
      </x:c>
    </x:row>
    <x:row r="259" ht="18">
      <x:c r="A259" s="12" t="s">
        <x:v>723</x:v>
      </x:c>
      <x:c r="B259" s="3">
        <x:v>95.69</x:v>
      </x:c>
      <x:c r="C259" s="5">
        <x:v>237.83099999999999</x:v>
      </x:c>
      <x:c r="D259" s="5">
        <x:f t="shared" si="4"/>
        <x:v>142.14099999999999</x:v>
      </x:c>
      <x:c r="E259" t="s">
        <x:v>35</x:v>
      </x:c>
      <x:c r="F259" t="s">
        <x:v>10</x:v>
      </x:c>
      <x:c r="G259" t="s">
        <x:v>724</x:v>
      </x:c>
      <x:c r="H259" t="s">
        <x:v>725</x:v>
      </x:c>
      <x:c r="I259" s="17" t="n">
        <x:v>19</x:v>
      </x:c>
      <x:c r="J259" s="17" t="n">
        <x:v>16</x:v>
      </x:c>
      <x:c r="K259" s="17" t="n">
        <x:v>16</x:v>
      </x:c>
      <x:c r="L259" t="str">
        <x:v>I</x:v>
      </x:c>
      <x:c r="M259" t="str">
        <x:v>FL</x:v>
      </x:c>
      <x:c r="N259" t="str">
        <x:v>MIAMI</x:v>
      </x:c>
      <x:c r="O259" t="str">
        <x:v>NJ</x:v>
      </x:c>
      <x:c r="P259" t="str">
        <x:v>NEW BRUNSWICK</x:v>
      </x:c>
      <x:c r="Q259" t="str">
        <x:v>已匹配</x:v>
      </x:c>
      <x:c r="R259" t="n">
        <x:v>402</x:v>
      </x:c>
    </x:row>
    <x:row r="260" ht="18">
      <x:c r="A260" s="12" t="s">
        <x:v>726</x:v>
      </x:c>
      <x:c r="B260" s="3">
        <x:v>84.13</x:v>
      </x:c>
      <x:c r="C260" s="5">
        <x:v>88.66</x:v>
      </x:c>
      <x:c r="D260" s="5">
        <x:f t="shared" si="4"/>
        <x:v>4.5300000000000011</x:v>
      </x:c>
      <x:c r="E260" t="s">
        <x:v>108</x:v>
      </x:c>
      <x:c r="F260" t="s">
        <x:v>10</x:v>
      </x:c>
      <x:c r="G260" t="s">
        <x:v>727</x:v>
      </x:c>
      <x:c r="H260" t="s">
        <x:v>728</x:v>
      </x:c>
      <x:c r="I260" s="17" t="n">
        <x:v>19</x:v>
      </x:c>
      <x:c r="J260" s="17" t="n">
        <x:v>19</x:v>
      </x:c>
      <x:c r="K260" s="17" t="n">
        <x:v>15</x:v>
      </x:c>
      <x:c r="L260" t="str">
        <x:v>I</x:v>
      </x:c>
      <x:c r="M260" t="str">
        <x:v>MN</x:v>
      </x:c>
      <x:c r="N260" t="str">
        <x:v>MINNEAPOLIS</x:v>
      </x:c>
      <x:c r="O260" t="str">
        <x:v>NJ</x:v>
      </x:c>
      <x:c r="P260" t="str">
        <x:v>NEW BRUNSWICK</x:v>
      </x:c>
      <x:c r="Q260" t="str">
        <x:v>已匹配</x:v>
      </x:c>
      <x:c r="R260" t="n">
        <x:v>455</x:v>
      </x:c>
    </x:row>
    <x:row r="261" ht="18">
      <x:c r="A261" s="12" t="s">
        <x:v>729</x:v>
      </x:c>
      <x:c r="B261" s="3">
        <x:v>27.26</x:v>
      </x:c>
      <x:c r="C261" s="5">
        <x:v>30.228000000000002</x:v>
      </x:c>
      <x:c r="D261" s="5">
        <x:f t="shared" si="4"/>
        <x:v>2.968</x:v>
      </x:c>
      <x:c r="E261" t="s">
        <x:v>25</x:v>
      </x:c>
      <x:c r="F261" t="s">
        <x:v>10</x:v>
      </x:c>
      <x:c r="G261" t="s">
        <x:v>730</x:v>
      </x:c>
      <x:c r="H261" t="s">
        <x:v>731</x:v>
      </x:c>
      <x:c r="I261" s="17" t="n">
        <x:v>16</x:v>
      </x:c>
      <x:c r="J261" s="17" t="n">
        <x:v>16</x:v>
      </x:c>
      <x:c r="K261" s="17" t="n">
        <x:v>12</x:v>
      </x:c>
      <x:c r="L261" t="str">
        <x:v>I</x:v>
      </x:c>
      <x:c r="M261" t="str">
        <x:v>WI</x:v>
      </x:c>
      <x:c r="N261" t="str">
        <x:v>NEW RICHMOND</x:v>
      </x:c>
      <x:c r="O261" t="str">
        <x:v>NJ</x:v>
      </x:c>
      <x:c r="P261" t="str">
        <x:v>NEW BRUNSWICK</x:v>
      </x:c>
      <x:c r="Q261" t="str">
        <x:v>已匹配</x:v>
      </x:c>
      <x:c r="R261" t="n">
        <x:v>368</x:v>
      </x:c>
    </x:row>
    <x:row r="262" ht="18">
      <x:c r="A262" s="12" t="s">
        <x:v>732</x:v>
      </x:c>
      <x:c r="B262" s="3">
        <x:v>24.39</x:v>
      </x:c>
      <x:c r="C262" s="5">
        <x:v>46.683999999999997</x:v>
      </x:c>
      <x:c r="D262" s="5">
        <x:f t="shared" si="4"/>
        <x:v>22.293999999999997</x:v>
      </x:c>
      <x:c r="E262" t="s">
        <x:v>14</x:v>
      </x:c>
      <x:c r="F262" t="s">
        <x:v>10</x:v>
      </x:c>
      <x:c r="G262" t="s">
        <x:v>733</x:v>
      </x:c>
      <x:c r="H262" t="s">
        <x:v>734</x:v>
      </x:c>
      <x:c r="I262" s="17" t="n">
        <x:v>16</x:v>
      </x:c>
      <x:c r="J262" s="17" t="n">
        <x:v>16</x:v>
      </x:c>
      <x:c r="K262" s="17" t="n">
        <x:v>12</x:v>
      </x:c>
      <x:c r="L262" t="str">
        <x:v>I</x:v>
      </x:c>
      <x:c r="M262" t="str">
        <x:v>GA</x:v>
      </x:c>
      <x:c r="N262" t="str">
        <x:v>RICHMOND HILL</x:v>
      </x:c>
      <x:c r="O262" t="str">
        <x:v>NJ</x:v>
      </x:c>
      <x:c r="P262" t="str">
        <x:v>NEW BRUNSWICK</x:v>
      </x:c>
      <x:c r="Q262" t="str">
        <x:v>已匹配</x:v>
      </x:c>
      <x:c r="R262" t="n">
        <x:v>303</x:v>
      </x:c>
    </x:row>
    <x:row r="263" ht="18">
      <x:c r="A263" s="12" t="s">
        <x:v>735</x:v>
      </x:c>
      <x:c r="B263" s="3">
        <x:v>65.55</x:v>
      </x:c>
      <x:c r="C263" s="5">
        <x:v>70.488</x:v>
      </x:c>
      <x:c r="D263" s="5">
        <x:f t="shared" si="4"/>
        <x:v>4.9380000000000024</x:v>
      </x:c>
      <x:c r="E263" t="s">
        <x:v>35</x:v>
      </x:c>
      <x:c r="F263" t="s">
        <x:v>10</x:v>
      </x:c>
      <x:c r="G263" t="s">
        <x:v>736</x:v>
      </x:c>
      <x:c r="H263" t="s">
        <x:v>737</x:v>
      </x:c>
      <x:c r="I263" s="17" t="n">
        <x:v>20</x:v>
      </x:c>
      <x:c r="J263" s="17" t="n">
        <x:v>16</x:v>
      </x:c>
      <x:c r="K263" s="17" t="n">
        <x:v>16</x:v>
      </x:c>
      <x:c r="L263" t="str">
        <x:v>I</x:v>
      </x:c>
      <x:c r="M263" t="str">
        <x:v>NY</x:v>
      </x:c>
      <x:c r="N263" t="str">
        <x:v>GREENVILLE</x:v>
      </x:c>
      <x:c r="O263" t="str">
        <x:v>NJ</x:v>
      </x:c>
      <x:c r="P263" t="str">
        <x:v>NEW BRUNSWICK</x:v>
      </x:c>
      <x:c r="Q263" t="str">
        <x:v>已匹配</x:v>
      </x:c>
      <x:c r="R263" t="n">
        <x:v>276</x:v>
      </x:c>
    </x:row>
    <x:row r="264" ht="18">
      <x:c r="A264" s="12" t="s">
        <x:v>738</x:v>
      </x:c>
      <x:c r="B264" s="3">
        <x:v>27.26</x:v>
      </x:c>
      <x:c r="C264" s="5">
        <x:v>42.856000000000002</x:v>
      </x:c>
      <x:c r="D264" s="5">
        <x:f t="shared" si="4"/>
        <x:v>15.596</x:v>
      </x:c>
      <x:c r="E264" t="s">
        <x:v>139</x:v>
      </x:c>
      <x:c r="F264" t="s">
        <x:v>10</x:v>
      </x:c>
      <x:c r="G264" t="s">
        <x:v>739</x:v>
      </x:c>
      <x:c r="H264" t="s">
        <x:v>740</x:v>
      </x:c>
      <x:c r="I264" s="17" t="n">
        <x:v>74</x:v>
      </x:c>
      <x:c r="J264" s="17" t="n">
        <x:v>48</x:v>
      </x:c>
      <x:c r="K264" s="17" t="n">
        <x:v>20</x:v>
      </x:c>
      <x:c r="L264" t="str">
        <x:v>C</x:v>
      </x:c>
      <x:c r="M264" t="str">
        <x:v>AL</x:v>
      </x:c>
      <x:c r="N264" t="str">
        <x:v>OPELIKA</x:v>
      </x:c>
      <x:c r="O264" t="str">
        <x:v>NJ</x:v>
      </x:c>
      <x:c r="P264" t="str">
        <x:v>NEW BRUNSWICK</x:v>
      </x:c>
      <x:c r="Q264" t="str">
        <x:v>已匹配</x:v>
      </x:c>
      <x:c r="R264" t="n">
        <x:v>339</x:v>
      </x:c>
    </x:row>
    <x:row r="265" ht="18">
      <x:c r="A265" s="12" t="s">
        <x:v>741</x:v>
      </x:c>
      <x:c r="B265" s="3">
        <x:v>108.51</x:v>
      </x:c>
      <x:c r="C265" s="5">
        <x:v>270.52300000000002</x:v>
      </x:c>
      <x:c r="D265" s="5">
        <x:f t="shared" si="4"/>
        <x:v>162.01300000000003</x:v>
      </x:c>
      <x:c r="E265" t="s">
        <x:v>742</x:v>
      </x:c>
      <x:c r="F265" t="s">
        <x:v>10</x:v>
      </x:c>
      <x:c r="G265" t="s">
        <x:v>743</x:v>
      </x:c>
      <x:c r="H265" t="s">
        <x:v>744</x:v>
      </x:c>
      <x:c r="I265" s="17" t="n">
        <x:v>71</x:v>
      </x:c>
      <x:c r="J265" s="17" t="n">
        <x:v>51</x:v>
      </x:c>
      <x:c r="K265" s="17" t="n">
        <x:v>51</x:v>
      </x:c>
      <x:c r="L265" t="str">
        <x:v>C</x:v>
      </x:c>
      <x:c r="M265" t="str">
        <x:v>NC</x:v>
      </x:c>
      <x:c r="N265" t="str">
        <x:v>WAKE FOREST</x:v>
      </x:c>
      <x:c r="O265" t="str">
        <x:v>NJ</x:v>
      </x:c>
      <x:c r="P265" t="str">
        <x:v>NEW BRUNSWICK</x:v>
      </x:c>
      <x:c r="Q265" t="str">
        <x:v>已匹配</x:v>
      </x:c>
      <x:c r="R265" t="n">
        <x:v>338</x:v>
      </x:c>
    </x:row>
    <x:row r="266" ht="18">
      <x:c r="A266" s="12" t="s">
        <x:v>745</x:v>
      </x:c>
      <x:c r="B266" s="3">
        <x:v>23.72</x:v>
      </x:c>
      <x:c r="C266" s="5">
        <x:v>30.228000000000002</x:v>
      </x:c>
      <x:c r="D266" s="5">
        <x:f t="shared" si="4"/>
        <x:v>6.5080000000000027</x:v>
      </x:c>
      <x:c r="E266" t="s">
        <x:v>25</x:v>
      </x:c>
      <x:c r="F266" t="s">
        <x:v>10</x:v>
      </x:c>
      <x:c r="G266" t="s">
        <x:v>746</x:v>
      </x:c>
      <x:c r="H266" t="s">
        <x:v>747</x:v>
      </x:c>
      <x:c r="I266" s="17" t="n">
        <x:v>16</x:v>
      </x:c>
      <x:c r="J266" s="17" t="n">
        <x:v>16</x:v>
      </x:c>
      <x:c r="K266" s="17" t="n">
        <x:v>12</x:v>
      </x:c>
      <x:c r="L266" t="str">
        <x:v>I</x:v>
      </x:c>
      <x:c r="M266" t="str">
        <x:v>FL</x:v>
      </x:c>
      <x:c r="N266" t="str">
        <x:v>TAMPA</x:v>
      </x:c>
      <x:c r="O266" t="str">
        <x:v>NJ</x:v>
      </x:c>
      <x:c r="P266" t="str">
        <x:v>NEW BRUNSWICK</x:v>
      </x:c>
      <x:c r="Q266" t="str">
        <x:v>已匹配</x:v>
      </x:c>
      <x:c r="R266" t="n">
        <x:v>336</x:v>
      </x:c>
    </x:row>
    <x:row r="267" ht="18">
      <x:c r="A267" s="12" t="s">
        <x:v>748</x:v>
      </x:c>
      <x:c r="B267" s="3">
        <x:v>32.22</x:v>
      </x:c>
      <x:c r="C267" s="5">
        <x:v>38.070999999999998</x:v>
      </x:c>
      <x:c r="D267" s="5">
        <x:f t="shared" si="4"/>
        <x:v>5.8509999999999991</x:v>
      </x:c>
      <x:c r="E267" t="s">
        <x:v>25</x:v>
      </x:c>
      <x:c r="F267" t="s">
        <x:v>10</x:v>
      </x:c>
      <x:c r="G267" t="s">
        <x:v>749</x:v>
      </x:c>
      <x:c r="H267" t="s">
        <x:v>750</x:v>
      </x:c>
      <x:c r="I267" s="17" t="n">
        <x:v>20</x:v>
      </x:c>
      <x:c r="J267" s="17" t="n">
        <x:v>16</x:v>
      </x:c>
      <x:c r="K267" s="17" t="n">
        <x:v>15</x:v>
      </x:c>
      <x:c r="L267" t="str">
        <x:v>I</x:v>
      </x:c>
      <x:c r="M267" t="str">
        <x:v>OK</x:v>
      </x:c>
      <x:c r="N267" t="str">
        <x:v>CHICKASHA</x:v>
      </x:c>
      <x:c r="O267" t="str">
        <x:v>NJ</x:v>
      </x:c>
      <x:c r="P267" t="str">
        <x:v>NEW BRUNSWICK</x:v>
      </x:c>
      <x:c r="Q267" t="str">
        <x:v>已匹配</x:v>
      </x:c>
      <x:c r="R267" t="n">
        <x:v>434</x:v>
      </x:c>
    </x:row>
    <x:row r="268" ht="18">
      <x:c r="A268" s="12" t="s">
        <x:v>751</x:v>
      </x:c>
      <x:c r="B268" s="3">
        <x:v>19.690000000000001</x:v>
      </x:c>
      <x:c r="C268" s="5">
        <x:v>44.209000000000003</x:v>
      </x:c>
      <x:c r="D268" s="5">
        <x:f t="shared" si="4"/>
        <x:v>24.519000000000002</x:v>
      </x:c>
      <x:c r="E268" t="s">
        <x:v>47</x:v>
      </x:c>
      <x:c r="F268" t="s">
        <x:v>10</x:v>
      </x:c>
      <x:c r="G268" t="s">
        <x:v>752</x:v>
      </x:c>
      <x:c r="H268" t="s">
        <x:v>753</x:v>
      </x:c>
      <x:c r="I268" s="17" t="n">
        <x:v>17</x:v>
      </x:c>
      <x:c r="J268" s="17" t="n">
        <x:v>13</x:v>
      </x:c>
      <x:c r="K268" s="17" t="n">
        <x:v>10</x:v>
      </x:c>
      <x:c r="L268" t="str">
        <x:v>I</x:v>
      </x:c>
      <x:c r="M268" t="str">
        <x:v>WI</x:v>
      </x:c>
      <x:c r="N268" t="str">
        <x:v>WHITE LAKE</x:v>
      </x:c>
      <x:c r="O268" t="str">
        <x:v>NJ</x:v>
      </x:c>
      <x:c r="P268" t="str">
        <x:v>NEW BRUNSWICK</x:v>
      </x:c>
      <x:c r="Q268" t="str">
        <x:v>已匹配</x:v>
      </x:c>
      <x:c r="R268" t="n">
        <x:v>380</x:v>
      </x:c>
    </x:row>
    <x:row r="269" ht="18">
      <x:c r="A269" s="12" t="s">
        <x:v>754</x:v>
      </x:c>
      <x:c r="B269" s="3">
        <x:v>26.2</x:v>
      </x:c>
      <x:c r="C269" s="5">
        <x:v>130.416</x:v>
      </x:c>
      <x:c r="D269" s="5">
        <x:f t="shared" si="4"/>
        <x:v>104.21599999999999</x:v>
      </x:c>
      <x:c r="E269" t="s">
        <x:v>25</x:v>
      </x:c>
      <x:c r="F269" t="s">
        <x:v>10</x:v>
      </x:c>
      <x:c r="G269" t="s">
        <x:v>755</x:v>
      </x:c>
      <x:c r="H269" t="s">
        <x:v>756</x:v>
      </x:c>
      <x:c r="I269" s="17" t="n">
        <x:v>15</x:v>
      </x:c>
      <x:c r="J269" s="17" t="n">
        <x:v>12</x:v>
      </x:c>
      <x:c r="K269" s="17" t="n">
        <x:v>12</x:v>
      </x:c>
      <x:c r="L269" t="str">
        <x:v>I</x:v>
      </x:c>
      <x:c r="M269" t="str">
        <x:v>IA</x:v>
      </x:c>
      <x:c r="N269" t="str">
        <x:v>MARION</x:v>
      </x:c>
      <x:c r="O269" t="str">
        <x:v>NJ</x:v>
      </x:c>
      <x:c r="P269" t="str">
        <x:v>NEW BRUNSWICK</x:v>
      </x:c>
      <x:c r="Q269" t="str">
        <x:v>已匹配</x:v>
      </x:c>
      <x:c r="R269" t="n">
        <x:v>400</x:v>
      </x:c>
    </x:row>
    <x:row r="270" ht="18">
      <x:c r="A270" s="12" t="s">
        <x:v>757</x:v>
      </x:c>
      <x:c r="B270" s="3">
        <x:v>74.12</x:v>
      </x:c>
      <x:c r="C270" s="5">
        <x:v>89.638999999999996</x:v>
      </x:c>
      <x:c r="D270" s="5">
        <x:f t="shared" si="4"/>
        <x:v>15.518999999999991</x:v>
      </x:c>
      <x:c r="E270" t="s">
        <x:v>309</x:v>
      </x:c>
      <x:c r="F270" t="s">
        <x:v>10</x:v>
      </x:c>
      <x:c r="G270" t="s">
        <x:v>758</x:v>
      </x:c>
      <x:c r="H270" t="s">
        <x:v>759</x:v>
      </x:c>
      <x:c r="I270" s="17" t="n">
        <x:v>28</x:v>
      </x:c>
      <x:c r="J270" s="17" t="n">
        <x:v>20</x:v>
      </x:c>
      <x:c r="K270" s="17" t="n">
        <x:v>20</x:v>
      </x:c>
      <x:c r="L270" t="str">
        <x:v>I</x:v>
      </x:c>
      <x:c r="M270" t="str">
        <x:v>CT</x:v>
      </x:c>
      <x:c r="N270" t="str">
        <x:v>WESTON</x:v>
      </x:c>
      <x:c r="O270" t="str">
        <x:v>NJ</x:v>
      </x:c>
      <x:c r="P270" t="str">
        <x:v>NEW BRUNSWICK</x:v>
      </x:c>
      <x:c r="Q270" t="str">
        <x:v>已匹配</x:v>
      </x:c>
      <x:c r="R270" t="n">
        <x:v>274</x:v>
      </x:c>
    </x:row>
    <x:row r="271" ht="18">
      <x:c r="A271" s="12" t="s">
        <x:v>760</x:v>
      </x:c>
      <x:c r="B271" s="3">
        <x:v>21.73</x:v>
      </x:c>
      <x:c r="C271" s="5">
        <x:v>25.135000000000002</x:v>
      </x:c>
      <x:c r="D271" s="5">
        <x:f t="shared" si="4"/>
        <x:v>3.4050000000000011</x:v>
      </x:c>
      <x:c r="E271" t="s">
        <x:v>25</x:v>
      </x:c>
      <x:c r="F271" t="s">
        <x:v>10</x:v>
      </x:c>
      <x:c r="G271" t="s">
        <x:v>761</x:v>
      </x:c>
      <x:c r="H271" t="s">
        <x:v>762</x:v>
      </x:c>
      <x:c r="I271" s="17" t="n">
        <x:v>27</x:v>
      </x:c>
      <x:c r="J271" s="17" t="n">
        <x:v>19</x:v>
      </x:c>
      <x:c r="K271" s="17" t="n">
        <x:v>19</x:v>
      </x:c>
      <x:c r="L271" t="str">
        <x:v>I</x:v>
      </x:c>
      <x:c r="M271" t="str">
        <x:v>NJ</x:v>
      </x:c>
      <x:c r="N271" t="str">
        <x:v>WHITEHOUSE STATION</x:v>
      </x:c>
      <x:c r="O271" t="str">
        <x:v>NJ</x:v>
      </x:c>
      <x:c r="P271" t="str">
        <x:v>NEW BRUNSWICK</x:v>
      </x:c>
      <x:c r="Q271" t="str">
        <x:v>已匹配</x:v>
      </x:c>
      <x:c r="R271" t="n">
        <x:v>273</x:v>
      </x:c>
    </x:row>
    <x:row r="272" ht="18">
      <x:c r="A272" s="12" t="s">
        <x:v>763</x:v>
      </x:c>
      <x:c r="B272" s="3">
        <x:v>36.44</x:v>
      </x:c>
      <x:c r="C272" s="5">
        <x:v>39.039000000000001</x:v>
      </x:c>
      <x:c r="D272" s="5">
        <x:f t="shared" si="4"/>
        <x:v>2.5990000000000038</x:v>
      </x:c>
      <x:c r="E272" t="s">
        <x:v>21</x:v>
      </x:c>
      <x:c r="F272" t="s">
        <x:v>10</x:v>
      </x:c>
      <x:c r="G272" t="s">
        <x:v>764</x:v>
      </x:c>
      <x:c r="H272" t="s">
        <x:v>765</x:v>
      </x:c>
      <x:c r="I272" s="17" t="n">
        <x:v>19</x:v>
      </x:c>
      <x:c r="J272" s="17" t="n">
        <x:v>19</x:v>
      </x:c>
      <x:c r="K272" s="17" t="n">
        <x:v>14</x:v>
      </x:c>
      <x:c r="L272" t="str">
        <x:v>I</x:v>
      </x:c>
      <x:c r="M272" t="str">
        <x:v>AL</x:v>
      </x:c>
      <x:c r="N272" t="str">
        <x:v>PIEDMONT</x:v>
      </x:c>
      <x:c r="O272" t="str">
        <x:v>NJ</x:v>
      </x:c>
      <x:c r="P272" t="str">
        <x:v>NEW BRUNSWICK</x:v>
      </x:c>
      <x:c r="Q272" t="str">
        <x:v>已匹配</x:v>
      </x:c>
      <x:c r="R272" t="n">
        <x:v>272</x:v>
      </x:c>
    </x:row>
    <x:row r="273" ht="18">
      <x:c r="A273" s="12" t="s">
        <x:v>766</x:v>
      </x:c>
      <x:c r="B273" s="3">
        <x:v>65.37</x:v>
      </x:c>
      <x:c r="C273" s="5">
        <x:v>72.028000000000006</x:v>
      </x:c>
      <x:c r="D273" s="5">
        <x:f t="shared" si="4"/>
        <x:v>6.6580000000000013</x:v>
      </x:c>
      <x:c r="E273" t="s">
        <x:v>180</x:v>
      </x:c>
      <x:c r="F273" t="s">
        <x:v>10</x:v>
      </x:c>
      <x:c r="G273" t="s">
        <x:v>767</x:v>
      </x:c>
      <x:c r="H273" t="s">
        <x:v>768</x:v>
      </x:c>
      <x:c r="I273" s="17" t="n">
        <x:v>23</x:v>
      </x:c>
      <x:c r="J273" s="17" t="n">
        <x:v>22</x:v>
      </x:c>
      <x:c r="K273" s="17" t="n">
        <x:v>17</x:v>
      </x:c>
      <x:c r="L273" t="str">
        <x:v>I</x:v>
      </x:c>
      <x:c r="M273" t="str">
        <x:v>MA</x:v>
      </x:c>
      <x:c r="N273" t="str">
        <x:v>ATTLEBORO</x:v>
      </x:c>
      <x:c r="O273" t="str">
        <x:v>NJ</x:v>
      </x:c>
      <x:c r="P273" t="str">
        <x:v>NEW BRUNSWICK</x:v>
      </x:c>
      <x:c r="Q273" t="str">
        <x:v>已匹配</x:v>
      </x:c>
      <x:c r="R273" t="n">
        <x:v>298</x:v>
      </x:c>
    </x:row>
    <x:row r="274" ht="18">
      <x:c r="A274" s="12" t="s">
        <x:v>769</x:v>
      </x:c>
      <x:c r="B274" s="3">
        <x:v>21.67</x:v>
      </x:c>
      <x:c r="C274" s="5">
        <x:v>24.09</x:v>
      </x:c>
      <x:c r="D274" s="5">
        <x:f t="shared" si="4"/>
        <x:v>2.4199999999999982</x:v>
      </x:c>
      <x:c r="E274" t="s">
        <x:v>25</x:v>
      </x:c>
      <x:c r="F274" t="s">
        <x:v>10</x:v>
      </x:c>
      <x:c r="G274" t="s">
        <x:v>770</x:v>
      </x:c>
      <x:c r="H274" t="s">
        <x:v>771</x:v>
      </x:c>
      <x:c r="I274" s="17" t="n">
        <x:v>17</x:v>
      </x:c>
      <x:c r="J274" s="17" t="n">
        <x:v>12</x:v>
      </x:c>
      <x:c r="K274" s="17" t="n">
        <x:v>12</x:v>
      </x:c>
      <x:c r="L274" t="str">
        <x:v>I</x:v>
      </x:c>
      <x:c r="M274" t="str">
        <x:v>TN</x:v>
      </x:c>
      <x:c r="N274" t="str">
        <x:v>BLOUNTVILLE</x:v>
      </x:c>
      <x:c r="O274" t="str">
        <x:v>NJ</x:v>
      </x:c>
      <x:c r="P274" t="str">
        <x:v>NEW BRUNSWICK</x:v>
      </x:c>
      <x:c r="Q274" t="str">
        <x:v>已匹配</x:v>
      </x:c>
      <x:c r="R274" t="n">
        <x:v>271</x:v>
      </x:c>
    </x:row>
    <x:row r="275" ht="18">
      <x:c r="A275" s="12" t="s">
        <x:v>772</x:v>
      </x:c>
      <x:c r="B275" s="3">
        <x:v>110.77</x:v>
      </x:c>
      <x:c r="C275" s="5">
        <x:v>122.595</x:v>
      </x:c>
      <x:c r="D275" s="5">
        <x:f t="shared" si="4"/>
        <x:v>11.825000000000003</x:v>
      </x:c>
      <x:c r="E275" t="s">
        <x:v>773</x:v>
      </x:c>
      <x:c r="F275" t="s">
        <x:v>10</x:v>
      </x:c>
      <x:c r="G275" t="s">
        <x:v>774</x:v>
      </x:c>
      <x:c r="H275" t="s">
        <x:v>775</x:v>
      </x:c>
      <x:c r="I275" s="17" t="n">
        <x:v>66</x:v>
      </x:c>
      <x:c r="J275" s="17" t="n">
        <x:v>56</x:v>
      </x:c>
      <x:c r="K275" s="17" t="n">
        <x:v>41</x:v>
      </x:c>
      <x:c r="L275" t="str">
        <x:v>C</x:v>
      </x:c>
      <x:c r="M275" t="str">
        <x:v>TX</x:v>
      </x:c>
      <x:c r="N275" t="str">
        <x:v>AUSTIN</x:v>
      </x:c>
      <x:c r="O275" t="str">
        <x:v>NJ</x:v>
      </x:c>
      <x:c r="P275" t="str">
        <x:v>NEW BRUNSWICK</x:v>
      </x:c>
      <x:c r="Q275" t="str">
        <x:v>已匹配</x:v>
      </x:c>
      <x:c r="R275" t="n">
        <x:v>334</x:v>
      </x:c>
    </x:row>
    <x:row r="276" ht="18">
      <x:c r="A276" s="12" t="s">
        <x:v>776</x:v>
      </x:c>
      <x:c r="B276" s="3">
        <x:v>29.94</x:v>
      </x:c>
      <x:c r="C276" s="5">
        <x:v>38.070999999999998</x:v>
      </x:c>
      <x:c r="D276" s="5">
        <x:f t="shared" si="4"/>
        <x:v>8.1309999999999967</x:v>
      </x:c>
      <x:c r="E276" t="s">
        <x:v>25</x:v>
      </x:c>
      <x:c r="F276" t="s">
        <x:v>10</x:v>
      </x:c>
      <x:c r="G276" t="s">
        <x:v>777</x:v>
      </x:c>
      <x:c r="H276" t="s">
        <x:v>778</x:v>
      </x:c>
      <x:c r="I276" s="17" t="n">
        <x:v>16</x:v>
      </x:c>
      <x:c r="J276" s="17" t="n">
        <x:v>16</x:v>
      </x:c>
      <x:c r="K276" s="17" t="n">
        <x:v>12</x:v>
      </x:c>
      <x:c r="L276" t="str">
        <x:v>I</x:v>
      </x:c>
      <x:c r="M276" t="str">
        <x:v>NE</x:v>
      </x:c>
      <x:c r="N276" t="str">
        <x:v>ELKHORN</x:v>
      </x:c>
      <x:c r="O276" t="str">
        <x:v>NJ</x:v>
      </x:c>
      <x:c r="P276" t="str">
        <x:v>NEW BRUNSWICK</x:v>
      </x:c>
      <x:c r="Q276" t="str">
        <x:v>已匹配</x:v>
      </x:c>
      <x:c r="R276" t="n">
        <x:v>332</x:v>
      </x:c>
    </x:row>
    <x:row r="277" ht="18">
      <x:c r="A277" s="12" t="s">
        <x:v>779</x:v>
      </x:c>
      <x:c r="B277" s="3">
        <x:v>19.43</x:v>
      </x:c>
      <x:c r="C277" s="5">
        <x:v>23.606000000000002</x:v>
      </x:c>
      <x:c r="D277" s="5">
        <x:f t="shared" si="4"/>
        <x:v>4.1760000000000019</x:v>
      </x:c>
      <x:c r="E277" t="s">
        <x:v>73</x:v>
      </x:c>
      <x:c r="F277" t="s">
        <x:v>10</x:v>
      </x:c>
      <x:c r="G277" t="s">
        <x:v>780</x:v>
      </x:c>
      <x:c r="H277" t="s">
        <x:v>781</x:v>
      </x:c>
      <x:c r="I277" s="17" t="n">
        <x:v>14</x:v>
      </x:c>
      <x:c r="J277" s="17" t="n">
        <x:v>14</x:v>
      </x:c>
      <x:c r="K277" s="17" t="n">
        <x:v>12</x:v>
      </x:c>
      <x:c r="L277" t="str">
        <x:v>I</x:v>
      </x:c>
      <x:c r="M277" t="str">
        <x:v>FL</x:v>
      </x:c>
      <x:c r="N277" t="str">
        <x:v>LOXAHATCHEE</x:v>
      </x:c>
      <x:c r="O277" t="str">
        <x:v>NJ</x:v>
      </x:c>
      <x:c r="P277" t="str">
        <x:v>NEW BRUNSWICK</x:v>
      </x:c>
      <x:c r="Q277" t="str">
        <x:v>已匹配</x:v>
      </x:c>
      <x:c r="R277" t="n">
        <x:v>331</x:v>
      </x:c>
    </x:row>
    <x:row r="278" ht="18">
      <x:c r="A278" s="12" t="s">
        <x:v>782</x:v>
      </x:c>
      <x:c r="B278" s="3">
        <x:v>33.29</x:v>
      </x:c>
      <x:c r="C278" s="5">
        <x:v>46.343000000000004</x:v>
      </x:c>
      <x:c r="D278" s="5">
        <x:f t="shared" si="4"/>
        <x:v>13.053000000000004</x:v>
      </x:c>
      <x:c r="E278" t="s">
        <x:v>14</x:v>
      </x:c>
      <x:c r="F278" t="s">
        <x:v>10</x:v>
      </x:c>
      <x:c r="G278" t="s">
        <x:v>783</x:v>
      </x:c>
      <x:c r="H278" t="s">
        <x:v>784</x:v>
      </x:c>
      <x:c r="I278" s="17" t="n">
        <x:v>15</x:v>
      </x:c>
      <x:c r="J278" s="17" t="n">
        <x:v>15</x:v>
      </x:c>
      <x:c r="K278" s="17" t="n">
        <x:v>11</x:v>
      </x:c>
      <x:c r="L278" t="str">
        <x:v>I</x:v>
      </x:c>
      <x:c r="M278" t="str">
        <x:v>UT</x:v>
      </x:c>
      <x:c r="N278" t="str">
        <x:v>RIVERTON</x:v>
      </x:c>
      <x:c r="O278" t="str">
        <x:v>NJ</x:v>
      </x:c>
      <x:c r="P278" t="str">
        <x:v>NEW BRUNSWICK</x:v>
      </x:c>
      <x:c r="Q278" t="str">
        <x:v>已匹配</x:v>
      </x:c>
      <x:c r="R278" t="n">
        <x:v>433</x:v>
      </x:c>
    </x:row>
    <x:row r="279" ht="18">
      <x:c r="A279" s="12" t="s">
        <x:v>785</x:v>
      </x:c>
      <x:c r="B279" s="3">
        <x:v>23.66</x:v>
      </x:c>
      <x:c r="C279" s="5">
        <x:v>29.073</x:v>
      </x:c>
      <x:c r="D279" s="5">
        <x:f t="shared" si="4"/>
        <x:v>5.4130000000000003</x:v>
      </x:c>
      <x:c r="E279" t="s">
        <x:v>14</x:v>
      </x:c>
      <x:c r="F279" t="s">
        <x:v>10</x:v>
      </x:c>
      <x:c r="G279" t="s">
        <x:v>786</x:v>
      </x:c>
      <x:c r="H279" t="s">
        <x:v>787</x:v>
      </x:c>
      <x:c r="I279" s="17" t="n">
        <x:v>16</x:v>
      </x:c>
      <x:c r="J279" s="17" t="n">
        <x:v>16</x:v>
      </x:c>
      <x:c r="K279" s="17" t="n">
        <x:v>12</x:v>
      </x:c>
      <x:c r="L279" t="str">
        <x:v>I</x:v>
      </x:c>
      <x:c r="M279" t="str">
        <x:v>AL</x:v>
      </x:c>
      <x:c r="N279" t="str">
        <x:v>CULLMAN</x:v>
      </x:c>
      <x:c r="O279" t="str">
        <x:v>NJ</x:v>
      </x:c>
      <x:c r="P279" t="str">
        <x:v>NEW BRUNSWICK</x:v>
      </x:c>
      <x:c r="Q279" t="str">
        <x:v>已匹配</x:v>
      </x:c>
      <x:c r="R279" t="n">
        <x:v>328</x:v>
      </x:c>
    </x:row>
    <x:row r="280" ht="18">
      <x:c r="A280" s="12" t="s">
        <x:v>788</x:v>
      </x:c>
      <x:c r="B280" s="3">
        <x:v>26.25</x:v>
      </x:c>
      <x:c r="C280" s="5">
        <x:v>68.177999999999997</x:v>
      </x:c>
      <x:c r="D280" s="5">
        <x:f t="shared" si="4"/>
        <x:v>41.927999999999997</x:v>
      </x:c>
      <x:c r="E280" t="s">
        <x:v>25</x:v>
      </x:c>
      <x:c r="F280" t="s">
        <x:v>10</x:v>
      </x:c>
      <x:c r="G280" t="s">
        <x:v>789</x:v>
      </x:c>
      <x:c r="H280" t="s">
        <x:v>790</x:v>
      </x:c>
      <x:c r="I280" s="17" t="n">
        <x:v>14</x:v>
      </x:c>
      <x:c r="J280" s="17" t="n">
        <x:v>12</x:v>
      </x:c>
      <x:c r="K280" s="17" t="n">
        <x:v>11</x:v>
      </x:c>
      <x:c r="L280" t="str">
        <x:v>I</x:v>
      </x:c>
      <x:c r="M280" t="str">
        <x:v>AL</x:v>
      </x:c>
      <x:c r="N280" t="str">
        <x:v>BLOUNTSVILLE</x:v>
      </x:c>
      <x:c r="O280" t="str">
        <x:v>NJ</x:v>
      </x:c>
      <x:c r="P280" t="str">
        <x:v>NEW BRUNSWICK</x:v>
      </x:c>
      <x:c r="Q280" t="str">
        <x:v>已匹配</x:v>
      </x:c>
      <x:c r="R280" t="n">
        <x:v>379</x:v>
      </x:c>
    </x:row>
    <x:row r="281" ht="18">
      <x:c r="A281" s="12" t="s">
        <x:v>791</x:v>
      </x:c>
      <x:c r="B281" s="3">
        <x:v>21.72</x:v>
      </x:c>
      <x:c r="C281" s="5">
        <x:v>24.31</x:v>
      </x:c>
      <x:c r="D281" s="5">
        <x:f t="shared" si="4"/>
        <x:v>2.59</x:v>
      </x:c>
      <x:c r="E281" t="s">
        <x:v>25</x:v>
      </x:c>
      <x:c r="F281" t="s">
        <x:v>10</x:v>
      </x:c>
      <x:c r="G281" t="s">
        <x:v>792</x:v>
      </x:c>
      <x:c r="H281" t="s">
        <x:v>793</x:v>
      </x:c>
      <x:c r="I281" s="17" t="n">
        <x:v>16</x:v>
      </x:c>
      <x:c r="J281" s="17" t="n">
        <x:v>16</x:v>
      </x:c>
      <x:c r="K281" s="17" t="n">
        <x:v>12</x:v>
      </x:c>
      <x:c r="L281" t="str">
        <x:v>I</x:v>
      </x:c>
      <x:c r="M281" t="str">
        <x:v>OH</x:v>
      </x:c>
      <x:c r="N281" t="str">
        <x:v>DAYTON</x:v>
      </x:c>
      <x:c r="O281" t="str">
        <x:v>NJ</x:v>
      </x:c>
      <x:c r="P281" t="str">
        <x:v>NEW BRUNSWICK</x:v>
      </x:c>
      <x:c r="Q281" t="str">
        <x:v>已匹配</x:v>
      </x:c>
      <x:c r="R281" t="n">
        <x:v>398</x:v>
      </x:c>
    </x:row>
    <x:row r="282" ht="18">
      <x:c r="A282" s="12" t="s">
        <x:v>794</x:v>
      </x:c>
      <x:c r="B282" s="3">
        <x:v>24.44</x:v>
      </x:c>
      <x:c r="C282" s="5">
        <x:v>29.073</x:v>
      </x:c>
      <x:c r="D282" s="5">
        <x:f t="shared" si="4"/>
        <x:v>4.6329999999999991</x:v>
      </x:c>
      <x:c r="E282" t="s">
        <x:v>25</x:v>
      </x:c>
      <x:c r="F282" t="s">
        <x:v>10</x:v>
      </x:c>
      <x:c r="G282" t="s">
        <x:v>795</x:v>
      </x:c>
      <x:c r="H282" t="s">
        <x:v>82</x:v>
      </x:c>
      <x:c r="I282" s="17" t="n">
        <x:v>16</x:v>
      </x:c>
      <x:c r="J282" s="17" t="n">
        <x:v>16</x:v>
      </x:c>
      <x:c r="K282" s="17" t="n">
        <x:v>12</x:v>
      </x:c>
      <x:c r="L282" t="str">
        <x:v>I</x:v>
      </x:c>
      <x:c r="M282" t="str">
        <x:v>GA</x:v>
      </x:c>
      <x:c r="N282" t="str">
        <x:v>ALPHARETTA</x:v>
      </x:c>
      <x:c r="O282" t="str">
        <x:v>NJ</x:v>
      </x:c>
      <x:c r="P282" t="str">
        <x:v>NEW BRUNSWICK</x:v>
      </x:c>
      <x:c r="Q282" t="str">
        <x:v>已匹配</x:v>
      </x:c>
      <x:c r="R282" t="n">
        <x:v>269</x:v>
      </x:c>
    </x:row>
    <x:row r="283" ht="18">
      <x:c r="A283" s="12" t="s">
        <x:v>796</x:v>
      </x:c>
      <x:c r="B283" s="3">
        <x:v>29.12</x:v>
      </x:c>
      <x:c r="C283" s="5">
        <x:v>76.724999999999994</x:v>
      </x:c>
      <x:c r="D283" s="5">
        <x:f t="shared" si="4"/>
        <x:v>47.60499999999999</x:v>
      </x:c>
      <x:c r="E283" t="s">
        <x:v>25</x:v>
      </x:c>
      <x:c r="F283" t="s">
        <x:v>10</x:v>
      </x:c>
      <x:c r="G283" t="s">
        <x:v>797</x:v>
      </x:c>
      <x:c r="H283" t="s">
        <x:v>798</x:v>
      </x:c>
      <x:c r="I283" s="17" t="n">
        <x:v>41</x:v>
      </x:c>
      <x:c r="J283" s="17" t="n">
        <x:v>41</x:v>
      </x:c>
      <x:c r="K283" s="17" t="n">
        <x:v>30</x:v>
      </x:c>
      <x:c r="L283" t="str">
        <x:v>C</x:v>
      </x:c>
      <x:c r="M283" t="str">
        <x:v>GA</x:v>
      </x:c>
      <x:c r="N283" t="str">
        <x:v>ATLANTA</x:v>
      </x:c>
      <x:c r="O283" t="str">
        <x:v>NJ</x:v>
      </x:c>
      <x:c r="P283" t="str">
        <x:v>NEW BRUNSWICK</x:v>
      </x:c>
      <x:c r="Q283" t="str">
        <x:v>已匹配</x:v>
      </x:c>
      <x:c r="R283" t="n">
        <x:v>378</x:v>
      </x:c>
    </x:row>
    <x:row r="284" ht="18">
      <x:c r="A284" s="12" t="s">
        <x:v>799</x:v>
      </x:c>
      <x:c r="B284" s="3">
        <x:v>85.67</x:v>
      </x:c>
      <x:c r="C284" s="5">
        <x:v>88.715000000000003</x:v>
      </x:c>
      <x:c r="D284" s="5">
        <x:f t="shared" si="4"/>
        <x:v>3.0450000000000017</x:v>
      </x:c>
      <x:c r="E284" t="s">
        <x:v>35</x:v>
      </x:c>
      <x:c r="F284" t="s">
        <x:v>10</x:v>
      </x:c>
      <x:c r="G284" t="s">
        <x:v>800</x:v>
      </x:c>
      <x:c r="H284" t="s">
        <x:v>801</x:v>
      </x:c>
      <x:c r="I284" s="17" t="n">
        <x:v>20</x:v>
      </x:c>
      <x:c r="J284" s="17" t="n">
        <x:v>16</x:v>
      </x:c>
      <x:c r="K284" s="17" t="n">
        <x:v>16</x:v>
      </x:c>
      <x:c r="L284" t="str">
        <x:v>I</x:v>
      </x:c>
      <x:c r="M284" t="str">
        <x:v>FL</x:v>
      </x:c>
      <x:c r="N284" t="str">
        <x:v>HOMOSASSA</x:v>
      </x:c>
      <x:c r="O284" t="str">
        <x:v>NJ</x:v>
      </x:c>
      <x:c r="P284" t="str">
        <x:v>NEW BRUNSWICK</x:v>
      </x:c>
      <x:c r="Q284" t="str">
        <x:v>已匹配</x:v>
      </x:c>
      <x:c r="R284" t="n">
        <x:v>292</x:v>
      </x:c>
    </x:row>
    <x:row r="285" ht="18">
      <x:c r="A285" s="12" t="s">
        <x:v>802</x:v>
      </x:c>
      <x:c r="B285" s="3">
        <x:v>87.96</x:v>
      </x:c>
      <x:c r="C285" s="5">
        <x:v>138.97399999999999</x:v>
      </x:c>
      <x:c r="D285" s="5">
        <x:f t="shared" si="4"/>
        <x:v>51.013999999999996</x:v>
      </x:c>
      <x:c r="E285" t="s">
        <x:v>87</x:v>
      </x:c>
      <x:c r="F285" t="s">
        <x:v>10</x:v>
      </x:c>
      <x:c r="G285" t="s">
        <x:v>803</x:v>
      </x:c>
      <x:c r="H285" t="s">
        <x:v>804</x:v>
      </x:c>
      <x:c r="I285" s="17" t="n">
        <x:v>27</x:v>
      </x:c>
      <x:c r="J285" s="17" t="n">
        <x:v>22</x:v>
      </x:c>
      <x:c r="K285" s="17" t="n">
        <x:v>16</x:v>
      </x:c>
      <x:c r="L285" t="str">
        <x:v>I</x:v>
      </x:c>
      <x:c r="M285" t="str">
        <x:v>NY</x:v>
      </x:c>
      <x:c r="N285" t="str">
        <x:v>ITHACA</x:v>
      </x:c>
      <x:c r="O285" t="str">
        <x:v>NJ</x:v>
      </x:c>
      <x:c r="P285" t="str">
        <x:v>NEW BRUNSWICK</x:v>
      </x:c>
      <x:c r="Q285" t="str">
        <x:v>已匹配</x:v>
      </x:c>
      <x:c r="R285" t="n">
        <x:v>247</x:v>
      </x:c>
    </x:row>
    <x:row r="286" ht="18">
      <x:c r="A286" s="12" t="s">
        <x:v>805</x:v>
      </x:c>
      <x:c r="B286" s="3">
        <x:v>36.51</x:v>
      </x:c>
      <x:c r="C286" s="5">
        <x:v>39.039000000000001</x:v>
      </x:c>
      <x:c r="D286" s="5">
        <x:f t="shared" si="4"/>
        <x:v>2.5290000000000035</x:v>
      </x:c>
      <x:c r="E286" t="s">
        <x:v>21</x:v>
      </x:c>
      <x:c r="F286" t="s">
        <x:v>10</x:v>
      </x:c>
      <x:c r="G286" t="s">
        <x:v>806</x:v>
      </x:c>
      <x:c r="H286" t="s">
        <x:v>807</x:v>
      </x:c>
      <x:c r="I286" s="17" t="n">
        <x:v>17</x:v>
      </x:c>
      <x:c r="J286" s="17" t="n">
        <x:v>16</x:v>
      </x:c>
      <x:c r="K286" s="17" t="n">
        <x:v>13</x:v>
      </x:c>
      <x:c r="L286" t="str">
        <x:v>I</x:v>
      </x:c>
      <x:c r="M286" t="str">
        <x:v>MO</x:v>
      </x:c>
      <x:c r="N286" t="str">
        <x:v>LEWISTOWN</x:v>
      </x:c>
      <x:c r="O286" t="str">
        <x:v>NJ</x:v>
      </x:c>
      <x:c r="P286" t="str">
        <x:v>NEW BRUNSWICK</x:v>
      </x:c>
      <x:c r="Q286" t="str">
        <x:v>已匹配</x:v>
      </x:c>
      <x:c r="R286" t="n">
        <x:v>289</x:v>
      </x:c>
    </x:row>
    <x:row r="287" ht="18">
      <x:c r="A287" s="12" t="s">
        <x:v>808</x:v>
      </x:c>
      <x:c r="B287" s="3">
        <x:v>21.11</x:v>
      </x:c>
      <x:c r="C287" s="5">
        <x:v>23.562000000000001</x:v>
      </x:c>
      <x:c r="D287" s="5">
        <x:f t="shared" si="4"/>
        <x:v>2.4520000000000017</x:v>
      </x:c>
      <x:c r="E287" t="s">
        <x:v>313</x:v>
      </x:c>
      <x:c r="F287" t="s">
        <x:v>10</x:v>
      </x:c>
      <x:c r="G287" t="s">
        <x:v>809</x:v>
      </x:c>
      <x:c r="H287" t="s">
        <x:v>810</x:v>
      </x:c>
      <x:c r="I287" s="17" t="n">
        <x:v>13</x:v>
      </x:c>
      <x:c r="J287" s="17" t="n">
        <x:v>11</x:v>
      </x:c>
      <x:c r="K287" s="17" t="n">
        <x:v>8</x:v>
      </x:c>
      <x:c r="L287" t="str">
        <x:v>I</x:v>
      </x:c>
      <x:c r="M287" t="str">
        <x:v>TX</x:v>
      </x:c>
      <x:c r="N287" t="str">
        <x:v>GEORGETOWN</x:v>
      </x:c>
      <x:c r="O287" t="str">
        <x:v>NJ</x:v>
      </x:c>
      <x:c r="P287" t="str">
        <x:v>NEW BRUNSWICK</x:v>
      </x:c>
      <x:c r="Q287" t="str">
        <x:v>已匹配</x:v>
      </x:c>
      <x:c r="R287" t="n">
        <x:v>480</x:v>
      </x:c>
    </x:row>
    <x:row r="288" ht="18">
      <x:c r="A288" s="12" t="s">
        <x:v>811</x:v>
      </x:c>
      <x:c r="B288" s="3">
        <x:v>16.170000000000002</x:v>
      </x:c>
      <x:c r="C288" s="5">
        <x:v>24.353999999999999</x:v>
      </x:c>
      <x:c r="D288" s="5">
        <x:f t="shared" si="4"/>
        <x:v>8.1839999999999975</x:v>
      </x:c>
      <x:c r="E288" t="s">
        <x:v>812</x:v>
      </x:c>
      <x:c r="F288" t="s">
        <x:v>10</x:v>
      </x:c>
      <x:c r="G288" t="s">
        <x:v>813</x:v>
      </x:c>
      <x:c r="H288" t="s">
        <x:v>814</x:v>
      </x:c>
      <x:c r="I288" s="17" t="n">
        <x:v>24</x:v>
      </x:c>
      <x:c r="J288" s="17" t="n">
        <x:v>14</x:v>
      </x:c>
      <x:c r="K288" s="17" t="n">
        <x:v>14</x:v>
      </x:c>
      <x:c r="L288" t="str">
        <x:v>I</x:v>
      </x:c>
      <x:c r="M288" t="str">
        <x:v>MI</x:v>
      </x:c>
      <x:c r="N288" t="str">
        <x:v>CLAWSON</x:v>
      </x:c>
      <x:c r="O288" t="str">
        <x:v>NJ</x:v>
      </x:c>
      <x:c r="P288" t="str">
        <x:v>NEW BRUNSWICK</x:v>
      </x:c>
      <x:c r="Q288" t="str">
        <x:v>已匹配</x:v>
      </x:c>
      <x:c r="R288" t="n">
        <x:v>463</x:v>
      </x:c>
    </x:row>
    <x:row r="289" ht="18">
      <x:c r="A289" s="12" t="s">
        <x:v>815</x:v>
      </x:c>
      <x:c r="B289" s="3">
        <x:v>21.72</x:v>
      </x:c>
      <x:c r="C289" s="5">
        <x:v>25.388000000000002</x:v>
      </x:c>
      <x:c r="D289" s="5">
        <x:f t="shared" si="4"/>
        <x:v>3.6680000000000028</x:v>
      </x:c>
      <x:c r="E289" t="s">
        <x:v>25</x:v>
      </x:c>
      <x:c r="F289" t="s">
        <x:v>10</x:v>
      </x:c>
      <x:c r="G289" t="s">
        <x:v>816</x:v>
      </x:c>
      <x:c r="H289" t="s">
        <x:v>817</x:v>
      </x:c>
      <x:c r="I289" s="17"/>
      <x:c r="J289" s="17"/>
      <x:c r="K289" s="17"/>
      <x:c r="L289"/>
      <x:c r="M289"/>
      <x:c r="N289"/>
      <x:c r="O289"/>
      <x:c r="P289"/>
      <x:c r="Q289" t="str">
        <x:v>未匹配</x:v>
      </x:c>
      <x:c r="R289"/>
    </x:row>
    <x:row r="290" ht="18">
      <x:c r="A290" s="12" t="s">
        <x:v>818</x:v>
      </x:c>
      <x:c r="B290" s="3">
        <x:v>30.19</x:v>
      </x:c>
      <x:c r="C290" s="5">
        <x:v>33.670999999999999</x:v>
      </x:c>
      <x:c r="D290" s="5">
        <x:f t="shared" si="4"/>
        <x:v>3.4809999999999981</x:v>
      </x:c>
      <x:c r="E290" t="s">
        <x:v>21</x:v>
      </x:c>
      <x:c r="F290" t="s">
        <x:v>10</x:v>
      </x:c>
      <x:c r="G290" t="s">
        <x:v>819</x:v>
      </x:c>
      <x:c r="H290" t="s">
        <x:v>820</x:v>
      </x:c>
      <x:c r="I290" s="17" t="n">
        <x:v>19</x:v>
      </x:c>
      <x:c r="J290" s="17" t="n">
        <x:v>16</x:v>
      </x:c>
      <x:c r="K290" s="17" t="n">
        <x:v>13</x:v>
      </x:c>
      <x:c r="L290" t="str">
        <x:v>I</x:v>
      </x:c>
      <x:c r="M290" t="str">
        <x:v>NC</x:v>
      </x:c>
      <x:c r="N290" t="str">
        <x:v>ASHEVILLE</x:v>
      </x:c>
      <x:c r="O290" t="str">
        <x:v>NJ</x:v>
      </x:c>
      <x:c r="P290" t="str">
        <x:v>NEW BRUNSWICK</x:v>
      </x:c>
      <x:c r="Q290" t="str">
        <x:v>已匹配</x:v>
      </x:c>
      <x:c r="R290" t="n">
        <x:v>244</x:v>
      </x:c>
    </x:row>
    <x:row r="291" ht="18">
      <x:c r="A291" s="12" t="s">
        <x:v>821</x:v>
      </x:c>
      <x:c r="B291" s="3">
        <x:v>16.170000000000002</x:v>
      </x:c>
      <x:c r="C291" s="5">
        <x:v>28.204000000000001</x:v>
      </x:c>
      <x:c r="D291" s="5">
        <x:f t="shared" si="4"/>
        <x:v>12.033999999999999</x:v>
      </x:c>
      <x:c r="E291" t="s">
        <x:v>173</x:v>
      </x:c>
      <x:c r="F291" t="s">
        <x:v>10</x:v>
      </x:c>
      <x:c r="G291" t="s">
        <x:v>822</x:v>
      </x:c>
      <x:c r="H291" t="s">
        <x:v>823</x:v>
      </x:c>
      <x:c r="I291" s="17" t="n">
        <x:v>13</x:v>
      </x:c>
      <x:c r="J291" s="17" t="n">
        <x:v>9</x:v>
      </x:c>
      <x:c r="K291" s="17" t="n">
        <x:v>9</x:v>
      </x:c>
      <x:c r="L291" t="str">
        <x:v>I</x:v>
      </x:c>
      <x:c r="M291" t="str">
        <x:v>OH</x:v>
      </x:c>
      <x:c r="N291" t="str">
        <x:v>TOLEDO</x:v>
      </x:c>
      <x:c r="O291" t="str">
        <x:v>NJ</x:v>
      </x:c>
      <x:c r="P291" t="str">
        <x:v>NEW BRUNSWICK</x:v>
      </x:c>
      <x:c r="Q291" t="str">
        <x:v>已匹配</x:v>
      </x:c>
      <x:c r="R291" t="n">
        <x:v>377</x:v>
      </x:c>
    </x:row>
    <x:row r="292" ht="18">
      <x:c r="A292" s="12" t="s">
        <x:v>824</x:v>
      </x:c>
      <x:c r="B292" s="3">
        <x:v>74.739999999999995</x:v>
      </x:c>
      <x:c r="C292" s="5">
        <x:v>80.861000000000004</x:v>
      </x:c>
      <x:c r="D292" s="5">
        <x:f t="shared" si="4"/>
        <x:v>6.1210000000000093</x:v>
      </x:c>
      <x:c r="E292" t="s">
        <x:v>674</x:v>
      </x:c>
      <x:c r="F292" t="s">
        <x:v>10</x:v>
      </x:c>
      <x:c r="G292" t="s">
        <x:v>825</x:v>
      </x:c>
      <x:c r="H292" t="s">
        <x:v>826</x:v>
      </x:c>
      <x:c r="I292" s="17" t="n">
        <x:v>27</x:v>
      </x:c>
      <x:c r="J292" s="17" t="n">
        <x:v>20</x:v>
      </x:c>
      <x:c r="K292" s="17" t="n">
        <x:v>15</x:v>
      </x:c>
      <x:c r="L292" t="str">
        <x:v>I</x:v>
      </x:c>
      <x:c r="M292" t="str">
        <x:v>OH</x:v>
      </x:c>
      <x:c r="N292" t="str">
        <x:v>TOLEDO</x:v>
      </x:c>
      <x:c r="O292" t="str">
        <x:v>NJ</x:v>
      </x:c>
      <x:c r="P292" t="str">
        <x:v>NEW BRUNSWICK</x:v>
      </x:c>
      <x:c r="Q292" t="str">
        <x:v>已匹配</x:v>
      </x:c>
      <x:c r="R292" t="n">
        <x:v>325</x:v>
      </x:c>
    </x:row>
    <x:row r="293" ht="18">
      <x:c r="A293" s="12" t="s">
        <x:v>827</x:v>
      </x:c>
      <x:c r="B293" s="3">
        <x:v>88.81</x:v>
      </x:c>
      <x:c r="C293" s="5">
        <x:v>101.816</x:v>
      </x:c>
      <x:c r="D293" s="5">
        <x:f t="shared" si="4"/>
        <x:v>13.006</x:v>
      </x:c>
      <x:c r="E293" t="s">
        <x:v>309</x:v>
      </x:c>
      <x:c r="F293" t="s">
        <x:v>10</x:v>
      </x:c>
      <x:c r="G293" t="s">
        <x:v>828</x:v>
      </x:c>
      <x:c r="I293" s="17" t="n">
        <x:v>27</x:v>
      </x:c>
      <x:c r="J293" s="17" t="n">
        <x:v>20</x:v>
      </x:c>
      <x:c r="K293" s="17" t="n">
        <x:v>20</x:v>
      </x:c>
      <x:c r="L293" t="str">
        <x:v>I</x:v>
      </x:c>
      <x:c r="M293" t="str">
        <x:v>OH</x:v>
      </x:c>
      <x:c r="N293" t="str">
        <x:v>TOLEDO</x:v>
      </x:c>
      <x:c r="O293" t="str">
        <x:v>NJ</x:v>
      </x:c>
      <x:c r="P293" t="str">
        <x:v>NEW BRUNSWICK</x:v>
      </x:c>
      <x:c r="Q293" t="str">
        <x:v>已匹配</x:v>
      </x:c>
      <x:c r="R293" t="n">
        <x:v>324</x:v>
      </x:c>
    </x:row>
    <x:row r="294" ht="18">
      <x:c r="A294" s="12" t="s">
        <x:v>829</x:v>
      </x:c>
      <x:c r="B294" s="3">
        <x:v>39.090000000000003</x:v>
      </x:c>
      <x:c r="C294" s="5">
        <x:v>44.517000000000003</x:v>
      </x:c>
      <x:c r="D294" s="5">
        <x:f t="shared" si="4"/>
        <x:v>5.4269999999999996</x:v>
      </x:c>
      <x:c r="E294" t="s">
        <x:v>25</x:v>
      </x:c>
      <x:c r="F294" t="s">
        <x:v>10</x:v>
      </x:c>
      <x:c r="G294" t="s">
        <x:v>830</x:v>
      </x:c>
      <x:c r="H294" t="s">
        <x:v>831</x:v>
      </x:c>
      <x:c r="I294" s="17" t="n">
        <x:v>16</x:v>
      </x:c>
      <x:c r="J294" s="17" t="n">
        <x:v>16</x:v>
      </x:c>
      <x:c r="K294" s="17" t="n">
        <x:v>12</x:v>
      </x:c>
      <x:c r="L294" t="str">
        <x:v>I</x:v>
      </x:c>
      <x:c r="M294" t="str">
        <x:v>SD</x:v>
      </x:c>
      <x:c r="N294" t="str">
        <x:v>SPEARFISH</x:v>
      </x:c>
      <x:c r="O294" t="str">
        <x:v>NJ</x:v>
      </x:c>
      <x:c r="P294" t="str">
        <x:v>NEW BRUNSWICK</x:v>
      </x:c>
      <x:c r="Q294" t="str">
        <x:v>已匹配</x:v>
      </x:c>
      <x:c r="R294" t="n">
        <x:v>255</x:v>
      </x:c>
    </x:row>
    <x:row r="295" ht="18">
      <x:c r="A295" s="12" t="s">
        <x:v>832</x:v>
      </x:c>
      <x:c r="B295" s="3">
        <x:v>21.77</x:v>
      </x:c>
      <x:c r="C295" s="5">
        <x:v>23.782</x:v>
      </x:c>
      <x:c r="D295" s="5">
        <x:f t="shared" si="4"/>
        <x:v>2.0120000000000005</x:v>
      </x:c>
      <x:c r="E295" t="s">
        <x:v>684</x:v>
      </x:c>
      <x:c r="F295" t="s">
        <x:v>10</x:v>
      </x:c>
      <x:c r="G295" t="s">
        <x:v>833</x:v>
      </x:c>
      <x:c r="H295" t="s">
        <x:v>834</x:v>
      </x:c>
      <x:c r="I295" s="17" t="n">
        <x:v>19</x:v>
      </x:c>
      <x:c r="J295" s="17" t="n">
        <x:v>17</x:v>
      </x:c>
      <x:c r="K295" s="17" t="n">
        <x:v>13</x:v>
      </x:c>
      <x:c r="L295" t="str">
        <x:v>I</x:v>
      </x:c>
      <x:c r="M295" t="str">
        <x:v>PA</x:v>
      </x:c>
      <x:c r="N295" t="str">
        <x:v>LANDISVILLE</x:v>
      </x:c>
      <x:c r="O295" t="str">
        <x:v>NJ</x:v>
      </x:c>
      <x:c r="P295" t="str">
        <x:v>NEW BRUNSWICK</x:v>
      </x:c>
      <x:c r="Q295" t="str">
        <x:v>已匹配</x:v>
      </x:c>
      <x:c r="R295" t="n">
        <x:v>242</x:v>
      </x:c>
    </x:row>
    <x:row r="296" ht="18">
      <x:c r="A296" s="12" t="s">
        <x:v>835</x:v>
      </x:c>
      <x:c r="B296" s="3">
        <x:v>30.19</x:v>
      </x:c>
      <x:c r="C296" s="5">
        <x:v>39.116</x:v>
      </x:c>
      <x:c r="D296" s="5">
        <x:f t="shared" si="4"/>
        <x:v>8.9259999999999984</x:v>
      </x:c>
      <x:c r="E296" t="s">
        <x:v>21</x:v>
      </x:c>
      <x:c r="F296" t="s">
        <x:v>10</x:v>
      </x:c>
      <x:c r="G296" t="s">
        <x:v>836</x:v>
      </x:c>
      <x:c r="H296" t="s">
        <x:v>837</x:v>
      </x:c>
      <x:c r="I296" s="17" t="n">
        <x:v>17</x:v>
      </x:c>
      <x:c r="J296" s="17" t="n">
        <x:v>16</x:v>
      </x:c>
      <x:c r="K296" s="17" t="n">
        <x:v>16</x:v>
      </x:c>
      <x:c r="L296" t="str">
        <x:v>I</x:v>
      </x:c>
      <x:c r="M296" t="str">
        <x:v>IN</x:v>
      </x:c>
      <x:c r="N296" t="str">
        <x:v>NEW CASTLE</x:v>
      </x:c>
      <x:c r="O296" t="str">
        <x:v>NJ</x:v>
      </x:c>
      <x:c r="P296" t="str">
        <x:v>NEW BRUNSWICK</x:v>
      </x:c>
      <x:c r="Q296" t="str">
        <x:v>已匹配</x:v>
      </x:c>
      <x:c r="R296" t="n">
        <x:v>240</x:v>
      </x:c>
    </x:row>
    <x:row r="297" ht="18">
      <x:c r="A297" s="12" t="s">
        <x:v>838</x:v>
      </x:c>
      <x:c r="B297" s="3">
        <x:v>46.82</x:v>
      </x:c>
      <x:c r="C297" s="5">
        <x:v>49.929000000000002</x:v>
      </x:c>
      <x:c r="D297" s="5">
        <x:f t="shared" si="4"/>
        <x:v>3.1090000000000018</x:v>
      </x:c>
      <x:c r="E297" t="s">
        <x:v>39</x:v>
      </x:c>
      <x:c r="F297" t="s">
        <x:v>10</x:v>
      </x:c>
      <x:c r="G297" t="s">
        <x:v>839</x:v>
      </x:c>
      <x:c r="I297" s="17" t="n">
        <x:v>39</x:v>
      </x:c>
      <x:c r="J297" s="17" t="n">
        <x:v>29</x:v>
      </x:c>
      <x:c r="K297" s="17" t="n">
        <x:v>5</x:v>
      </x:c>
      <x:c r="L297" t="str">
        <x:v>I</x:v>
      </x:c>
      <x:c r="M297" t="str">
        <x:v>NY</x:v>
      </x:c>
      <x:c r="N297" t="str">
        <x:v>BALLSTON SPA</x:v>
      </x:c>
      <x:c r="O297" t="str">
        <x:v>NJ</x:v>
      </x:c>
      <x:c r="P297" t="str">
        <x:v>NEW BRUNSWICK</x:v>
      </x:c>
      <x:c r="Q297" t="str">
        <x:v>已匹配</x:v>
      </x:c>
      <x:c r="R297" t="n">
        <x:v>265</x:v>
      </x:c>
    </x:row>
    <x:row r="298" ht="18">
      <x:c r="A298" s="12" t="s">
        <x:v>840</x:v>
      </x:c>
      <x:c r="B298" s="3">
        <x:v>56.37</x:v>
      </x:c>
      <x:c r="C298" s="5">
        <x:v>58.652000000000001</x:v>
      </x:c>
      <x:c r="D298" s="5">
        <x:f t="shared" si="4"/>
        <x:v>2.2820000000000036</x:v>
      </x:c>
      <x:c r="E298" t="s">
        <x:v>9</x:v>
      </x:c>
      <x:c r="F298" t="s">
        <x:v>10</x:v>
      </x:c>
      <x:c r="G298" t="s">
        <x:v>841</x:v>
      </x:c>
      <x:c r="H298" t="s">
        <x:v>842</x:v>
      </x:c>
      <x:c r="I298" s="17" t="n">
        <x:v>19</x:v>
      </x:c>
      <x:c r="J298" s="17" t="n">
        <x:v>19</x:v>
      </x:c>
      <x:c r="K298" s="17" t="n">
        <x:v>15</x:v>
      </x:c>
      <x:c r="L298" t="str">
        <x:v>I</x:v>
      </x:c>
      <x:c r="M298" t="str">
        <x:v>MD</x:v>
      </x:c>
      <x:c r="N298" t="str">
        <x:v>ROCKVILLE</x:v>
      </x:c>
      <x:c r="O298" t="str">
        <x:v>NJ</x:v>
      </x:c>
      <x:c r="P298" t="str">
        <x:v>NEW BRUNSWICK</x:v>
      </x:c>
      <x:c r="Q298" t="str">
        <x:v>已匹配</x:v>
      </x:c>
      <x:c r="R298" t="n">
        <x:v>239</x:v>
      </x:c>
    </x:row>
    <x:row r="299" ht="18">
      <x:c r="A299" s="12" t="s">
        <x:v>843</x:v>
      </x:c>
      <x:c r="B299" s="3">
        <x:v>23.84</x:v>
      </x:c>
      <x:c r="C299" s="5">
        <x:v>118.074</x:v>
      </x:c>
      <x:c r="D299" s="5">
        <x:f t="shared" si="4"/>
        <x:v>94.233999999999995</x:v>
      </x:c>
      <x:c r="E299" t="s">
        <x:v>317</x:v>
      </x:c>
      <x:c r="F299" t="s">
        <x:v>10</x:v>
      </x:c>
      <x:c r="G299" t="s">
        <x:v>844</x:v>
      </x:c>
      <x:c r="H299" t="s">
        <x:v>845</x:v>
      </x:c>
      <x:c r="I299" s="17" t="n">
        <x:v>30</x:v>
      </x:c>
      <x:c r="J299" s="17" t="n">
        <x:v>19</x:v>
      </x:c>
      <x:c r="K299" s="17" t="n">
        <x:v>8</x:v>
      </x:c>
      <x:c r="L299" t="str">
        <x:v>I</x:v>
      </x:c>
      <x:c r="M299" t="str">
        <x:v>PA</x:v>
      </x:c>
      <x:c r="N299" t="str">
        <x:v>COOPERSBURG</x:v>
      </x:c>
      <x:c r="O299" t="str">
        <x:v>NJ</x:v>
      </x:c>
      <x:c r="P299" t="str">
        <x:v>NEW BRUNSWICK</x:v>
      </x:c>
      <x:c r="Q299" t="str">
        <x:v>已匹配</x:v>
      </x:c>
      <x:c r="R299" t="n">
        <x:v>210</x:v>
      </x:c>
    </x:row>
    <x:row r="300" ht="18">
      <x:c r="A300" s="12" t="s">
        <x:v>846</x:v>
      </x:c>
      <x:c r="B300" s="3">
        <x:v>26.25</x:v>
      </x:c>
      <x:c r="C300" s="5">
        <x:v>30.228000000000002</x:v>
      </x:c>
      <x:c r="D300" s="5">
        <x:f t="shared" si="4"/>
        <x:v>3.9780000000000015</x:v>
      </x:c>
      <x:c r="E300" t="s">
        <x:v>25</x:v>
      </x:c>
      <x:c r="F300" t="s">
        <x:v>10</x:v>
      </x:c>
      <x:c r="G300" t="s">
        <x:v>847</x:v>
      </x:c>
      <x:c r="H300" t="s">
        <x:v>848</x:v>
      </x:c>
      <x:c r="I300" s="17" t="n">
        <x:v>16</x:v>
      </x:c>
      <x:c r="J300" s="17" t="n">
        <x:v>16</x:v>
      </x:c>
      <x:c r="K300" s="17" t="n">
        <x:v>12</x:v>
      </x:c>
      <x:c r="L300" t="str">
        <x:v>I</x:v>
      </x:c>
      <x:c r="M300" t="str">
        <x:v>FL</x:v>
      </x:c>
      <x:c r="N300" t="str">
        <x:v>DELAND</x:v>
      </x:c>
      <x:c r="O300" t="str">
        <x:v>NJ</x:v>
      </x:c>
      <x:c r="P300" t="str">
        <x:v>NEW BRUNSWICK</x:v>
      </x:c>
      <x:c r="Q300" t="str">
        <x:v>已匹配</x:v>
      </x:c>
      <x:c r="R300" t="n">
        <x:v>321</x:v>
      </x:c>
    </x:row>
    <x:row r="301" ht="18">
      <x:c r="A301" s="12" t="s">
        <x:v>849</x:v>
      </x:c>
      <x:c r="B301" s="3">
        <x:v>26.25</x:v>
      </x:c>
      <x:c r="C301" s="5">
        <x:v>29.347999999999999</x:v>
      </x:c>
      <x:c r="D301" s="5">
        <x:f t="shared" si="4"/>
        <x:v>3.097999999999999</x:v>
      </x:c>
      <x:c r="E301" t="s">
        <x:v>25</x:v>
      </x:c>
      <x:c r="F301" t="s">
        <x:v>10</x:v>
      </x:c>
      <x:c r="G301" t="s">
        <x:v>850</x:v>
      </x:c>
      <x:c r="H301" t="s">
        <x:v>851</x:v>
      </x:c>
      <x:c r="I301" s="17" t="n">
        <x:v>15</x:v>
      </x:c>
      <x:c r="J301" s="17" t="n">
        <x:v>13</x:v>
      </x:c>
      <x:c r="K301" s="17" t="n">
        <x:v>11</x:v>
      </x:c>
      <x:c r="L301" t="str">
        <x:v>I</x:v>
      </x:c>
      <x:c r="M301" t="str">
        <x:v>AL</x:v>
      </x:c>
      <x:c r="N301" t="str">
        <x:v>BIRMINGHAM</x:v>
      </x:c>
      <x:c r="O301" t="str">
        <x:v>NJ</x:v>
      </x:c>
      <x:c r="P301" t="str">
        <x:v>NEW BRUNSWICK</x:v>
      </x:c>
      <x:c r="Q301" t="str">
        <x:v>已匹配</x:v>
      </x:c>
      <x:c r="R301" t="n">
        <x:v>235</x:v>
      </x:c>
    </x:row>
    <x:row r="302" ht="18">
      <x:c r="A302" s="12" t="s">
        <x:v>852</x:v>
      </x:c>
      <x:c r="B302" s="3">
        <x:v>21.72</x:v>
      </x:c>
      <x:c r="C302" s="5">
        <x:v>25.277999999999999</x:v>
      </x:c>
      <x:c r="D302" s="5">
        <x:f t="shared" si="4"/>
        <x:v>3.5579999999999998</x:v>
      </x:c>
      <x:c r="E302" t="s">
        <x:v>25</x:v>
      </x:c>
      <x:c r="F302" t="s">
        <x:v>10</x:v>
      </x:c>
      <x:c r="G302" t="s">
        <x:v>853</x:v>
      </x:c>
      <x:c r="H302" t="s">
        <x:v>854</x:v>
      </x:c>
      <x:c r="I302" s="17" t="n">
        <x:v>16</x:v>
      </x:c>
      <x:c r="J302" s="17" t="n">
        <x:v>16</x:v>
      </x:c>
      <x:c r="K302" s="17" t="n">
        <x:v>12</x:v>
      </x:c>
      <x:c r="L302" t="str">
        <x:v>I</x:v>
      </x:c>
      <x:c r="M302" t="str">
        <x:v>OH</x:v>
      </x:c>
      <x:c r="N302" t="str">
        <x:v>STRONGSVILLE</x:v>
      </x:c>
      <x:c r="O302" t="str">
        <x:v>NJ</x:v>
      </x:c>
      <x:c r="P302" t="str">
        <x:v>NEW BRUNSWICK</x:v>
      </x:c>
      <x:c r="Q302" t="str">
        <x:v>已匹配</x:v>
      </x:c>
      <x:c r="R302" t="n">
        <x:v>234</x:v>
      </x:c>
    </x:row>
    <x:row r="303" ht="18">
      <x:c r="A303" s="12" t="s">
        <x:v>855</x:v>
      </x:c>
      <x:c r="B303" s="3">
        <x:v>41.86</x:v>
      </x:c>
      <x:c r="C303" s="5">
        <x:v>83.71</x:v>
      </x:c>
      <x:c r="D303" s="5">
        <x:f t="shared" si="4"/>
        <x:v>41.849999999999994</x:v>
      </x:c>
      <x:c r="E303" t="s">
        <x:v>143</x:v>
      </x:c>
      <x:c r="F303" t="s">
        <x:v>10</x:v>
      </x:c>
      <x:c r="G303" t="s">
        <x:v>856</x:v>
      </x:c>
      <x:c r="H303" t="s">
        <x:v>857</x:v>
      </x:c>
      <x:c r="I303" s="17" t="n">
        <x:v>30</x:v>
      </x:c>
      <x:c r="J303" s="17" t="n">
        <x:v>18</x:v>
      </x:c>
      <x:c r="K303" s="17" t="n">
        <x:v>8</x:v>
      </x:c>
      <x:c r="L303" t="str">
        <x:v>I</x:v>
      </x:c>
      <x:c r="M303" t="str">
        <x:v>FL</x:v>
      </x:c>
      <x:c r="N303" t="str">
        <x:v>CLERMONT</x:v>
      </x:c>
      <x:c r="O303" t="str">
        <x:v>NJ</x:v>
      </x:c>
      <x:c r="P303" t="str">
        <x:v>NEW BRUNSWICK</x:v>
      </x:c>
      <x:c r="Q303" t="str">
        <x:v>已匹配</x:v>
      </x:c>
      <x:c r="R303" t="n">
        <x:v>254</x:v>
      </x:c>
    </x:row>
    <x:row r="304" ht="18">
      <x:c r="A304" s="12" t="s">
        <x:v>858</x:v>
      </x:c>
      <x:c r="B304" s="3">
        <x:v>45.03</x:v>
      </x:c>
      <x:c r="C304" s="5">
        <x:v>49.103999999999999</x:v>
      </x:c>
      <x:c r="D304" s="5">
        <x:f t="shared" si="4"/>
        <x:v>4.0739999999999981</x:v>
      </x:c>
      <x:c r="E304" t="s">
        <x:v>21</x:v>
      </x:c>
      <x:c r="F304" t="s">
        <x:v>10</x:v>
      </x:c>
      <x:c r="G304" t="s">
        <x:v>859</x:v>
      </x:c>
      <x:c r="H304" t="s">
        <x:v>860</x:v>
      </x:c>
      <x:c r="I304" s="17" t="n">
        <x:v>19</x:v>
      </x:c>
      <x:c r="J304" s="17" t="n">
        <x:v>17</x:v>
      </x:c>
      <x:c r="K304" s="17" t="n">
        <x:v>13</x:v>
      </x:c>
      <x:c r="L304" t="str">
        <x:v>I</x:v>
      </x:c>
      <x:c r="M304" t="str">
        <x:v>SD</x:v>
      </x:c>
      <x:c r="N304" t="str">
        <x:v>SIOUX FALLS</x:v>
      </x:c>
      <x:c r="O304" t="str">
        <x:v>NJ</x:v>
      </x:c>
      <x:c r="P304" t="str">
        <x:v>NEW BRUNSWICK</x:v>
      </x:c>
      <x:c r="Q304" t="str">
        <x:v>已匹配</x:v>
      </x:c>
      <x:c r="R304" t="n">
        <x:v>233</x:v>
      </x:c>
    </x:row>
    <x:row r="305" ht="18">
      <x:c r="A305" s="12" t="s">
        <x:v>861</x:v>
      </x:c>
      <x:c r="B305" s="3">
        <x:v>24.44</x:v>
      </x:c>
      <x:c r="C305" s="5">
        <x:v>49.94</x:v>
      </x:c>
      <x:c r="D305" s="5">
        <x:f t="shared" si="4"/>
        <x:v>25.499999999999996</x:v>
      </x:c>
      <x:c r="E305" t="s">
        <x:v>14</x:v>
      </x:c>
      <x:c r="F305" t="s">
        <x:v>10</x:v>
      </x:c>
      <x:c r="G305" t="s">
        <x:v>334</x:v>
      </x:c>
      <x:c r="H305" t="s">
        <x:v>862</x:v>
      </x:c>
      <x:c r="I305" s="17" t="n">
        <x:v>15</x:v>
      </x:c>
      <x:c r="J305" s="17" t="n">
        <x:v>15</x:v>
      </x:c>
      <x:c r="K305" s="17" t="n">
        <x:v>11</x:v>
      </x:c>
      <x:c r="L305" t="str">
        <x:v>I</x:v>
      </x:c>
      <x:c r="M305" t="str">
        <x:v>GA</x:v>
      </x:c>
      <x:c r="N305" t="str">
        <x:v>DALLAS</x:v>
      </x:c>
      <x:c r="O305" t="str">
        <x:v>NJ</x:v>
      </x:c>
      <x:c r="P305" t="str">
        <x:v>NEW BRUNSWICK</x:v>
      </x:c>
      <x:c r="Q305" t="str">
        <x:v>已匹配</x:v>
      </x:c>
      <x:c r="R305" t="n">
        <x:v>431</x:v>
      </x:c>
    </x:row>
    <x:row r="306" ht="18">
      <x:c r="A306" s="13" t="s">
        <x:v>863</x:v>
      </x:c>
      <x:c r="B306" s="2">
        <x:v>31.24</x:v>
      </x:c>
      <x:c r="C306" s="6">
        <x:v>171.512</x:v>
      </x:c>
      <x:c r="D306" s="5">
        <x:f t="shared" si="4"/>
        <x:v>140.27199999999999</x:v>
      </x:c>
      <x:c r="E306" t="s">
        <x:v>21</x:v>
      </x:c>
      <x:c r="F306" t="s">
        <x:v>10</x:v>
      </x:c>
      <x:c r="G306" t="s">
        <x:v>864</x:v>
      </x:c>
      <x:c r="H306" t="s">
        <x:v>865</x:v>
      </x:c>
      <x:c r="I306" s="17"/>
      <x:c r="J306" s="17"/>
      <x:c r="K306" s="17"/>
      <x:c r="L306"/>
      <x:c r="M306"/>
      <x:c r="N306"/>
      <x:c r="O306"/>
      <x:c r="P306"/>
      <x:c r="Q306" t="str">
        <x:v>未匹配</x:v>
      </x:c>
      <x:c r="R306"/>
    </x:row>
    <x:row r="307" ht="18">
      <x:c r="A307" s="13" t="s">
        <x:v>866</x:v>
      </x:c>
      <x:c r="B307" s="3">
        <x:v>11.82</x:v>
      </x:c>
      <x:c r="C307" s="5">
        <x:v>33.92</x:v>
      </x:c>
      <x:c r="D307" s="5">
        <x:f t="shared" si="4"/>
        <x:v>22.1</x:v>
      </x:c>
      <x:c r="E307" t="s">
        <x:v>867</x:v>
      </x:c>
      <x:c r="F307" t="s">
        <x:v>10</x:v>
      </x:c>
      <x:c r="G307" t="s">
        <x:v>868</x:v>
      </x:c>
      <x:c r="H307" t="s">
        <x:v>869</x:v>
      </x:c>
      <x:c r="I307" s="17"/>
      <x:c r="J307" s="17"/>
      <x:c r="K307" s="17"/>
      <x:c r="L307"/>
      <x:c r="M307"/>
      <x:c r="N307"/>
      <x:c r="O307"/>
      <x:c r="P307"/>
      <x:c r="Q307" t="str">
        <x:v>未匹配</x:v>
      </x:c>
      <x:c r="R307"/>
    </x:row>
    <x:row r="308" ht="18">
      <x:c r="A308" s="13"/>
      <x:c r="B308" s="3" t="n">
        <x:f t="shared" ref="B308:D308" si="5">SUM(B2:B307)</x:f>
        <x:v>12777.080000000009</x:v>
      </x:c>
      <x:c r="C308" s="7">
        <x:f t="shared" si="5"/>
        <x:v>17493.560999999983</x:v>
      </x:c>
      <x:c r="D308" s="7">
        <x:f t="shared" si="5"/>
        <x:v>4716.4810000000034</x:v>
      </x:c>
      <x:c r="I308"/>
      <x:c r="J308"/>
      <x:c r="K308"/>
      <x:c r="L308"/>
      <x:c r="M308"/>
      <x:c r="N308"/>
      <x:c r="O308"/>
      <x:c r="P308"/>
      <x:c r="Q308"/>
      <x:c r="R308"/>
    </x:row>
  </x:sheetData>
  <x:conditionalFormatting sqref="A306:A306">
    <x:cfRule type="duplicateValues" dxfId="2" priority="2"/>
  </x:conditionalFormatting>
  <x:conditionalFormatting sqref="A307:A307">
    <x:cfRule type="duplicateValues" dxfId="1" priority="1"/>
  </x:conditionalFormatting>
  <x:conditionalFormatting sqref="A308:A308 A1:D1 A2:A305">
    <x:cfRule type="duplicateValues" dxfId="0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6" customWidth="1"/>
    <x:col min="2" max="2" width="20" customWidth="1"/>
    <x:col min="4" max="4" width="100" customWidth="1"/>
  </x:cols>
  <x:sheetData>
    <x:row r="1">
      <x:c r="A1" s="9" t="s">
        <x:v>870</x:v>
      </x:c>
      <x:c r="B1" s="9" t="s">
        <x:v>871</x:v>
      </x:c>
      <x:c r="D1" t="s">
        <x:v>872</x:v>
      </x:c>
    </x:row>
    <x:row r="2">
      <x:c r="A2" t="s">
        <x:v>9</x:v>
      </x:c>
      <x:c r="B2">
        <x:v>2</x:v>
      </x:c>
      <x:c r="D2" t="s">
        <x:v>873</x:v>
      </x:c>
    </x:row>
    <x:row r="3">
      <x:c r="A3" t="s">
        <x:v>14</x:v>
      </x:c>
      <x:c r="B3">
        <x:v>19</x:v>
      </x:c>
    </x:row>
    <x:row r="4">
      <x:c r="A4" t="s">
        <x:v>21</x:v>
      </x:c>
      <x:c r="B4">
        <x:v>45</x:v>
      </x:c>
      <x:c r="D4" t="s">
        <x:v>874</x:v>
      </x:c>
    </x:row>
    <x:row r="5">
      <x:c r="A5" t="s">
        <x:v>25</x:v>
      </x:c>
      <x:c r="B5">
        <x:v>81</x:v>
      </x:c>
    </x:row>
    <x:row r="6">
      <x:c r="A6" t="s">
        <x:v>35</x:v>
      </x:c>
      <x:c r="B6">
        <x:v>18</x:v>
      </x:c>
    </x:row>
    <x:row r="7">
      <x:c r="A7" t="s">
        <x:v>39</x:v>
      </x:c>
      <x:c r="B7">
        <x:v>3</x:v>
      </x:c>
    </x:row>
    <x:row r="8">
      <x:c r="A8" t="s">
        <x:v>43</x:v>
      </x:c>
      <x:c r="B8">
        <x:v>2</x:v>
      </x:c>
    </x:row>
    <x:row r="9">
      <x:c r="A9" t="s">
        <x:v>47</x:v>
      </x:c>
      <x:c r="B9">
        <x:v>3</x:v>
      </x:c>
    </x:row>
    <x:row r="10">
      <x:c r="A10" t="s">
        <x:v>62</x:v>
      </x:c>
      <x:c r="B10">
        <x:v>3</x:v>
      </x:c>
    </x:row>
    <x:row r="11">
      <x:c r="A11" t="s">
        <x:v>66</x:v>
      </x:c>
      <x:c r="B11">
        <x:v>1</x:v>
      </x:c>
    </x:row>
    <x:row r="12">
      <x:c r="A12" t="s">
        <x:v>73</x:v>
      </x:c>
      <x:c r="B12">
        <x:v>4</x:v>
      </x:c>
    </x:row>
    <x:row r="13">
      <x:c r="A13" t="s">
        <x:v>80</x:v>
      </x:c>
      <x:c r="B13">
        <x:v>1</x:v>
      </x:c>
    </x:row>
    <x:row r="14">
      <x:c r="A14" t="s">
        <x:v>87</x:v>
      </x:c>
      <x:c r="B14">
        <x:v>9</x:v>
      </x:c>
    </x:row>
    <x:row r="15">
      <x:c r="A15" t="s">
        <x:v>108</x:v>
      </x:c>
      <x:c r="B15">
        <x:v>3</x:v>
      </x:c>
    </x:row>
    <x:row r="16">
      <x:c r="A16" t="s">
        <x:v>139</x:v>
      </x:c>
      <x:c r="B16">
        <x:v>3</x:v>
      </x:c>
    </x:row>
    <x:row r="17">
      <x:c r="A17" t="s">
        <x:v>143</x:v>
      </x:c>
      <x:c r="B17">
        <x:v>2</x:v>
      </x:c>
    </x:row>
    <x:row r="18">
      <x:c r="A18" t="s">
        <x:v>147</x:v>
      </x:c>
      <x:c r="B18">
        <x:v>8</x:v>
      </x:c>
    </x:row>
    <x:row r="19">
      <x:c r="A19" t="s">
        <x:v>173</x:v>
      </x:c>
      <x:c r="B19">
        <x:v>2</x:v>
      </x:c>
    </x:row>
    <x:row r="20">
      <x:c r="A20" t="s">
        <x:v>180</x:v>
      </x:c>
      <x:c r="B20">
        <x:v>11</x:v>
      </x:c>
    </x:row>
    <x:row r="21">
      <x:c r="A21" t="s">
        <x:v>200</x:v>
      </x:c>
      <x:c r="B21">
        <x:v>1</x:v>
      </x:c>
    </x:row>
    <x:row r="22">
      <x:c r="A22" t="s">
        <x:v>240</x:v>
      </x:c>
      <x:c r="B22">
        <x:v>2</x:v>
      </x:c>
    </x:row>
    <x:row r="23">
      <x:c r="A23" t="s">
        <x:v>875</x:v>
      </x:c>
      <x:c r="B23">
        <x:v>1</x:v>
      </x:c>
    </x:row>
    <x:row r="24">
      <x:c r="A24" t="s">
        <x:v>309</x:v>
      </x:c>
      <x:c r="B24">
        <x:v>10</x:v>
      </x:c>
    </x:row>
    <x:row r="25">
      <x:c r="A25" t="s">
        <x:v>313</x:v>
      </x:c>
      <x:c r="B25">
        <x:v>2</x:v>
      </x:c>
    </x:row>
    <x:row r="26">
      <x:c r="A26" t="s">
        <x:v>317</x:v>
      </x:c>
      <x:c r="B26">
        <x:v>4</x:v>
      </x:c>
    </x:row>
    <x:row r="27">
      <x:c r="A27" t="s">
        <x:v>327</x:v>
      </x:c>
      <x:c r="B27">
        <x:v>1</x:v>
      </x:c>
    </x:row>
    <x:row r="28">
      <x:c r="A28" t="s">
        <x:v>349</x:v>
      </x:c>
      <x:c r="B28">
        <x:v>2</x:v>
      </x:c>
    </x:row>
    <x:row r="29">
      <x:c r="A29" t="s">
        <x:v>353</x:v>
      </x:c>
      <x:c r="B29">
        <x:v>3</x:v>
      </x:c>
    </x:row>
    <x:row r="30">
      <x:c r="A30" t="s">
        <x:v>417</x:v>
      </x:c>
      <x:c r="B30">
        <x:v>3</x:v>
      </x:c>
    </x:row>
    <x:row r="31">
      <x:c r="A31" t="s">
        <x:v>443</x:v>
      </x:c>
      <x:c r="B31">
        <x:v>1</x:v>
      </x:c>
    </x:row>
    <x:row r="32">
      <x:c r="A32" t="s">
        <x:v>455</x:v>
      </x:c>
      <x:c r="B32">
        <x:v>1</x:v>
      </x:c>
    </x:row>
    <x:row r="33">
      <x:c r="A33" t="s">
        <x:v>493</x:v>
      </x:c>
      <x:c r="B33">
        <x:v>1</x:v>
      </x:c>
    </x:row>
    <x:row r="34">
      <x:c r="A34" t="s">
        <x:v>572</x:v>
      </x:c>
      <x:c r="B34">
        <x:v>1</x:v>
      </x:c>
    </x:row>
    <x:row r="35">
      <x:c r="A35" t="s">
        <x:v>612</x:v>
      </x:c>
      <x:c r="B35">
        <x:v>1</x:v>
      </x:c>
    </x:row>
    <x:row r="36">
      <x:c r="A36" t="s">
        <x:v>674</x:v>
      </x:c>
      <x:c r="B36">
        <x:v>4</x:v>
      </x:c>
    </x:row>
    <x:row r="37">
      <x:c r="A37" t="s">
        <x:v>684</x:v>
      </x:c>
      <x:c r="B37">
        <x:v>2</x:v>
      </x:c>
    </x:row>
    <x:row r="38">
      <x:c r="A38" t="s">
        <x:v>742</x:v>
      </x:c>
      <x:c r="B38">
        <x:v>1</x:v>
      </x:c>
    </x:row>
    <x:row r="39">
      <x:c r="A39" t="s">
        <x:v>773</x:v>
      </x:c>
      <x:c r="B39">
        <x:v>1</x:v>
      </x:c>
    </x:row>
    <x:row r="40">
      <x:c r="A40" t="s">
        <x:v>812</x:v>
      </x:c>
      <x:c r="B40">
        <x:v>1</x:v>
      </x:c>
    </x:row>
    <x:row r="41">
      <x:c r="A41" t="s">
        <x:v>867</x:v>
      </x:c>
      <x:c r="B41">
        <x:v>1</x:v>
      </x:c>
    </x:row>
    <x:row r="42">
      <x:c r="A42" t="s">
        <x:v>876</x:v>
      </x:c>
      <x:c r="B42">
        <x:v>264</x:v>
      </x:c>
    </x:row>
    <x:row r="43">
      <x:c r="A43" t="s">
        <x:v>91</x:v>
      </x:c>
      <x:c r="B43">
        <x:v>42</x:v>
      </x:c>
    </x:row>
    <x:row r="44">
      <x:c r="A44" t="s">
        <x:v>877</x:v>
      </x:c>
      <x:c r="B44">
        <x:v>306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15" hidden="0" customHeight="1">
      <x:c r="A1" s="15" t="str">
        <x:v>项目</x:v>
      </x:c>
      <x:c r="B1" s="16" t="str">
        <x:v>说明</x:v>
      </x:c>
    </x:row>
    <x:row r="2" ht="15" hidden="0" customHeight="1">
      <x:c r="A2" t="str">
        <x:v>匹配依据</x:v>
      </x:c>
      <x:c r="B2" s="18" t="str">
        <x:v>基础表跟踪号与成本表跟踪单号匹配；纯数字长单号取后12位。</x:v>
      </x:c>
    </x:row>
    <x:row r="3" ht="15" hidden="0" customHeight="1">
      <x:c r="A3" t="str">
        <x:v>匹配结果</x:v>
      </x:c>
      <x:c r="B3" s="18" t="str">
        <x:v>306条：251条已匹配，55条未匹配；成本表无重复匹配单号。</x:v>
      </x:c>
    </x:row>
    <x:row r="4" ht="15" hidden="0" customHeight="1">
      <x:c r="A4" t="str">
        <x:v>尺寸口径</x:v>
      </x:c>
      <x:c r="B4" s="18" t="str">
        <x:v>成本表只有包裹长度、宽度、高度一组字段，未说明是申报还是实际；不能据此提供两套尺寸。</x:v>
      </x:c>
    </x:row>
    <x:row r="5" ht="15" hidden="0" customHeight="1">
      <x:c r="A5" t="str">
        <x:v>申报尺寸</x:v>
      </x:c>
      <x:c r="B5" s="18" t="str">
        <x:v>本次两份文件未提供单独的申报长宽高，未推测或填造。</x:v>
      </x:c>
    </x:row>
    <x:row r="6" ht="15" hidden="0" customHeight="1">
      <x:c r="A6" t="str">
        <x:v>尺寸单位</x:v>
      </x:c>
      <x:c r="B6" s="18" t="str">
        <x:v>保留成本表原代码 C / I，便于核对。</x:v>
      </x:c>
    </x:row>
    <x:row r="7" ht="15" hidden="0" customHeight="1">
      <x:c r="A7" t="str">
        <x:v>地址字段</x:v>
      </x:c>
      <x:c r="B7" s="18" t="str">
        <x:v>采用成本表当前寄件人、收件人的州/省和城市字段。</x:v>
      </x:c>
    </x:row>
    <x:row r="8" ht="15" hidden="0" customHeight="1">
      <x:c r="A8" t="str">
        <x:v>来源</x:v>
      </x:c>
      <x:c r="B8" s="18" t="str">
        <x:v>bluetti 打单成本价_中文表头.xlsx，Data页；来源行号含首行表头。</x:v>
      </x:c>
    </x:row>
    <x:row r="9" ht="15" hidden="0" customHeight="1">
      <x:c r="A9" t="str">
        <x:v>基础表</x:v>
      </x:c>
      <x:c r="B9" s="18" t="str">
        <x:v>采用本次读取的用户手动修改版本，保留原有8列数据、公式及原机型汇总。</x:v>
      </x:c>
    </x:row>
    <x:row r="10" ht="15" hidden="0" customHeight="1">
      <x:c r="B10" s="18"/>
    </x:row>
  </x:sheetData>
  <x:pageMargins left="0.7" right="0.7" top="0.75" bottom="0.75" header="0.3" footer="0.3"/>
</x:worksheet>
</file>