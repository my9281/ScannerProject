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baabed4b02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19943161c06495f"/>
    <x:sheet xmlns:r="http://schemas.openxmlformats.org/officeDocument/2006/relationships" name="匹配机型汇总" sheetId="2" r:id="Ra414f68361b946ef"/>
    <x:sheet xmlns:r="http://schemas.openxmlformats.org/officeDocument/2006/relationships" name="尺寸重量匹配说明" sheetId="3" r:id="Rff79e855dcfe407d"/>
    <x:sheet xmlns:r="http://schemas.openxmlformats.org/officeDocument/2006/relationships" name="前10差额分析" sheetId="4" r:id="R0408f6fc11ad49b8"/>
    <x:sheet xmlns:r="http://schemas.openxmlformats.org/officeDocument/2006/relationships" name="分析结论与口径" sheetId="5" r:id="Re385d043b96b4c34"/>
  </x:sheets>
</x:workbook>
</file>

<file path=xl/sharedStrings.xml><?xml version="1.0" encoding="utf-8"?>
<x:sst xmlns:x="http://schemas.openxmlformats.org/spreadsheetml/2006/main">
  <x:si>
    <x:t xml:space="preserve">机型</x:t>
  </x:si>
  <x:si>
    <x:t xml:space="preserve">基础表记录数</x:t>
  </x:si>
  <x:si>
    <x:t xml:space="preserve">匹配依据：基础表跟踪号 ↔ 收货记录物流单号；FedEx纯数字长单号取后12位。</x:t>
  </x:si>
  <x:si>
    <x:t xml:space="preserve">EL200V2</x:t>
  </x:si>
  <x:si>
    <x:t xml:space="preserve">同单多条记录保留全部不同机型；未匹配记录不推测机型。</x:t>
  </x:si>
  <x:si>
    <x:t xml:space="preserve">AC70</x:t>
  </x:si>
  <x:si>
    <x:t xml:space="preserve">AC180</x:t>
  </x:si>
  <x:si>
    <x:t xml:space="preserve">来源：美国Logistar仓收件登记表-更新版9.02.csv（行号含前两行表头）</x:t>
  </x:si>
  <x:si>
    <x:t xml:space="preserve">EL100V2</x:t>
  </x:si>
  <x:si>
    <x:t xml:space="preserve">EL300</x:t>
  </x:si>
  <x:si>
    <x:t xml:space="preserve">PV350</x:t>
  </x:si>
  <x:si>
    <x:t xml:space="preserve">EL100</x:t>
  </x:si>
  <x:si>
    <x:t xml:space="preserve">EL30V2</x:t>
  </x:si>
  <x:si>
    <x:t xml:space="preserve">RV5</x:t>
  </x:si>
  <x:si>
    <x:t xml:space="preserve">AC200M</x:t>
  </x:si>
  <x:si>
    <x:t xml:space="preserve">AC50B</x:t>
  </x:si>
  <x:si>
    <x:t xml:space="preserve">AB3A</x:t>
  </x:si>
  <x:si>
    <x:t xml:space="preserve">EL400</x:t>
  </x:si>
  <x:si>
    <x:t xml:space="preserve">EL200</x:t>
  </x:si>
  <x:si>
    <x:t xml:space="preserve">BC200</x:t>
  </x:si>
  <x:si>
    <x:t xml:space="preserve">FridgePower</x:t>
  </x:si>
  <x:si>
    <x:t xml:space="preserve">AC300</x:t>
  </x:si>
  <x:si>
    <x:t xml:space="preserve">CHANGER2</x:t>
  </x:si>
  <x:si>
    <x:t xml:space="preserve">AC200L</x:t>
  </x:si>
  <x:si>
    <x:t xml:space="preserve">SOLARX 4K</x:t>
  </x:si>
  <x:si>
    <x:t xml:space="preserve">B300</x:t>
  </x:si>
  <x:si>
    <x:t xml:space="preserve">机型为空</x:t>
  </x:si>
  <x:si>
    <x:t xml:space="preserve">AP300</x:t>
  </x:si>
  <x:si>
    <x:t xml:space="preserve">AC2A</x:t>
  </x:si>
  <x:si>
    <x:t xml:space="preserve">FRPOWER</x:t>
  </x:si>
  <x:si>
    <x:t xml:space="preserve">B300K2</x:t>
  </x:si>
  <x:si>
    <x:t xml:space="preserve">B300S</x:t>
  </x:si>
  <x:si>
    <x:t xml:space="preserve">Elite 200 V2</x:t>
  </x:si>
  <x:si>
    <x:t xml:space="preserve">FP2</x:t>
  </x:si>
  <x:si>
    <x:t xml:space="preserve">SolarX 4K</x:t>
  </x:si>
  <x:si>
    <x:t xml:space="preserve">EL100V</x:t>
  </x:si>
  <x:si>
    <x:t xml:space="preserve">B4810</x:t>
  </x:si>
  <x:si>
    <x:t xml:space="preserve">EL00V2</x:t>
  </x:si>
  <x:si>
    <x:t xml:space="preserve">EL30V</x:t>
  </x:si>
  <x:si>
    <x:t xml:space="preserve">B300K</x:t>
  </x:si>
  <x:si>
    <x:t xml:space="preserve">AC180P</x:t>
  </x:si>
  <x:si>
    <x:t xml:space="preserve">B500K</x:t>
  </x:si>
  <x:si>
    <x:t xml:space="preserve">AC500</x:t>
  </x:si>
  <x:si>
    <x:t xml:space="preserve">背包</x:t>
  </x:si>
  <x:si>
    <x:t xml:space="preserve">CHARGER2</x:t>
  </x:si>
  <x:si>
    <x:t xml:space="preserve">已匹配合计</x:t>
  </x:si>
  <x:si>
    <x:t xml:space="preserve">未匹配</x:t>
  </x:si>
  <x:si>
    <x:t xml:space="preserve">基础表记录合计</x:t>
  </x:si>
  <x:si>
    <x:t xml:space="preserve">项目</x:t>
  </x:si>
  <x:si>
    <x:t xml:space="preserve">说明</x:t>
  </x:si>
  <x:si>
    <x:t xml:space="preserve">匹配依据</x:t>
  </x:si>
  <x:si>
    <x:t xml:space="preserve">匹配结果</x:t>
  </x:si>
  <x:si>
    <x:t xml:space="preserve">尺寸口径</x:t>
  </x:si>
  <x:si>
    <x:t xml:space="preserve">申报尺寸</x:t>
  </x:si>
  <x:si>
    <x:t xml:space="preserve">本次两份文件未提供单独的申报长宽高，未推测或填造。</x:t>
  </x:si>
  <x:si>
    <x:t xml:space="preserve">尺寸单位</x:t>
  </x:si>
  <x:si>
    <x:t xml:space="preserve">地址字段</x:t>
  </x:si>
  <x:si>
    <x:t xml:space="preserve">来源</x:t>
  </x:si>
  <x:si>
    <x:t xml:space="preserve">bluetti 打单成本价_中文表头.xlsx，Data页；来源行号含首行表头。</x:t>
  </x:si>
  <x:si>
    <x:t xml:space="preserve">基础表</x:t>
  </x:si>
  <x:si>
    <x:t xml:space="preserve">采用本次读取的用户手动修改版本，保留原有8列数据、公式及原机型汇总。</x:t>
  </x:si>
  <x:si>
    <x:t xml:space="preserve">申报重量来源</x:t>
  </x:si>
  <x:si>
    <x:t xml:space="preserve">副本订单列表导出.xlsx，订单列表页“申报单重”；按服务商单号匹配。</x:t>
  </x:si>
  <x:si>
    <x:t xml:space="preserve">多商品单号</x:t>
  </x:si>
  <x:si>
    <x:t xml:space="preserve">申报单重按商品分别列出；源表没有数量字段，因此不相加推算整票申报重量。</x:t>
  </x:si>
  <x:si>
    <x:t xml:space="preserve">零值</x:t>
  </x:si>
  <x:si>
    <x:t xml:space="preserve">源表申报单重为0的保留0，并在匹配状态中标记。</x:t>
  </x:si>
  <x:si>
    <x:t xml:space="preserve">重新匹配结果</x:t>
  </x:si>
</x:sst>
</file>

<file path=xl/styles.xml><?xml version="1.0" encoding="utf-8"?>
<x:styleSheet xmlns:x="http://schemas.openxmlformats.org/spreadsheetml/2006/main">
  <x:numFmts count="7">
    <x:numFmt numFmtId="26" formatCode="\$#,##0.00_);[Red]\(\$#,##0.00\)"/>
    <x:numFmt numFmtId="176" formatCode="\$#,##0.00;\-\$#,##0.00"/>
    <x:numFmt numFmtId="177" formatCode="0.###"/>
    <x:numFmt numFmtId="200" formatCode="0.000"/>
    <x:numFmt numFmtId="201" formatCode="@"/>
    <x:numFmt numFmtId="202" formatCode="0.00"/>
    <x:numFmt numFmtId="203" formatCode="0.00%"/>
  </x:numFmts>
  <x:fonts count="6">
    <x:font>
      <x:sz val="11"/>
      <x:color theme="1"/>
      <x:name val="等线"/>
      <x:family val="2"/>
      <x:scheme val="minor"/>
    </x:font>
    <x:font>
      <x:b/>
      <x:sz val="14"/>
      <x:name val="等线"/>
      <x:family val="3"/>
      <x:scheme val="minor"/>
    </x:font>
    <x:font>
      <x:b/>
      <x:sz val="14"/>
      <x:color theme="1"/>
      <x:name val="等线"/>
      <x:family val="3"/>
      <x:scheme val="minor"/>
    </x:font>
    <x:font>
      <x:b/>
      <x:sz val="14"/>
      <x:color indexed="8"/>
      <x:name val="等线"/>
      <x:family val="3"/>
      <x:scheme val="minor"/>
    </x:font>
    <x:font>
      <x:b/>
      <x:sz val="11"/>
      <x:color rgb="FFFFFFFF"/>
      <x:name val="等线"/>
      <x:family val="2"/>
      <x:scheme val="minor"/>
    </x:font>
    <x:font>
      <x:sz val="9"/>
      <x:name val="等线"/>
      <x:family val="3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indexed="22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  <x:fill>
      <x:patternFill patternType="solid">
        <x:fgColor rgb="FF284B63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1" fillId="0" borderId="0" xfId="0" applyFont="1"/>
    <x:xf numFmtId="176" fontId="2" fillId="0" borderId="0" xfId="0" applyNumberFormat="1" applyFont="1" applyAlignment="1">
      <x:alignment horizontal="center" vertical="center"/>
    </x:xf>
    <x:xf numFmtId="26" fontId="1" fillId="2" borderId="1" xfId="0" applyNumberFormat="1" applyFont="1" applyFill="1" applyBorder="1" applyAlignment="1">
      <x:alignment horizontal="center" vertical="center" wrapText="1"/>
    </x:xf>
    <x:xf numFmtId="26" fontId="2" fillId="0" borderId="0" xfId="0" applyNumberFormat="1" applyFont="1" applyAlignment="1">
      <x:alignment vertical="center"/>
    </x:xf>
    <x:xf numFmtId="26" fontId="3" fillId="0" borderId="0" xfId="0" applyNumberFormat="1" applyFont="1" applyAlignment="1">
      <x:alignment vertical="center"/>
    </x:xf>
    <x:xf numFmtId="26" fontId="2" fillId="0" borderId="0" xfId="0" applyNumberFormat="1" applyFont="1" applyAlignment="1">
      <x:alignment horizontal="center" vertical="center"/>
    </x:xf>
    <x:xf numFmtId="26" fontId="0" fillId="0" borderId="0" xfId="0" applyNumberFormat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49" fontId="1" fillId="2" borderId="1" xfId="0" applyNumberFormat="1" applyFont="1" applyFill="1" applyBorder="1" applyAlignment="1">
      <x:alignment horizontal="center" vertical="center" wrapText="1"/>
    </x:xf>
    <x:xf numFmtId="49" fontId="2" fillId="0" borderId="0" xfId="0" applyNumberFormat="1" applyFont="1" applyFill="1" applyBorder="1" applyAlignment="1">
      <x:alignment horizontal="center" vertical="center"/>
    </x:xf>
    <x:xf numFmtId="49" fontId="3" fillId="0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</x:cellXfs>
  <x:cellStyles count="1">
    <x:cellStyle name="常规" xfId="0"/>
  </x:cellStyles>
  <x:dxfs count="3"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  <x:dxf>
      <x:fill>
        <x:patternFill>
          <x:bgColor rgb="FFFF99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8e1d7d0964b10" /><Relationship Type="http://schemas.openxmlformats.org/officeDocument/2006/relationships/theme" Target="/xl/theme/theme1.xml" Id="R8931e6c1c65b4c13" /><Relationship Type="http://schemas.openxmlformats.org/officeDocument/2006/relationships/sharedStrings" Target="/xl/sharedStrings.xml" Id="R1f9c0daa022045d7" /><Relationship Type="http://schemas.openxmlformats.org/officeDocument/2006/relationships/worksheet" Target="/xl/worksheets/sheet1.xml" Id="Ra19943161c06495f" /><Relationship Type="http://schemas.openxmlformats.org/officeDocument/2006/relationships/worksheet" Target="/xl/worksheets/sheet2.xml" Id="Ra414f68361b946ef" /><Relationship Type="http://schemas.openxmlformats.org/officeDocument/2006/relationships/worksheet" Target="/xl/worksheets/sheet3.xml" Id="Rff79e855dcfe407d" /><Relationship Type="http://schemas.openxmlformats.org/officeDocument/2006/relationships/worksheet" Target="/xl/worksheets/sheet4.xml" Id="R0408f6fc11ad49b8" /><Relationship Type="http://schemas.openxmlformats.org/officeDocument/2006/relationships/worksheet" Target="/xl/worksheets/sheet5.xml" Id="Re385d043b96b4c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4.25"/>
  <x:cols>
    <x:col min="1" max="1" width="20" hidden="0" customWidth="1"/>
    <x:col min="2" max="2" width="14.375" customWidth="1"/>
    <x:col min="3" max="3" width="15.25" style="8" customWidth="1"/>
    <x:col min="4" max="4" width="13.75" style="8" customWidth="1"/>
    <x:col min="5" max="6" width="17.25" customWidth="1"/>
    <x:col min="7" max="7" width="25.625" customWidth="1"/>
    <x:col min="8" max="8" width="20.375" customWidth="1"/>
    <x:col min="9" max="12" width="9" customWidth="1"/>
    <x:col min="13" max="13" width="13" customWidth="1"/>
    <x:col min="14" max="14" width="9" customWidth="1"/>
    <x:col min="15" max="15" width="13" customWidth="1"/>
    <x:col min="16" max="16" width="9" customWidth="1"/>
    <x:col min="17" max="17" width="13" customWidth="1"/>
    <x:col min="18" max="18" width="11.75" customWidth="1"/>
    <x:col min="19" max="19" width="23.5" customWidth="1"/>
    <x:col min="20" max="20" width="23" customWidth="1"/>
    <x:col min="21" max="21" width="30" customWidth="1"/>
    <x:col min="22" max="22" width="23" customWidth="1"/>
    <x:col min="23" max="23" width="25.5" customWidth="1"/>
    <x:col min="24" max="24" width="27" customWidth="1"/>
  </x:cols>
  <x:sheetData>
    <x:row r="1" ht="42" customHeight="1">
      <x:c r="A1" s="20" t="str">
        <x:v>跟踪号</x:v>
      </x:c>
      <x:c r="B1" s="1" t="str">
        <x:v>预收</x:v>
      </x:c>
      <x:c r="C1" s="4" t="str">
        <x:v>实收</x:v>
      </x:c>
      <x:c r="D1" s="4" t="str">
        <x:v>差额</x:v>
      </x:c>
      <x:c r="E1" s="10" t="str">
        <x:v>机型（收货记录）</x:v>
      </x:c>
      <x:c r="F1" s="10" t="str">
        <x:v>匹配状态</x:v>
      </x:c>
      <x:c r="G1" s="10" t="str">
        <x:v>SN（收货记录）</x:v>
      </x:c>
      <x:c r="H1" s="10" t="str">
        <x:v>RMA编号</x:v>
      </x:c>
      <x:c r="I1" s="15" t="str">
        <x:v>包裹长度</x:v>
      </x:c>
      <x:c r="J1" s="15" t="str">
        <x:v>包裹宽度</x:v>
      </x:c>
      <x:c r="K1" s="15" t="str">
        <x:v>包裹高度</x:v>
      </x:c>
      <x:c r="L1" s="15" t="str">
        <x:v>实际重量</x:v>
      </x:c>
      <x:c r="M1" s="15" t="str">
        <x:v>实际重量单位</x:v>
      </x:c>
      <x:c r="N1" s="15" t="str">
        <x:v>计费重量</x:v>
      </x:c>
      <x:c r="O1" s="15" t="str">
        <x:v>计费重量单位</x:v>
      </x:c>
      <x:c r="P1" s="15" t="str">
        <x:v>预估重量</x:v>
      </x:c>
      <x:c r="Q1" s="15" t="str">
        <x:v>预估重量单位</x:v>
      </x:c>
      <x:c r="R1" s="15" t="str">
        <x:v>寄件人州/省</x:v>
      </x:c>
      <x:c r="S1" s="15" t="str">
        <x:v>寄件人城市</x:v>
      </x:c>
      <x:c r="T1" s="15" t="str">
        <x:v>收件人州/省</x:v>
      </x:c>
      <x:c r="U1" s="15" t="str">
        <x:v>收件人城市</x:v>
      </x:c>
      <x:c r="V1" s="15" t="str">
        <x:v>核对表匹配状态</x:v>
      </x:c>
      <x:c r="W1" s="18" t="str">
        <x:v>申报单重（订单导出原值）</x:v>
      </x:c>
      <x:c r="X1" s="18" t="str">
        <x:v>申报商品及单重明细</x:v>
      </x:c>
    </x:row>
    <x:row r="2" ht="18">
      <x:c r="A2" s="12" t="str">
        <x:v>874592682792</x:v>
      </x:c>
      <x:c r="B2" s="3" t="n">
        <x:v>114.59</x:v>
      </x:c>
      <x:c r="C2" s="5" t="n">
        <x:v>308.55</x:v>
      </x:c>
      <x:c r="D2" s="5" t="n">
        <x:f t="shared" ref="D2" si="0">C2-B2</x:f>
        <x:v>193.96</x:v>
      </x:c>
      <x:c r="E2" t="str">
        <x:v>B4810</x:v>
      </x:c>
      <x:c r="F2" t="str">
        <x:v>已匹配</x:v>
      </x:c>
      <x:c r="G2" t="str">
        <x:v>B48102539000115601</x:v>
      </x:c>
      <x:c r="H2" t="str">
        <x:v>LOG-SRL26073114</x:v>
      </x:c>
      <x:c r="I2" s="16" t="n">
        <x:v>32</x:v>
      </x:c>
      <x:c r="J2" s="16" t="n">
        <x:v>22</x:v>
      </x:c>
      <x:c r="K2" s="16" t="n">
        <x:v>13</x:v>
      </x:c>
      <x:c r="L2" s="19" t="n">
        <x:v>116.4</x:v>
      </x:c>
      <x:c r="M2" t="str">
        <x:v>lb</x:v>
      </x:c>
      <x:c r="N2" s="19" t="n">
        <x:v>117</x:v>
      </x:c>
      <x:c r="O2" t="str">
        <x:v>lb</x:v>
      </x:c>
      <x:c r="P2" s="19" t="n">
        <x:v>101.41264060504368</x:v>
      </x:c>
      <x:c r="Q2" t="str">
        <x:v>lb</x:v>
      </x:c>
      <x:c r="R2" t="str">
        <x:v>MO</x:v>
      </x:c>
      <x:c r="S2" t="str">
        <x:v>ALTENBURG</x:v>
      </x:c>
      <x:c r="T2" t="str">
        <x:v>NJ</x:v>
      </x:c>
      <x:c r="U2" t="str">
        <x:v>NEW BRUNSWICK</x:v>
      </x:c>
      <x:c r="V2" t="str">
        <x:v>已匹配</x:v>
      </x:c>
      <x:c r="W2" s="16" t="n">
        <x:v>1</x:v>
      </x:c>
      <x:c r="X2" s="17" t="str">
        <x:v>B4810：1</x:v>
      </x:c>
    </x:row>
    <x:row r="3" ht="18">
      <x:c r="A3" s="12" t="str">
        <x:v>873982034526</x:v>
      </x:c>
      <x:c r="B3" s="3" t="n">
        <x:v>108.51</x:v>
      </x:c>
      <x:c r="C3" s="5" t="n">
        <x:v>270.523</x:v>
      </x:c>
      <x:c r="D3" s="5" t="n">
        <x:f>C3-B3</x:f>
        <x:v>162.01300000000003</x:v>
      </x:c>
      <x:c r="E3" t="str">
        <x:v>B500K</x:v>
      </x:c>
      <x:c r="F3" t="str">
        <x:v>已匹配</x:v>
      </x:c>
      <x:c r="G3" t="str">
        <x:v>B500K2548131349613</x:v>
      </x:c>
      <x:c r="H3" t="str">
        <x:v>LOG-SRD26070955</x:v>
      </x:c>
      <x:c r="I3" s="16" t="n">
        <x:v>71</x:v>
      </x:c>
      <x:c r="J3" s="16" t="n">
        <x:v>51</x:v>
      </x:c>
      <x:c r="K3" s="16" t="n">
        <x:v>51</x:v>
      </x:c>
      <x:c r="L3" s="19" t="n">
        <x:v>113.4</x:v>
      </x:c>
      <x:c r="M3" t="str">
        <x:v>lb</x:v>
      </x:c>
      <x:c r="N3" s="19" t="n">
        <x:v>114</x:v>
      </x:c>
      <x:c r="O3" t="str">
        <x:v>lb</x:v>
      </x:c>
      <x:c r="P3" s="19" t="n">
        <x:v>106.28485659932947</x:v>
      </x:c>
      <x:c r="Q3" t="str">
        <x:v>lb</x:v>
      </x:c>
      <x:c r="R3" t="str">
        <x:v>NC</x:v>
      </x:c>
      <x:c r="S3" t="str">
        <x:v>WAKE FOREST</x:v>
      </x:c>
      <x:c r="T3" t="str">
        <x:v>NJ</x:v>
      </x:c>
      <x:c r="U3" t="str">
        <x:v>NEW BRUNSWICK</x:v>
      </x:c>
      <x:c r="V3" t="str">
        <x:v>已匹配</x:v>
      </x:c>
      <x:c r="W3" s="16" t="n">
        <x:v>48.217</x:v>
      </x:c>
      <x:c r="X3" s="17" t="str">
        <x:v>B500K：48.217</x:v>
      </x:c>
    </x:row>
    <x:row r="4" ht="18">
      <x:c r="A4" s="12" t="str">
        <x:v>874031949101</x:v>
      </x:c>
      <x:c r="B4" s="3" t="n">
        <x:v>95.69</x:v>
      </x:c>
      <x:c r="C4" s="5" t="n">
        <x:v>237.831</x:v>
      </x:c>
      <x:c r="D4" s="5" t="n">
        <x:f>C4-B4</x:f>
        <x:v>142.141</x:v>
      </x:c>
      <x:c r="E4" t="str">
        <x:v>EL300</x:v>
      </x:c>
      <x:c r="F4" t="str">
        <x:v>已匹配</x:v>
      </x:c>
      <x:c r="G4" t="str">
        <x:v>EL3002613132055849</x:v>
      </x:c>
      <x:c r="H4" t="str">
        <x:v>LOG-SRD26070956</x:v>
      </x:c>
      <x:c r="I4" s="16" t="n">
        <x:v>19</x:v>
      </x:c>
      <x:c r="J4" s="16" t="n">
        <x:v>16</x:v>
      </x:c>
      <x:c r="K4" s="16" t="n">
        <x:v>16</x:v>
      </x:c>
      <x:c r="L4" s="19" t="n">
        <x:v>66.1</x:v>
      </x:c>
      <x:c r="M4" t="str">
        <x:v>lb</x:v>
      </x:c>
      <x:c r="N4" s="19" t="n">
        <x:v>67</x:v>
      </x:c>
      <x:c r="O4" t="str">
        <x:v>lb</x:v>
      </x:c>
      <x:c r="P4" s="19" t="n">
        <x:v>52.999127829244564</x:v>
      </x:c>
      <x:c r="Q4" t="str">
        <x:v>lb</x:v>
      </x:c>
      <x:c r="R4" t="str">
        <x:v>FL</x:v>
      </x:c>
      <x:c r="S4" t="str">
        <x:v>MIAMI</x:v>
      </x:c>
      <x:c r="T4" t="str">
        <x:v>NJ</x:v>
      </x:c>
      <x:c r="U4" t="str">
        <x:v>NEW BRUNSWICK</x:v>
      </x:c>
      <x:c r="V4" t="str">
        <x:v>已匹配</x:v>
      </x:c>
      <x:c r="W4" s="16" t="n">
        <x:v>24.04</x:v>
      </x:c>
      <x:c r="X4" s="17" t="str">
        <x:v>ELITE300：24.04</x:v>
      </x:c>
    </x:row>
    <x:row r="5" ht="18">
      <x:c r="A5" s="12" t="str">
        <x:v>872732293053</x:v>
      </x:c>
      <x:c r="B5" s="3" t="n">
        <x:v>31.24</x:v>
      </x:c>
      <x:c r="C5" s="5" t="n">
        <x:v>171.512</x:v>
      </x:c>
      <x:c r="D5" s="5" t="n">
        <x:f>C5-B5</x:f>
        <x:v>140.272</x:v>
      </x:c>
      <x:c r="E5" t="str">
        <x:v>AC180</x:v>
      </x:c>
      <x:c r="F5" t="str">
        <x:v>已匹配</x:v>
      </x:c>
      <x:c r="G5" t="str">
        <x:v>AC1802443001422018</x:v>
      </x:c>
      <x:c r="H5" t="str">
        <x:v>LOG-CRP26060658</x:v>
      </x:c>
      <x:c r="I5" s="16"/>
      <x:c r="J5" s="16"/>
      <x:c r="K5" s="16"/>
      <x:c r="L5" s="19"/>
      <x:c r="M5"/>
      <x:c r="N5" s="19"/>
      <x:c r="O5"/>
      <x:c r="P5" s="19"/>
      <x:c r="Q5"/>
      <x:c r="R5"/>
      <x:c r="S5"/>
      <x:c r="T5"/>
      <x:c r="U5"/>
      <x:c r="V5" t="str">
        <x:v>未匹配</x:v>
      </x:c>
      <x:c r="W5" s="16" t="n">
        <x:v>17.237</x:v>
      </x:c>
      <x:c r="X5" s="17" t="str">
        <x:v>AC180：17.237</x:v>
      </x:c>
    </x:row>
    <x:row r="6" ht="18">
      <x:c r="A6" s="12" t="str">
        <x:v>873651415340</x:v>
      </x:c>
      <x:c r="B6" s="3" t="n">
        <x:v>23.53</x:v>
      </x:c>
      <x:c r="C6" s="5" t="n">
        <x:v>140.668</x:v>
      </x:c>
      <x:c r="D6" s="5" t="n">
        <x:f>C6-B6</x:f>
        <x:v>117.138</x:v>
      </x:c>
      <x:c r="E6" t="str">
        <x:v>AC200M</x:v>
      </x:c>
      <x:c r="F6" t="str">
        <x:v>已匹配</x:v>
      </x:c>
      <x:c r="G6" t="str">
        <x:v>AC200M2342001617281</x:v>
      </x:c>
      <x:c r="H6" t="str">
        <x:v>LOG-CRP26063079</x:v>
      </x:c>
      <x:c r="I6" s="16" t="n">
        <x:v>23</x:v>
      </x:c>
      <x:c r="J6" s="16" t="n">
        <x:v>22</x:v>
      </x:c>
      <x:c r="K6" s="16" t="n">
        <x:v>17</x:v>
      </x:c>
      <x:c r="L6" s="19" t="n">
        <x:v>71.3</x:v>
      </x:c>
      <x:c r="M6" t="str">
        <x:v>lb</x:v>
      </x:c>
      <x:c r="N6" s="19" t="n">
        <x:v>72</x:v>
      </x:c>
      <x:c r="O6" t="str">
        <x:v>lb</x:v>
      </x:c>
      <x:c r="P6" s="19" t="n">
        <x:v>42.99014112605113</x:v>
      </x:c>
      <x:c r="Q6" t="str">
        <x:v>lb</x:v>
      </x:c>
      <x:c r="R6" t="str">
        <x:v>NY</x:v>
      </x:c>
      <x:c r="S6" t="str">
        <x:v>BROOKLYN</x:v>
      </x:c>
      <x:c r="T6" t="str">
        <x:v>NJ</x:v>
      </x:c>
      <x:c r="U6" t="str">
        <x:v>NEW BRUNSWICK</x:v>
      </x:c>
      <x:c r="V6" t="str">
        <x:v>已匹配</x:v>
      </x:c>
      <x:c r="W6" s="16" t="n">
        <x:v>19.504</x:v>
      </x:c>
      <x:c r="X6" s="17" t="str">
        <x:v>AC200MAX：19.504</x:v>
      </x:c>
    </x:row>
    <x:row r="7" ht="18">
      <x:c r="A7" s="12" t="str">
        <x:v>874033170005</x:v>
      </x:c>
      <x:c r="B7" s="3" t="n">
        <x:v>88.7</x:v>
      </x:c>
      <x:c r="C7" s="5" t="n">
        <x:v>204.71</x:v>
      </x:c>
      <x:c r="D7" s="5" t="n">
        <x:f>C7-B7</x:f>
        <x:v>116.01</x:v>
      </x:c>
      <x:c r="E7" t="str">
        <x:v>Elite 200 V2</x:v>
      </x:c>
      <x:c r="F7" t="str">
        <x:v>已匹配</x:v>
      </x:c>
      <x:c r="G7" t="str">
        <x:v>Elite 200 V22541002249456</x:v>
      </x:c>
      <x:c r="H7" t="str">
        <x:v>LOG-SRD26070884</x:v>
      </x:c>
      <x:c r="I7" s="16" t="n">
        <x:v>48</x:v>
      </x:c>
      <x:c r="J7" s="16" t="n">
        <x:v>48</x:v>
      </x:c>
      <x:c r="K7" s="16" t="n">
        <x:v>36</x:v>
      </x:c>
      <x:c r="L7" s="19" t="n">
        <x:v>62.4</x:v>
      </x:c>
      <x:c r="M7" t="str">
        <x:v>lb</x:v>
      </x:c>
      <x:c r="N7" s="19" t="n">
        <x:v>63</x:v>
      </x:c>
      <x:c r="O7" t="str">
        <x:v>lb</x:v>
      </x:c>
      <x:c r="P7" s="19" t="n">
        <x:v>64.00019471226996</x:v>
      </x:c>
      <x:c r="Q7" t="str">
        <x:v>lb</x:v>
      </x:c>
      <x:c r="R7" t="str">
        <x:v>IL</x:v>
      </x:c>
      <x:c r="S7" t="str">
        <x:v>GURNEE</x:v>
      </x:c>
      <x:c r="T7" t="str">
        <x:v>NJ</x:v>
      </x:c>
      <x:c r="U7" t="str">
        <x:v>NEW BRUNSWICK</x:v>
      </x:c>
      <x:c r="V7" t="str">
        <x:v>已匹配</x:v>
      </x:c>
      <x:c r="W7" s="16" t="n">
        <x:v>29.03</x:v>
      </x:c>
      <x:c r="X7" s="17" t="str">
        <x:v>BLUETTI Elite 200 V2：29.03</x:v>
      </x:c>
    </x:row>
    <x:row r="8" ht="18">
      <x:c r="A8" s="12" t="str">
        <x:v>874280719368</x:v>
      </x:c>
      <x:c r="B8" s="3" t="n">
        <x:v>71.65</x:v>
      </x:c>
      <x:c r="C8" s="5" t="n">
        <x:v>179.421</x:v>
      </x:c>
      <x:c r="D8" s="5" t="n">
        <x:f>C8-B8</x:f>
        <x:v>107.77099999999999</x:v>
      </x:c>
      <x:c r="E8" t="str">
        <x:v>AC200L</x:v>
      </x:c>
      <x:c r="F8" t="str">
        <x:v>已匹配</x:v>
      </x:c>
      <x:c r="G8" t="str">
        <x:v>AC200L2441001179415</x:v>
      </x:c>
      <x:c r="H8" t="str">
        <x:v>LOG-SRL26071782</x:v>
      </x:c>
      <x:c r="I8" s="16" t="n">
        <x:v>22</x:v>
      </x:c>
      <x:c r="J8" s="16" t="n">
        <x:v>22</x:v>
      </x:c>
      <x:c r="K8" s="16" t="n">
        <x:v>17</x:v>
      </x:c>
      <x:c r="L8" s="19" t="n">
        <x:v>71.7</x:v>
      </x:c>
      <x:c r="M8" t="str">
        <x:v>lb</x:v>
      </x:c>
      <x:c r="N8" s="19" t="n">
        <x:v>72</x:v>
      </x:c>
      <x:c r="O8" t="str">
        <x:v>lb</x:v>
      </x:c>
      <x:c r="P8" s="19" t="n">
        <x:v>55.9974145949589</x:v>
      </x:c>
      <x:c r="Q8" t="str">
        <x:v>lb</x:v>
      </x:c>
      <x:c r="R8" t="str">
        <x:v>SC</x:v>
      </x:c>
      <x:c r="S8" t="str">
        <x:v>CHARLESTON</x:v>
      </x:c>
      <x:c r="T8" t="str">
        <x:v>NJ</x:v>
      </x:c>
      <x:c r="U8" t="str">
        <x:v>NEW BRUNSWICK</x:v>
      </x:c>
      <x:c r="V8" t="str">
        <x:v>已匹配</x:v>
      </x:c>
      <x:c r="W8" s="16" t="n">
        <x:v>25.401</x:v>
      </x:c>
      <x:c r="X8" s="17" t="str">
        <x:v>AC200L：25.401</x:v>
      </x:c>
    </x:row>
    <x:row r="9" ht="18">
      <x:c r="A9" s="12" t="str">
        <x:v>874288041990</x:v>
      </x:c>
      <x:c r="B9" s="3" t="n">
        <x:v>62.65</x:v>
      </x:c>
      <x:c r="C9" s="5" t="n">
        <x:v>168.916</x:v>
      </x:c>
      <x:c r="D9" s="5" t="n">
        <x:f>C9-B9</x:f>
        <x:v>106.26599999999999</x:v>
      </x:c>
      <x:c r="E9" t="str">
        <x:v>AC180</x:v>
      </x:c>
      <x:c r="F9" t="str">
        <x:v>已匹配</x:v>
      </x:c>
      <x:c r="G9" t="str">
        <x:v>AC1802411002158064</x:v>
      </x:c>
      <x:c r="H9" t="str">
        <x:v>LOG-CRP26071850</x:v>
      </x:c>
      <x:c r="I9" s="16" t="n">
        <x:v>20</x:v>
      </x:c>
      <x:c r="J9" s="16" t="n">
        <x:v>17</x:v>
      </x:c>
      <x:c r="K9" s="16" t="n">
        <x:v>13</x:v>
      </x:c>
      <x:c r="L9" s="19" t="n">
        <x:v>39.4</x:v>
      </x:c>
      <x:c r="M9" t="str">
        <x:v>lb</x:v>
      </x:c>
      <x:c r="N9" s="19" t="n">
        <x:v>40</x:v>
      </x:c>
      <x:c r="O9" t="str">
        <x:v>lb</x:v>
      </x:c>
      <x:c r="P9" s="19" t="n">
        <x:v>37.98564777445441</x:v>
      </x:c>
      <x:c r="Q9" t="str">
        <x:v>lb</x:v>
      </x:c>
      <x:c r="R9" t="str">
        <x:v>CA</x:v>
      </x:c>
      <x:c r="S9" t="str">
        <x:v>PITTSBURG</x:v>
      </x:c>
      <x:c r="T9" t="str">
        <x:v>NJ</x:v>
      </x:c>
      <x:c r="U9" t="str">
        <x:v>NEW BRUNSWICK</x:v>
      </x:c>
      <x:c r="V9" t="str">
        <x:v>已匹配</x:v>
      </x:c>
      <x:c r="W9" s="16" t="n">
        <x:v>17.237</x:v>
      </x:c>
      <x:c r="X9" s="17" t="str">
        <x:v>AC180：17.237</x:v>
      </x:c>
    </x:row>
    <x:row r="10" ht="18">
      <x:c r="A10" s="12" t="str">
        <x:v>873966246974</x:v>
      </x:c>
      <x:c r="B10" s="3" t="n">
        <x:v>26.2</x:v>
      </x:c>
      <x:c r="C10" s="5" t="n">
        <x:v>130.416</x:v>
      </x:c>
      <x:c r="D10" s="5" t="n">
        <x:f>C10-B10</x:f>
        <x:v>104.216</x:v>
      </x:c>
      <x:c r="E10" t="str">
        <x:v>EL100V2</x:v>
      </x:c>
      <x:c r="F10" t="str">
        <x:v>已匹配</x:v>
      </x:c>
      <x:c r="G10" t="str">
        <x:v>EL100V22540002578241</x:v>
      </x:c>
      <x:c r="H10" t="str">
        <x:v>LOG-SRL26070642</x:v>
      </x:c>
      <x:c r="I10" s="16" t="n">
        <x:v>15</x:v>
      </x:c>
      <x:c r="J10" s="16" t="n">
        <x:v>12</x:v>
      </x:c>
      <x:c r="K10" s="16" t="n">
        <x:v>12</x:v>
      </x:c>
      <x:c r="L10" s="19" t="n">
        <x:v>28.2</x:v>
      </x:c>
      <x:c r="M10" t="str">
        <x:v>lb</x:v>
      </x:c>
      <x:c r="N10" s="19" t="n">
        <x:v>29</x:v>
      </x:c>
      <x:c r="O10" t="str">
        <x:v>lb</x:v>
      </x:c>
      <x:c r="P10" s="19" t="n">
        <x:v>25.000420531765116</x:v>
      </x:c>
      <x:c r="Q10" t="str">
        <x:v>lb</x:v>
      </x:c>
      <x:c r="R10" t="str">
        <x:v>IA</x:v>
      </x:c>
      <x:c r="S10" t="str">
        <x:v>MARION</x:v>
      </x:c>
      <x:c r="T10" t="str">
        <x:v>NJ</x:v>
      </x:c>
      <x:c r="U10" t="str">
        <x:v>NEW BRUNSWICK</x:v>
      </x:c>
      <x:c r="V10" t="str">
        <x:v>已匹配</x:v>
      </x:c>
      <x:c r="W10" s="16" t="n">
        <x:v>11.34</x:v>
      </x:c>
      <x:c r="X10" s="17" t="str">
        <x:v>EL100V2：11.34</x:v>
      </x:c>
    </x:row>
    <x:row r="11" ht="18">
      <x:c r="A11" s="12" t="str">
        <x:v>874516692368</x:v>
      </x:c>
      <x:c r="B11" s="3" t="n">
        <x:v>23.79</x:v>
      </x:c>
      <x:c r="C11" s="5" t="n">
        <x:v>118.074</x:v>
      </x:c>
      <x:c r="D11" s="5" t="n">
        <x:f>C11-B11</x:f>
        <x:v>94.28399999999999</x:v>
      </x:c>
      <x:c r="E11" t="str">
        <x:v>FRPOWER</x:v>
      </x:c>
      <x:c r="F11" t="str">
        <x:v>已匹配</x:v>
      </x:c>
      <x:c r="G11" t="str">
        <x:v>FP2543112288908</x:v>
      </x:c>
      <x:c r="H11" t="str">
        <x:v>LOG-SRL26072823</x:v>
      </x:c>
      <x:c r="I11" s="16" t="n">
        <x:v>30</x:v>
      </x:c>
      <x:c r="J11" s="16" t="n">
        <x:v>18</x:v>
      </x:c>
      <x:c r="K11" s="16" t="n">
        <x:v>8</x:v>
      </x:c>
      <x:c r="L11" s="19" t="n">
        <x:v>51.1</x:v>
      </x:c>
      <x:c r="M11" t="str">
        <x:v>lb</x:v>
      </x:c>
      <x:c r="N11" s="19" t="n">
        <x:v>52</x:v>
      </x:c>
      <x:c r="O11" t="str">
        <x:v>lb</x:v>
      </x:c>
      <x:c r="P11" s="19" t="n">
        <x:v>44.09245243697551</x:v>
      </x:c>
      <x:c r="Q11" t="str">
        <x:v>lb</x:v>
      </x:c>
      <x:c r="R11" t="str">
        <x:v>PA</x:v>
      </x:c>
      <x:c r="S11" t="str">
        <x:v>COOPERSBURG</x:v>
      </x:c>
      <x:c r="T11" t="str">
        <x:v>NJ</x:v>
      </x:c>
      <x:c r="U11" t="str">
        <x:v>NEW BRUNSWICK</x:v>
      </x:c>
      <x:c r="V11" t="str">
        <x:v>已匹配</x:v>
      </x:c>
      <x:c r="W11" s="16" t="n">
        <x:v>20</x:v>
      </x:c>
      <x:c r="X11" s="17" t="str">
        <x:v>FridgePower：20</x:v>
      </x:c>
    </x:row>
    <x:row r="12" ht="18">
      <x:c r="A12" s="12" t="str">
        <x:v>873808852054</x:v>
      </x:c>
      <x:c r="B12" s="3" t="n">
        <x:v>23.84</x:v>
      </x:c>
      <x:c r="C12" s="5" t="n">
        <x:v>118.074</x:v>
      </x:c>
      <x:c r="D12" s="5" t="n">
        <x:f>C12-B12</x:f>
        <x:v>94.234</x:v>
      </x:c>
      <x:c r="E12" t="str">
        <x:v>FRPOWER</x:v>
      </x:c>
      <x:c r="F12" t="str">
        <x:v>已匹配</x:v>
      </x:c>
      <x:c r="G12" t="str">
        <x:v>FP2604139141537</x:v>
      </x:c>
      <x:c r="H12" t="str">
        <x:v>LOG-SRL26070135</x:v>
      </x:c>
      <x:c r="I12" s="16" t="n">
        <x:v>30</x:v>
      </x:c>
      <x:c r="J12" s="16" t="n">
        <x:v>19</x:v>
      </x:c>
      <x:c r="K12" s="16" t="n">
        <x:v>8</x:v>
      </x:c>
      <x:c r="L12" s="19" t="n">
        <x:v>51.1</x:v>
      </x:c>
      <x:c r="M12" t="str">
        <x:v>lb</x:v>
      </x:c>
      <x:c r="N12" s="19" t="n">
        <x:v>52</x:v>
      </x:c>
      <x:c r="O12" t="str">
        <x:v>lb</x:v>
      </x:c>
      <x:c r="P12" s="19" t="n">
        <x:v>44.09245243697551</x:v>
      </x:c>
      <x:c r="Q12" t="str">
        <x:v>lb</x:v>
      </x:c>
      <x:c r="R12" t="str">
        <x:v>PA</x:v>
      </x:c>
      <x:c r="S12" t="str">
        <x:v>COOPERSBURG</x:v>
      </x:c>
      <x:c r="T12" t="str">
        <x:v>NJ</x:v>
      </x:c>
      <x:c r="U12" t="str">
        <x:v>NEW BRUNSWICK</x:v>
      </x:c>
      <x:c r="V12" t="str">
        <x:v>已匹配</x:v>
      </x:c>
      <x:c r="W12" s="16" t="n">
        <x:v>20</x:v>
      </x:c>
      <x:c r="X12" s="17" t="str">
        <x:v>FridgePower：20</x:v>
      </x:c>
    </x:row>
    <x:row r="13" ht="18">
      <x:c r="A13" s="12" t="str">
        <x:v>874499950834</x:v>
      </x:c>
      <x:c r="B13" s="3" t="n">
        <x:v>36.44</x:v>
      </x:c>
      <x:c r="C13" s="5" t="n">
        <x:v>110.528</x:v>
      </x:c>
      <x:c r="D13" s="5" t="n">
        <x:f>C13-B13</x:f>
        <x:v>74.08800000000001</x:v>
      </x:c>
      <x:c r="E13" t="str">
        <x:v>AP300</x:v>
      </x:c>
      <x:c r="F13" t="str">
        <x:v>已匹配</x:v>
      </x:c>
      <x:c r="G13" t="str">
        <x:v>AP3002539000203873</x:v>
      </x:c>
      <x:c r="H13" t="str">
        <x:v>LOG-CRP26072673</x:v>
      </x:c>
      <x:c r="I13" s="16" t="n">
        <x:v>28</x:v>
      </x:c>
      <x:c r="J13" s="16" t="n">
        <x:v>20</x:v>
      </x:c>
      <x:c r="K13" s="16" t="n">
        <x:v>19</x:v>
      </x:c>
      <x:c r="L13" s="19" t="n">
        <x:v>95.5</x:v>
      </x:c>
      <x:c r="M13" t="str">
        <x:v>lb</x:v>
      </x:c>
      <x:c r="N13" s="19" t="n">
        <x:v>96</x:v>
      </x:c>
      <x:c r="O13" t="str">
        <x:v>lb</x:v>
      </x:c>
      <x:c r="P13" s="19" t="n">
        <x:v>37.98564777445441</x:v>
      </x:c>
      <x:c r="Q13" t="str">
        <x:v>lb</x:v>
      </x:c>
      <x:c r="R13" t="str">
        <x:v>GA</x:v>
      </x:c>
      <x:c r="S13" t="str">
        <x:v>KATHLEEN</x:v>
      </x:c>
      <x:c r="T13" t="str">
        <x:v>NJ</x:v>
      </x:c>
      <x:c r="U13" t="str">
        <x:v>NEW BRUNSWICK</x:v>
      </x:c>
      <x:c r="V13" t="str">
        <x:v>已匹配</x:v>
      </x:c>
      <x:c r="W13" s="16" t="n">
        <x:v>0</x:v>
      </x:c>
      <x:c r="X13" s="17" t="str">
        <x:v>商品名称为空：0</x:v>
      </x:c>
    </x:row>
    <x:row r="14" ht="18">
      <x:c r="A14" s="12" t="str">
        <x:v>874276968840</x:v>
      </x:c>
      <x:c r="B14" s="3" t="n">
        <x:v>57.47</x:v>
      </x:c>
      <x:c r="C14" s="5" t="n">
        <x:v>128.48</x:v>
      </x:c>
      <x:c r="D14" s="5" t="n">
        <x:f>C14-B14</x:f>
        <x:v>71.00999999999999</x:v>
      </x:c>
      <x:c r="E14" t="str">
        <x:v>EL300</x:v>
      </x:c>
      <x:c r="F14" t="str">
        <x:v>已匹配</x:v>
      </x:c>
      <x:c r="G14" t="str">
        <x:v>EL3002610132713288</x:v>
      </x:c>
      <x:c r="H14" t="str">
        <x:v>LOG-SRL26072015</x:v>
      </x:c>
      <x:c r="I14" s="16" t="n">
        <x:v>48</x:v>
      </x:c>
      <x:c r="J14" s="16" t="n">
        <x:v>41</x:v>
      </x:c>
      <x:c r="K14" s="16" t="n">
        <x:v>38</x:v>
      </x:c>
      <x:c r="L14" s="19" t="n">
        <x:v>61.1</x:v>
      </x:c>
      <x:c r="M14" t="str">
        <x:v>lb</x:v>
      </x:c>
      <x:c r="N14" s="19" t="n">
        <x:v>62</x:v>
      </x:c>
      <x:c r="O14" t="str">
        <x:v>lb</x:v>
      </x:c>
      <x:c r="P14" s="19" t="n">
        <x:v>60.49484474353041</x:v>
      </x:c>
      <x:c r="Q14" t="str">
        <x:v>lb</x:v>
      </x:c>
      <x:c r="R14" t="str">
        <x:v>PA</x:v>
      </x:c>
      <x:c r="S14" t="str">
        <x:v>DOYLESTOWN</x:v>
      </x:c>
      <x:c r="T14" t="str">
        <x:v>NJ</x:v>
      </x:c>
      <x:c r="U14" t="str">
        <x:v>NEW BRUNSWICK</x:v>
      </x:c>
      <x:c r="V14" t="str">
        <x:v>已匹配</x:v>
      </x:c>
      <x:c r="W14" s="16" t="n">
        <x:v>0</x:v>
      </x:c>
      <x:c r="X14" s="17" t="str">
        <x:v>Elite 300：0</x:v>
      </x:c>
    </x:row>
    <x:row r="15" ht="18">
      <x:c r="A15" s="12" t="str">
        <x:v>875147813128</x:v>
      </x:c>
      <x:c r="B15" s="3" t="n">
        <x:v>19.12</x:v>
      </x:c>
      <x:c r="C15" s="5" t="n">
        <x:v>89.584</x:v>
      </x:c>
      <x:c r="D15" s="5" t="n">
        <x:f>C15-B15</x:f>
        <x:v>70.464</x:v>
      </x:c>
      <x:c r="E15"/>
      <x:c r="F15" t="str">
        <x:v>未匹配</x:v>
      </x:c>
      <x:c r="G15"/>
      <x:c r="H15"/>
      <x:c r="I15" s="16"/>
      <x:c r="J15" s="16"/>
      <x:c r="K15" s="16"/>
      <x:c r="L15" s="19"/>
      <x:c r="M15"/>
      <x:c r="N15" s="19"/>
      <x:c r="O15"/>
      <x:c r="P15" s="19"/>
      <x:c r="Q15"/>
      <x:c r="R15"/>
      <x:c r="S15"/>
      <x:c r="T15"/>
      <x:c r="U15"/>
      <x:c r="V15" t="str">
        <x:v>未匹配</x:v>
      </x:c>
      <x:c r="W15" s="16" t="n">
        <x:v>3.629</x:v>
      </x:c>
      <x:c r="X15" s="17" t="str">
        <x:v>Charger 1：3.629</x:v>
      </x:c>
    </x:row>
    <x:row r="16" ht="18">
      <x:c r="A16" s="12" t="str">
        <x:v>873757186200</x:v>
      </x:c>
      <x:c r="B16" s="3" t="n">
        <x:v>59.37</x:v>
      </x:c>
      <x:c r="C16" s="5" t="n">
        <x:v>120.637</x:v>
      </x:c>
      <x:c r="D16" s="5" t="n">
        <x:f>C16-B16</x:f>
        <x:v>61.267</x:v>
      </x:c>
      <x:c r="E16" t="str">
        <x:v>EL200V2</x:v>
      </x:c>
      <x:c r="F16" t="str">
        <x:v>已匹配</x:v>
      </x:c>
      <x:c r="G16" t="str">
        <x:v>Elite 200 V22543139430611</x:v>
      </x:c>
      <x:c r="H16" t="str">
        <x:v>LOG-SRD26070872</x:v>
      </x:c>
      <x:c r="I16" s="16" t="n">
        <x:v>48</x:v>
      </x:c>
      <x:c r="J16" s="16" t="n">
        <x:v>46</x:v>
      </x:c>
      <x:c r="K16" s="16" t="n">
        <x:v>38</x:v>
      </x:c>
      <x:c r="L16" s="19" t="n">
        <x:v>56.8</x:v>
      </x:c>
      <x:c r="M16" t="str">
        <x:v>lb</x:v>
      </x:c>
      <x:c r="N16" s="19" t="n">
        <x:v>57</x:v>
      </x:c>
      <x:c r="O16" t="str">
        <x:v>lb</x:v>
      </x:c>
      <x:c r="P16" s="19" t="n">
        <x:v>63.88996358117752</x:v>
      </x:c>
      <x:c r="Q16" t="str">
        <x:v>lb</x:v>
      </x:c>
      <x:c r="R16" t="str">
        <x:v>MD</x:v>
      </x:c>
      <x:c r="S16" t="str">
        <x:v>LAUREL</x:v>
      </x:c>
      <x:c r="T16" t="str">
        <x:v>NJ</x:v>
      </x:c>
      <x:c r="U16" t="str">
        <x:v>NEW BRUNSWICK</x:v>
      </x:c>
      <x:c r="V16" t="str">
        <x:v>已匹配</x:v>
      </x:c>
      <x:c r="W16" s="16" t="n">
        <x:v>28.985</x:v>
      </x:c>
      <x:c r="X16" s="17" t="str">
        <x:v>Elite 200 V2：28.985</x:v>
      </x:c>
    </x:row>
    <x:row r="17" ht="18">
      <x:c r="A17" s="12" t="str">
        <x:v>874206087834</x:v>
      </x:c>
      <x:c r="B17" s="3" t="n">
        <x:v>37.47</x:v>
      </x:c>
      <x:c r="C17" s="5" t="n">
        <x:v>93.126</x:v>
      </x:c>
      <x:c r="D17" s="5" t="n">
        <x:f>C17-B17</x:f>
        <x:v>55.656000000000006</x:v>
      </x:c>
      <x:c r="E17" t="str">
        <x:v>EL100V2</x:v>
      </x:c>
      <x:c r="F17" t="str">
        <x:v>已匹配</x:v>
      </x:c>
      <x:c r="G17" t="str">
        <x:v>EL100V22539001340413</x:v>
      </x:c>
      <x:c r="H17" t="str">
        <x:v>LOG-SRL26071531</x:v>
      </x:c>
      <x:c r="I17" s="16" t="n">
        <x:v>40</x:v>
      </x:c>
      <x:c r="J17" s="16" t="n">
        <x:v>40</x:v>
      </x:c>
      <x:c r="K17" s="16" t="n">
        <x:v>30</x:v>
      </x:c>
      <x:c r="L17" s="19" t="n">
        <x:v>27.6</x:v>
      </x:c>
      <x:c r="M17" t="str">
        <x:v>lb</x:v>
      </x:c>
      <x:c r="N17" s="19" t="n">
        <x:v>28</x:v>
      </x:c>
      <x:c r="O17" t="str">
        <x:v>lb</x:v>
      </x:c>
      <x:c r="P17" s="19" t="n">
        <x:v>28.660094084034085</x:v>
      </x:c>
      <x:c r="Q17" t="str">
        <x:v>lb</x:v>
      </x:c>
      <x:c r="R17" t="str">
        <x:v>MO</x:v>
      </x:c>
      <x:c r="S17" t="str">
        <x:v>WILLOW SPRINGS</x:v>
      </x:c>
      <x:c r="T17" t="str">
        <x:v>NJ</x:v>
      </x:c>
      <x:c r="U17" t="str">
        <x:v>NEW BRUNSWICK</x:v>
      </x:c>
      <x:c r="V17" t="str">
        <x:v>已匹配</x:v>
      </x:c>
      <x:c r="W17" s="16" t="n">
        <x:v>13</x:v>
      </x:c>
      <x:c r="X17" s="17" t="str">
        <x:v>elite 100v2：13</x:v>
      </x:c>
    </x:row>
    <x:row r="18" ht="18">
      <x:c r="A18" s="12" t="str">
        <x:v>873066802429</x:v>
      </x:c>
      <x:c r="B18" s="3" t="n">
        <x:v>19.51</x:v>
      </x:c>
      <x:c r="C18" s="5" t="n">
        <x:v>71.016</x:v>
      </x:c>
      <x:c r="D18" s="5" t="n">
        <x:f>C18-B18</x:f>
        <x:v>51.506</x:v>
      </x:c>
      <x:c r="E18" t="str">
        <x:v>AC200L</x:v>
      </x:c>
      <x:c r="F18" t="str">
        <x:v>已匹配</x:v>
      </x:c>
      <x:c r="G18" t="str">
        <x:v>AC200L2451000987452</x:v>
      </x:c>
      <x:c r="H18" t="str">
        <x:v>LOG-SRL26061508</x:v>
      </x:c>
      <x:c r="I18" s="16" t="n">
        <x:v>18</x:v>
      </x:c>
      <x:c r="J18" s="16" t="n">
        <x:v>15</x:v>
      </x:c>
      <x:c r="K18" s="16" t="n">
        <x:v>15</x:v>
      </x:c>
      <x:c r="L18" s="19" t="n">
        <x:v>65.7</x:v>
      </x:c>
      <x:c r="M18" t="str">
        <x:v>lb</x:v>
      </x:c>
      <x:c r="N18" s="19" t="n">
        <x:v>66</x:v>
      </x:c>
      <x:c r="O18" t="str">
        <x:v>lb</x:v>
      </x:c>
      <x:c r="P18" s="19" t="n">
        <x:v>22.99421394588273</x:v>
      </x:c>
      <x:c r="Q18" t="str">
        <x:v>lb</x:v>
      </x:c>
      <x:c r="R18" t="str">
        <x:v>ME</x:v>
      </x:c>
      <x:c r="S18" t="str">
        <x:v>SHAPLEIGH</x:v>
      </x:c>
      <x:c r="T18" t="str">
        <x:v>NJ</x:v>
      </x:c>
      <x:c r="U18" t="str">
        <x:v>NEW BRUNSWICK</x:v>
      </x:c>
      <x:c r="V18" t="str">
        <x:v>已匹配</x:v>
      </x:c>
      <x:c r="W18" s="16" t="n">
        <x:v>10.433</x:v>
      </x:c>
      <x:c r="X18" s="17" t="str">
        <x:v>AC70：10.433</x:v>
      </x:c>
    </x:row>
    <x:row r="19" ht="18">
      <x:c r="A19" s="12" t="str">
        <x:v>873550710598</x:v>
      </x:c>
      <x:c r="B19" s="3" t="n">
        <x:v>60.52</x:v>
      </x:c>
      <x:c r="C19" s="5" t="n">
        <x:v>111.793</x:v>
      </x:c>
      <x:c r="D19" s="5" t="n">
        <x:f>C19-B19</x:f>
        <x:v>51.273</x:v>
      </x:c>
      <x:c r="E19" t="str">
        <x:v>EL200</x:v>
      </x:c>
      <x:c r="F19" t="str">
        <x:v>已匹配</x:v>
      </x:c>
      <x:c r="G19" t="str">
        <x:v>Elite 200 V22543137014462</x:v>
      </x:c>
      <x:c r="H19" t="str">
        <x:v>LOG-SRD26062910</x:v>
      </x:c>
      <x:c r="I19" s="16" t="n">
        <x:v>19</x:v>
      </x:c>
      <x:c r="J19" s="16" t="n">
        <x:v>19</x:v>
      </x:c>
      <x:c r="K19" s="16" t="n">
        <x:v>15</x:v>
      </x:c>
      <x:c r="L19" s="19" t="n">
        <x:v>63.1</x:v>
      </x:c>
      <x:c r="M19" t="str">
        <x:v>lb</x:v>
      </x:c>
      <x:c r="N19" s="19" t="n">
        <x:v>64</x:v>
      </x:c>
      <x:c r="O19" t="str">
        <x:v>lb</x:v>
      </x:c>
      <x:c r="P19" s="19" t="n">
        <x:v>42.99014112605113</x:v>
      </x:c>
      <x:c r="Q19" t="str">
        <x:v>lb</x:v>
      </x:c>
      <x:c r="R19" t="str">
        <x:v>TX</x:v>
      </x:c>
      <x:c r="S19" t="str">
        <x:v>BOERNE</x:v>
      </x:c>
      <x:c r="T19" t="str">
        <x:v>NJ</x:v>
      </x:c>
      <x:c r="U19" t="str">
        <x:v>NEW BRUNSWICK</x:v>
      </x:c>
      <x:c r="V19" t="str">
        <x:v>已匹配</x:v>
      </x:c>
      <x:c r="W19" s="16" t="n">
        <x:v>19.504</x:v>
      </x:c>
      <x:c r="X19" s="17" t="str">
        <x:v>ELITE100V2：19.504</x:v>
      </x:c>
    </x:row>
    <x:row r="20" ht="18">
      <x:c r="A20" s="12" t="str">
        <x:v>873867357360</x:v>
      </x:c>
      <x:c r="B20" s="3" t="n">
        <x:v>87.96</x:v>
      </x:c>
      <x:c r="C20" s="5" t="n">
        <x:v>138.974</x:v>
      </x:c>
      <x:c r="D20" s="5" t="n">
        <x:f>C20-B20</x:f>
        <x:v>51.013999999999996</x:v>
      </x:c>
      <x:c r="E20" t="str">
        <x:v>EL400</x:v>
      </x:c>
      <x:c r="F20" t="str">
        <x:v>已匹配</x:v>
      </x:c>
      <x:c r="G20" t="str">
        <x:v>EL4002538211414193</x:v>
      </x:c>
      <x:c r="H20" t="str">
        <x:v>LOG-SRL26070337</x:v>
      </x:c>
      <x:c r="I20" s="16" t="n">
        <x:v>27</x:v>
      </x:c>
      <x:c r="J20" s="16" t="n">
        <x:v>22</x:v>
      </x:c>
      <x:c r="K20" s="16" t="n">
        <x:v>16</x:v>
      </x:c>
      <x:c r="L20" s="19"/>
      <x:c r="M20"/>
      <x:c r="N20" s="19" t="n">
        <x:v>89</x:v>
      </x:c>
      <x:c r="O20" t="str">
        <x:v>lb</x:v>
      </x:c>
      <x:c r="P20" s="19" t="n">
        <x:v>88.18490487395103</x:v>
      </x:c>
      <x:c r="Q20" t="str">
        <x:v>lb</x:v>
      </x:c>
      <x:c r="R20" t="str">
        <x:v>NY</x:v>
      </x:c>
      <x:c r="S20" t="str">
        <x:v>ITHACA</x:v>
      </x:c>
      <x:c r="T20" t="str">
        <x:v>NJ</x:v>
      </x:c>
      <x:c r="U20" t="str">
        <x:v>NEW BRUNSWICK</x:v>
      </x:c>
      <x:c r="V20" t="str">
        <x:v>已匹配</x:v>
      </x:c>
      <x:c r="W20" s="16" t="n">
        <x:v>1</x:v>
      </x:c>
      <x:c r="X20" s="17" t="str">
        <x:v>Elite 400：1</x:v>
      </x:c>
    </x:row>
    <x:row r="21" ht="18">
      <x:c r="A21" s="12" t="str">
        <x:v>874146533931</x:v>
      </x:c>
      <x:c r="B21" s="3" t="n">
        <x:v>26.2</x:v>
      </x:c>
      <x:c r="C21" s="5" t="n">
        <x:v>76.725</x:v>
      </x:c>
      <x:c r="D21" s="5" t="n">
        <x:f>C21-B21</x:f>
        <x:v>50.52499999999999</x:v>
      </x:c>
      <x:c r="E21" t="str">
        <x:v>EL100V2</x:v>
      </x:c>
      <x:c r="F21" t="str">
        <x:v>已匹配</x:v>
      </x:c>
      <x:c r="G21" t="str">
        <x:v>EL100V22523100352974</x:v>
      </x:c>
      <x:c r="H21" t="str">
        <x:v>LOG-SRL26071262</x:v>
      </x:c>
      <x:c r="I21" s="16" t="n">
        <x:v>18</x:v>
      </x:c>
      <x:c r="J21" s="16" t="n">
        <x:v>13</x:v>
      </x:c>
      <x:c r="K21" s="16" t="n">
        <x:v>12</x:v>
      </x:c>
      <x:c r="L21" s="19" t="n">
        <x:v>29</x:v>
      </x:c>
      <x:c r="M21" t="str">
        <x:v>lb</x:v>
      </x:c>
      <x:c r="N21" s="19" t="n">
        <x:v>30</x:v>
      </x:c>
      <x:c r="O21" t="str">
        <x:v>lb</x:v>
      </x:c>
      <x:c r="P21" s="19" t="n">
        <x:v>25.000420531765116</x:v>
      </x:c>
      <x:c r="Q21" t="str">
        <x:v>lb</x:v>
      </x:c>
      <x:c r="R21" t="str">
        <x:v>AL</x:v>
      </x:c>
      <x:c r="S21" t="str">
        <x:v>MADISON</x:v>
      </x:c>
      <x:c r="T21" t="str">
        <x:v>NJ</x:v>
      </x:c>
      <x:c r="U21" t="str">
        <x:v>NEW BRUNSWICK</x:v>
      </x:c>
      <x:c r="V21" t="str">
        <x:v>已匹配</x:v>
      </x:c>
      <x:c r="W21" s="16" t="n">
        <x:v>11.34</x:v>
      </x:c>
      <x:c r="X21" s="17" t="str">
        <x:v>EL100V2：11.34</x:v>
      </x:c>
    </x:row>
    <x:row r="22" ht="18">
      <x:c r="A22" s="12" t="str">
        <x:v>874207551259</x:v>
      </x:c>
      <x:c r="B22" s="3" t="n">
        <x:v>23.61</x:v>
      </x:c>
      <x:c r="C22" s="5" t="n">
        <x:v>72.71</x:v>
      </x:c>
      <x:c r="D22" s="5" t="n">
        <x:f>C22-B22</x:f>
        <x:v>49.099999999999994</x:v>
      </x:c>
      <x:c r="E22" t="str">
        <x:v>AC70</x:v>
      </x:c>
      <x:c r="F22" t="str">
        <x:v>已匹配</x:v>
      </x:c>
      <x:c r="G22" t="str">
        <x:v>AC702539011206091</x:v>
      </x:c>
      <x:c r="H22" t="str">
        <x:v>LOG-SRD26073438</x:v>
      </x:c>
      <x:c r="I22" s="16" t="n">
        <x:v>16</x:v>
      </x:c>
      <x:c r="J22" s="16" t="n">
        <x:v>15</x:v>
      </x:c>
      <x:c r="K22" s="16" t="n">
        <x:v>12</x:v>
      </x:c>
      <x:c r="L22" s="19" t="n">
        <x:v>27.2</x:v>
      </x:c>
      <x:c r="M22" t="str">
        <x:v>lb</x:v>
      </x:c>
      <x:c r="N22" s="19" t="n">
        <x:v>28</x:v>
      </x:c>
      <x:c r="O22" t="str">
        <x:v>lb</x:v>
      </x:c>
      <x:c r="P22" s="19" t="n">
        <x:v>17.98972059428601</x:v>
      </x:c>
      <x:c r="Q22" t="str">
        <x:v>lb</x:v>
      </x:c>
      <x:c r="R22" t="str">
        <x:v>FL</x:v>
      </x:c>
      <x:c r="S22" t="str">
        <x:v>GRANT</x:v>
      </x:c>
      <x:c r="T22" t="str">
        <x:v>NJ</x:v>
      </x:c>
      <x:c r="U22" t="str">
        <x:v>NEW BRUNSWICK</x:v>
      </x:c>
      <x:c r="V22" t="str">
        <x:v>已匹配</x:v>
      </x:c>
      <x:c r="W22" s="16" t="n">
        <x:v>8.165</x:v>
      </x:c>
      <x:c r="X22" s="17" t="str">
        <x:v>AC70：8.165</x:v>
      </x:c>
    </x:row>
    <x:row r="23" ht="18">
      <x:c r="A23" s="12" t="str">
        <x:v>873910359390</x:v>
      </x:c>
      <x:c r="B23" s="3" t="n">
        <x:v>29.12</x:v>
      </x:c>
      <x:c r="C23" s="5" t="n">
        <x:v>76.725</x:v>
      </x:c>
      <x:c r="D23" s="5" t="n">
        <x:f>C23-B23</x:f>
        <x:v>47.60499999999999</x:v>
      </x:c>
      <x:c r="E23" t="str">
        <x:v>EL100V2</x:v>
      </x:c>
      <x:c r="F23" t="str">
        <x:v>已匹配</x:v>
      </x:c>
      <x:c r="G23" t="str">
        <x:v>EL100V22532070085748</x:v>
      </x:c>
      <x:c r="H23" t="str">
        <x:v>LOG-SRL26070871</x:v>
      </x:c>
      <x:c r="I23" s="16" t="n">
        <x:v>41</x:v>
      </x:c>
      <x:c r="J23" s="16" t="n">
        <x:v>41</x:v>
      </x:c>
      <x:c r="K23" s="16" t="n">
        <x:v>30</x:v>
      </x:c>
      <x:c r="L23" s="19" t="n">
        <x:v>29.7</x:v>
      </x:c>
      <x:c r="M23" t="str">
        <x:v>lb</x:v>
      </x:c>
      <x:c r="N23" s="19" t="n">
        <x:v>30</x:v>
      </x:c>
      <x:c r="O23" t="str">
        <x:v>lb</x:v>
      </x:c>
      <x:c r="P23" s="19" t="n">
        <x:v>27.182996927395404</x:v>
      </x:c>
      <x:c r="Q23" t="str">
        <x:v>lb</x:v>
      </x:c>
      <x:c r="R23" t="str">
        <x:v>GA</x:v>
      </x:c>
      <x:c r="S23" t="str">
        <x:v>ATLANTA</x:v>
      </x:c>
      <x:c r="T23" t="str">
        <x:v>NJ</x:v>
      </x:c>
      <x:c r="U23" t="str">
        <x:v>NEW BRUNSWICK</x:v>
      </x:c>
      <x:c r="V23" t="str">
        <x:v>已匹配</x:v>
      </x:c>
      <x:c r="W23" s="16" t="n">
        <x:v>12.338</x:v>
      </x:c>
      <x:c r="X23" s="17" t="str">
        <x:v>BLUETTI Elite 100 V2：12.338</x:v>
      </x:c>
    </x:row>
    <x:row r="24" ht="18">
      <x:c r="A24" s="12" t="str">
        <x:v>873244180333</x:v>
      </x:c>
      <x:c r="B24" s="3" t="n">
        <x:v>41.36</x:v>
      </x:c>
      <x:c r="C24" s="5" t="n">
        <x:v>88.869</x:v>
      </x:c>
      <x:c r="D24" s="5" t="n">
        <x:f>C24-B24</x:f>
        <x:v>47.509</x:v>
      </x:c>
      <x:c r="E24" t="str">
        <x:v>EL200</x:v>
      </x:c>
      <x:c r="F24" t="str">
        <x:v>已匹配</x:v>
      </x:c>
      <x:c r="G24" t="str">
        <x:v>Elite 200 V22541002430109</x:v>
      </x:c>
      <x:c r="H24" t="str">
        <x:v>LOG-SRD26062194</x:v>
      </x:c>
      <x:c r="I24" s="16" t="n">
        <x:v>19</x:v>
      </x:c>
      <x:c r="J24" s="16" t="n">
        <x:v>19</x:v>
      </x:c>
      <x:c r="K24" s="16" t="n">
        <x:v>15</x:v>
      </x:c>
      <x:c r="L24" s="19" t="n">
        <x:v>62.6</x:v>
      </x:c>
      <x:c r="M24" t="str">
        <x:v>lb</x:v>
      </x:c>
      <x:c r="N24" s="19" t="n">
        <x:v>63</x:v>
      </x:c>
      <x:c r="O24" t="str">
        <x:v>lb</x:v>
      </x:c>
      <x:c r="P24" s="19" t="n">
        <x:v>42.99014112605113</x:v>
      </x:c>
      <x:c r="Q24" t="str">
        <x:v>lb</x:v>
      </x:c>
      <x:c r="R24" t="str">
        <x:v>GA</x:v>
      </x:c>
      <x:c r="S24" t="str">
        <x:v>HOSCHTON</x:v>
      </x:c>
      <x:c r="T24" t="str">
        <x:v>NJ</x:v>
      </x:c>
      <x:c r="U24" t="str">
        <x:v>NEW BRUNSWICK</x:v>
      </x:c>
      <x:c r="V24" t="str">
        <x:v>已匹配</x:v>
      </x:c>
      <x:c r="W24" s="16" t="n">
        <x:v>19.504</x:v>
      </x:c>
      <x:c r="X24" s="17" t="str">
        <x:v>ELITE200V2：19.504</x:v>
      </x:c>
    </x:row>
    <x:row r="25" ht="18">
      <x:c r="A25" s="12" t="str">
        <x:v>873109426400</x:v>
      </x:c>
      <x:c r="B25" s="3" t="n">
        <x:v>31.75</x:v>
      </x:c>
      <x:c r="C25" s="5" t="n">
        <x:v>75.48</x:v>
      </x:c>
      <x:c r="D25" s="5" t="n">
        <x:f>C25-B25</x:f>
        <x:v>43.730000000000004</x:v>
      </x:c>
      <x:c r="E25"/>
      <x:c r="F25" t="str">
        <x:v>未匹配</x:v>
      </x:c>
      <x:c r="G25"/>
      <x:c r="H25"/>
      <x:c r="I25" s="16" t="n">
        <x:v>33</x:v>
      </x:c>
      <x:c r="J25" s="16" t="n">
        <x:v>30</x:v>
      </x:c>
      <x:c r="K25" s="16" t="n">
        <x:v>25</x:v>
      </x:c>
      <x:c r="L25" s="19" t="n">
        <x:v>12.5</x:v>
      </x:c>
      <x:c r="M25" t="str">
        <x:v>lb</x:v>
      </x:c>
      <x:c r="N25" s="19" t="n">
        <x:v>13</x:v>
      </x:c>
      <x:c r="O25" t="str">
        <x:v>lb</x:v>
      </x:c>
      <x:c r="P25" s="19" t="n">
        <x:v>6.988653711260619</x:v>
      </x:c>
      <x:c r="Q25" t="str">
        <x:v>lb</x:v>
      </x:c>
      <x:c r="R25" t="str">
        <x:v>NJ</x:v>
      </x:c>
      <x:c r="S25" t="str">
        <x:v>NEW BRUNSWICK</x:v>
      </x:c>
      <x:c r="T25" t="str">
        <x:v>TX</x:v>
      </x:c>
      <x:c r="U25" t="str">
        <x:v>Austin</x:v>
      </x:c>
      <x:c r="V25" t="str">
        <x:v>已匹配</x:v>
      </x:c>
      <x:c r="W25" s="16"/>
      <x:c r="X25" s="17"/>
    </x:row>
    <x:row r="26" ht="18">
      <x:c r="A26" s="12" t="str">
        <x:v>875028998897</x:v>
      </x:c>
      <x:c r="B26" s="3" t="n">
        <x:v>55.87</x:v>
      </x:c>
      <x:c r="C26" s="5" t="n">
        <x:v>99.539</x:v>
      </x:c>
      <x:c r="D26" s="5" t="n">
        <x:f>C26-B26</x:f>
        <x:v>43.669000000000004</x:v>
      </x:c>
      <x:c r="E26" t="str">
        <x:v>Elite 200 V2</x:v>
      </x:c>
      <x:c r="F26" t="str">
        <x:v>已匹配</x:v>
      </x:c>
      <x:c r="G26" t="str">
        <x:v>Elite 200 V22537022642545</x:v>
      </x:c>
      <x:c r="H26" t="str">
        <x:v>LOG-SRD26074726</x:v>
      </x:c>
      <x:c r="I26" s="16"/>
      <x:c r="J26" s="16"/>
      <x:c r="K26" s="16"/>
      <x:c r="L26" s="19"/>
      <x:c r="M26"/>
      <x:c r="N26" s="19"/>
      <x:c r="O26"/>
      <x:c r="P26" s="19"/>
      <x:c r="Q26"/>
      <x:c r="R26"/>
      <x:c r="S26"/>
      <x:c r="T26"/>
      <x:c r="U26"/>
      <x:c r="V26" t="str">
        <x:v>未匹配</x:v>
      </x:c>
      <x:c r="W26" s="16" t="n">
        <x:v>21.772</x:v>
      </x:c>
      <x:c r="X26" s="17" t="str">
        <x:v>ELITE200V2：21.772</x:v>
      </x:c>
    </x:row>
    <x:row r="27" ht="18">
      <x:c r="A27" s="12" t="str">
        <x:v>875130751304</x:v>
      </x:c>
      <x:c r="B27" s="3" t="n">
        <x:v>42.02</x:v>
      </x:c>
      <x:c r="C27" s="5" t="n">
        <x:v>84.403</x:v>
      </x:c>
      <x:c r="D27" s="5" t="n">
        <x:f>C27-B27</x:f>
        <x:v>42.383</x:v>
      </x:c>
      <x:c r="E27" t="str">
        <x:v>FRPOWER</x:v>
      </x:c>
      <x:c r="F27" t="str">
        <x:v>已匹配</x:v>
      </x:c>
      <x:c r="G27" t="str">
        <x:v>FP2542115928489</x:v>
      </x:c>
      <x:c r="H27" t="str">
        <x:v>LOG-SRL26074971</x:v>
      </x:c>
      <x:c r="I27" s="16"/>
      <x:c r="J27" s="16"/>
      <x:c r="K27" s="16"/>
      <x:c r="L27" s="19"/>
      <x:c r="M27"/>
      <x:c r="N27" s="19"/>
      <x:c r="O27"/>
      <x:c r="P27" s="19"/>
      <x:c r="Q27"/>
      <x:c r="R27"/>
      <x:c r="S27"/>
      <x:c r="T27"/>
      <x:c r="U27"/>
      <x:c r="V27" t="str">
        <x:v>未匹配</x:v>
      </x:c>
      <x:c r="W27" s="16" t="n">
        <x:v>0</x:v>
      </x:c>
      <x:c r="X27" s="17" t="str">
        <x:v>Fridge Power：0</x:v>
      </x:c>
    </x:row>
    <x:row r="28" ht="18">
      <x:c r="A28" s="12" t="str">
        <x:v>875134297499</x:v>
      </x:c>
      <x:c r="B28" s="3" t="n">
        <x:v>42.01</x:v>
      </x:c>
      <x:c r="C28" s="5" t="n">
        <x:v>84.381</x:v>
      </x:c>
      <x:c r="D28" s="5" t="n">
        <x:f>C28-B28</x:f>
        <x:v>42.371</x:v>
      </x:c>
      <x:c r="E28" t="str">
        <x:v>FRPOWER</x:v>
      </x:c>
      <x:c r="F28" t="str">
        <x:v>已匹配</x:v>
      </x:c>
      <x:c r="G28" t="str">
        <x:v>FP2543112485057</x:v>
      </x:c>
      <x:c r="H28" t="str">
        <x:v>LOG-SRL26074999</x:v>
      </x:c>
      <x:c r="I28" s="16"/>
      <x:c r="J28" s="16"/>
      <x:c r="K28" s="16"/>
      <x:c r="L28" s="19"/>
      <x:c r="M28"/>
      <x:c r="N28" s="19"/>
      <x:c r="O28"/>
      <x:c r="P28" s="19"/>
      <x:c r="Q28"/>
      <x:c r="R28"/>
      <x:c r="S28"/>
      <x:c r="T28"/>
      <x:c r="U28"/>
      <x:c r="V28" t="str">
        <x:v>未匹配</x:v>
      </x:c>
      <x:c r="W28" s="16" t="n">
        <x:v>19.731</x:v>
      </x:c>
      <x:c r="X28" s="17" t="str">
        <x:v>FridgePower：19.731</x:v>
      </x:c>
    </x:row>
    <x:row r="29" ht="18">
      <x:c r="A29" s="12" t="str">
        <x:v>874765539780</x:v>
      </x:c>
      <x:c r="B29" s="3" t="n">
        <x:v>30.61</x:v>
      </x:c>
      <x:c r="C29" s="5" t="n">
        <x:v>72.809</x:v>
      </x:c>
      <x:c r="D29" s="5" t="n">
        <x:f>C29-B29</x:f>
        <x:v>42.199</x:v>
      </x:c>
      <x:c r="E29" t="str">
        <x:v>AC200L</x:v>
      </x:c>
      <x:c r="F29" t="str">
        <x:v>已匹配</x:v>
      </x:c>
      <x:c r="G29" t="str">
        <x:v>AC200L2439001467611</x:v>
      </x:c>
      <x:c r="H29" t="str">
        <x:v>LOG-SRD26073899</x:v>
      </x:c>
      <x:c r="I29" s="16"/>
      <x:c r="J29" s="16"/>
      <x:c r="K29" s="16"/>
      <x:c r="L29" s="19"/>
      <x:c r="M29"/>
      <x:c r="N29" s="19"/>
      <x:c r="O29"/>
      <x:c r="P29" s="19"/>
      <x:c r="Q29"/>
      <x:c r="R29"/>
      <x:c r="S29"/>
      <x:c r="T29"/>
      <x:c r="U29"/>
      <x:c r="V29" t="str">
        <x:v>未匹配</x:v>
      </x:c>
      <x:c r="W29" s="16" t="n">
        <x:v>21.772</x:v>
      </x:c>
      <x:c r="X29" s="17" t="str">
        <x:v>AC200L：21.772</x:v>
      </x:c>
    </x:row>
    <x:row r="30" ht="18">
      <x:c r="A30" s="12" t="str">
        <x:v>873914785670</x:v>
      </x:c>
      <x:c r="B30" s="3" t="n">
        <x:v>26.25</x:v>
      </x:c>
      <x:c r="C30" s="5" t="n">
        <x:v>68.178</x:v>
      </x:c>
      <x:c r="D30" s="5" t="n">
        <x:f>C30-B30</x:f>
        <x:v>41.928</x:v>
      </x:c>
      <x:c r="E30" t="str">
        <x:v>EL100V2</x:v>
      </x:c>
      <x:c r="F30" t="str">
        <x:v>已匹配</x:v>
      </x:c>
      <x:c r="G30" t="str">
        <x:v>EL100V22542002250703</x:v>
      </x:c>
      <x:c r="H30" t="str">
        <x:v>LOG-SRL26070470</x:v>
      </x:c>
      <x:c r="I30" s="16" t="n">
        <x:v>14</x:v>
      </x:c>
      <x:c r="J30" s="16" t="n">
        <x:v>12</x:v>
      </x:c>
      <x:c r="K30" s="16" t="n">
        <x:v>11</x:v>
      </x:c>
      <x:c r="L30" s="19" t="n">
        <x:v>25.8</x:v>
      </x:c>
      <x:c r="M30" t="str">
        <x:v>lb</x:v>
      </x:c>
      <x:c r="N30" s="19" t="n">
        <x:v>26</x:v>
      </x:c>
      <x:c r="O30" t="str">
        <x:v>lb</x:v>
      </x:c>
      <x:c r="P30" s="19" t="n">
        <x:v>25.000420531765116</x:v>
      </x:c>
      <x:c r="Q30" t="str">
        <x:v>lb</x:v>
      </x:c>
      <x:c r="R30" t="str">
        <x:v>AL</x:v>
      </x:c>
      <x:c r="S30" t="str">
        <x:v>BLOUNTSVILLE</x:v>
      </x:c>
      <x:c r="T30" t="str">
        <x:v>NJ</x:v>
      </x:c>
      <x:c r="U30" t="str">
        <x:v>NEW BRUNSWICK</x:v>
      </x:c>
      <x:c r="V30" t="str">
        <x:v>已匹配</x:v>
      </x:c>
      <x:c r="W30" s="16" t="n">
        <x:v>11.34</x:v>
      </x:c>
      <x:c r="X30" s="17" t="str">
        <x:v>EL100V2：11.34</x:v>
      </x:c>
    </x:row>
    <x:row r="31" ht="18">
      <x:c r="A31" s="12" t="str">
        <x:v>873804755283</x:v>
      </x:c>
      <x:c r="B31" s="3" t="n">
        <x:v>41.86</x:v>
      </x:c>
      <x:c r="C31" s="5" t="n">
        <x:v>83.71</x:v>
      </x:c>
      <x:c r="D31" s="5" t="n">
        <x:f>C31-B31</x:f>
        <x:v>41.849999999999994</x:v>
      </x:c>
      <x:c r="E31" t="str">
        <x:v>FridgePower</x:v>
      </x:c>
      <x:c r="F31" t="str">
        <x:v>已匹配</x:v>
      </x:c>
      <x:c r="G31" t="str">
        <x:v>FP2604139100585</x:v>
      </x:c>
      <x:c r="H31" t="str">
        <x:v>LOG-SRL26070086</x:v>
      </x:c>
      <x:c r="I31" s="16" t="n">
        <x:v>30</x:v>
      </x:c>
      <x:c r="J31" s="16" t="n">
        <x:v>18</x:v>
      </x:c>
      <x:c r="K31" s="16" t="n">
        <x:v>8</x:v>
      </x:c>
      <x:c r="L31" s="19" t="n">
        <x:v>50.8</x:v>
      </x:c>
      <x:c r="M31" t="str">
        <x:v>lb</x:v>
      </x:c>
      <x:c r="N31" s="19" t="n">
        <x:v>51</x:v>
      </x:c>
      <x:c r="O31" t="str">
        <x:v>lb</x:v>
      </x:c>
      <x:c r="P31" s="19" t="n">
        <x:v>44.09245243697551</x:v>
      </x:c>
      <x:c r="Q31" t="str">
        <x:v>lb</x:v>
      </x:c>
      <x:c r="R31" t="str">
        <x:v>FL</x:v>
      </x:c>
      <x:c r="S31" t="str">
        <x:v>CLERMONT</x:v>
      </x:c>
      <x:c r="T31" t="str">
        <x:v>NJ</x:v>
      </x:c>
      <x:c r="U31" t="str">
        <x:v>NEW BRUNSWICK</x:v>
      </x:c>
      <x:c r="V31" t="str">
        <x:v>已匹配</x:v>
      </x:c>
      <x:c r="W31" s="16" t="n">
        <x:v>20</x:v>
      </x:c>
      <x:c r="X31" s="17" t="str">
        <x:v>FridgePower：20</x:v>
      </x:c>
    </x:row>
    <x:row r="32" ht="18">
      <x:c r="A32" s="12" t="str">
        <x:v>875020713663</x:v>
      </x:c>
      <x:c r="B32" s="3" t="n">
        <x:v>55.45</x:v>
      </x:c>
      <x:c r="C32" s="5" t="n">
        <x:v>96.602</x:v>
      </x:c>
      <x:c r="D32" s="5" t="n">
        <x:f>C32-B32</x:f>
        <x:v>41.152</x:v>
      </x:c>
      <x:c r="E32" t="str">
        <x:v>AC300</x:v>
      </x:c>
      <x:c r="F32" t="str">
        <x:v>已匹配</x:v>
      </x:c>
      <x:c r="G32" t="str">
        <x:v>AC3002224000438005</x:v>
      </x:c>
      <x:c r="H32" t="str">
        <x:v>LOG-CRP26075025</x:v>
      </x:c>
      <x:c r="I32" s="16"/>
      <x:c r="J32" s="16"/>
      <x:c r="K32" s="16"/>
      <x:c r="L32" s="19"/>
      <x:c r="M32"/>
      <x:c r="N32" s="19"/>
      <x:c r="O32"/>
      <x:c r="P32" s="19"/>
      <x:c r="Q32"/>
      <x:c r="R32"/>
      <x:c r="S32"/>
      <x:c r="T32"/>
      <x:c r="U32"/>
      <x:c r="V32" t="str">
        <x:v>未匹配</x:v>
      </x:c>
      <x:c r="W32" s="16" t="n">
        <x:v>1</x:v>
      </x:c>
      <x:c r="X32" s="17" t="str">
        <x:v>AC300：1</x:v>
      </x:c>
    </x:row>
    <x:row r="33" ht="18">
      <x:c r="A33" s="12" t="str">
        <x:v>874042653905</x:v>
      </x:c>
      <x:c r="B33" s="3" t="n">
        <x:v>33.66</x:v>
      </x:c>
      <x:c r="C33" s="5" t="n">
        <x:v>74.613</x:v>
      </x:c>
      <x:c r="D33" s="5" t="n">
        <x:f>C33-B33</x:f>
        <x:v>40.953</x:v>
      </x:c>
      <x:c r="E33" t="str">
        <x:v>EL300</x:v>
      </x:c>
      <x:c r="F33" t="str">
        <x:v>已匹配</x:v>
      </x:c>
      <x:c r="G33" t="str">
        <x:v>EL3002613132691982</x:v>
      </x:c>
      <x:c r="H33" t="str">
        <x:v>LOG-SRL26070958</x:v>
      </x:c>
      <x:c r="I33" s="16" t="n">
        <x:v>19</x:v>
      </x:c>
      <x:c r="J33" s="16" t="n">
        <x:v>16</x:v>
      </x:c>
      <x:c r="K33" s="16" t="n">
        <x:v>16</x:v>
      </x:c>
      <x:c r="L33" s="19" t="n">
        <x:v>65.4</x:v>
      </x:c>
      <x:c r="M33" t="str">
        <x:v>lb</x:v>
      </x:c>
      <x:c r="N33" s="19" t="n">
        <x:v>66</x:v>
      </x:c>
      <x:c r="O33" t="str">
        <x:v>lb</x:v>
      </x:c>
      <x:c r="P33" s="19" t="n">
        <x:v>42.99014112605113</x:v>
      </x:c>
      <x:c r="Q33" t="str">
        <x:v>lb</x:v>
      </x:c>
      <x:c r="R33" t="str">
        <x:v>OH</x:v>
      </x:c>
      <x:c r="S33" t="str">
        <x:v>DUPONT</x:v>
      </x:c>
      <x:c r="T33" t="str">
        <x:v>NJ</x:v>
      </x:c>
      <x:c r="U33" t="str">
        <x:v>NEW BRUNSWICK</x:v>
      </x:c>
      <x:c r="V33" t="str">
        <x:v>已匹配</x:v>
      </x:c>
      <x:c r="W33" s="16" t="n">
        <x:v>19.504</x:v>
      </x:c>
      <x:c r="X33" s="17" t="str">
        <x:v>AC200L：19.504</x:v>
      </x:c>
    </x:row>
    <x:row r="34" ht="18">
      <x:c r="A34" s="12" t="str">
        <x:v>873362675888</x:v>
      </x:c>
      <x:c r="B34" s="3" t="n">
        <x:v>44.6</x:v>
      </x:c>
      <x:c r="C34" s="5" t="n">
        <x:v>84.348</x:v>
      </x:c>
      <x:c r="D34" s="5" t="n">
        <x:f>C34-B34</x:f>
        <x:v>39.748</x:v>
      </x:c>
      <x:c r="E34" t="str">
        <x:v>AC300</x:v>
      </x:c>
      <x:c r="F34" t="str">
        <x:v>已匹配</x:v>
      </x:c>
      <x:c r="G34" t="str">
        <x:v>AC3002221001473503</x:v>
      </x:c>
      <x:c r="H34" t="str">
        <x:v>LOG-SRL26062173</x:v>
      </x:c>
      <x:c r="I34" s="16" t="n">
        <x:v>23</x:v>
      </x:c>
      <x:c r="J34" s="16" t="n">
        <x:v>19</x:v>
      </x:c>
      <x:c r="K34" s="16" t="n">
        <x:v>18</x:v>
      </x:c>
      <x:c r="L34" s="19" t="n">
        <x:v>52.5</x:v>
      </x:c>
      <x:c r="M34" t="str">
        <x:v>lb</x:v>
      </x:c>
      <x:c r="N34" s="19" t="n">
        <x:v>53</x:v>
      </x:c>
      <x:c r="O34" t="str">
        <x:v>lb</x:v>
      </x:c>
      <x:c r="P34" s="19" t="n">
        <x:v>48.50169768067307</x:v>
      </x:c>
      <x:c r="Q34" t="str">
        <x:v>lb</x:v>
      </x:c>
      <x:c r="R34" t="str">
        <x:v>FL</x:v>
      </x:c>
      <x:c r="S34" t="str">
        <x:v>DEBARY</x:v>
      </x:c>
      <x:c r="T34" t="str">
        <x:v>NJ</x:v>
      </x:c>
      <x:c r="U34" t="str">
        <x:v>NEW BRUNSWICK</x:v>
      </x:c>
      <x:c r="V34" t="str">
        <x:v>已匹配</x:v>
      </x:c>
      <x:c r="W34" s="16" t="n">
        <x:v>1</x:v>
      </x:c>
      <x:c r="X34" s="17" t="str">
        <x:v>AC300：1</x:v>
      </x:c>
    </x:row>
    <x:row r="35" ht="18">
      <x:c r="A35" s="12" t="str">
        <x:v>874284365236</x:v>
      </x:c>
      <x:c r="B35" s="3" t="n">
        <x:v>44.42</x:v>
      </x:c>
      <x:c r="C35" s="5" t="n">
        <x:v>84.128</x:v>
      </x:c>
      <x:c r="D35" s="5" t="n">
        <x:f>C35-B35</x:f>
        <x:v>39.708</x:v>
      </x:c>
      <x:c r="E35" t="str">
        <x:v>AC300</x:v>
      </x:c>
      <x:c r="F35" t="str">
        <x:v>已匹配</x:v>
      </x:c>
      <x:c r="G35" t="str">
        <x:v>AC3002512000790361</x:v>
      </x:c>
      <x:c r="H35" t="str">
        <x:v>LOG-SRI26071814</x:v>
      </x:c>
      <x:c r="I35" s="16" t="n">
        <x:v>25</x:v>
      </x:c>
      <x:c r="J35" s="16" t="n">
        <x:v>21</x:v>
      </x:c>
      <x:c r="K35" s="16" t="n">
        <x:v>17</x:v>
      </x:c>
      <x:c r="L35" s="19" t="n">
        <x:v>55.3</x:v>
      </x:c>
      <x:c r="M35" t="str">
        <x:v>lb</x:v>
      </x:c>
      <x:c r="N35" s="19" t="n">
        <x:v>56</x:v>
      </x:c>
      <x:c r="O35" t="str">
        <x:v>lb</x:v>
      </x:c>
      <x:c r="P35" s="19" t="n">
        <x:v>47.61984863193356</x:v>
      </x:c>
      <x:c r="Q35" t="str">
        <x:v>lb</x:v>
      </x:c>
      <x:c r="R35" t="str">
        <x:v>GA</x:v>
      </x:c>
      <x:c r="S35" t="str">
        <x:v>JONESBORO</x:v>
      </x:c>
      <x:c r="T35" t="str">
        <x:v>NJ</x:v>
      </x:c>
      <x:c r="U35" t="str">
        <x:v>NEW BRUNSWICK</x:v>
      </x:c>
      <x:c r="V35" t="str">
        <x:v>已匹配</x:v>
      </x:c>
      <x:c r="W35" s="16" t="n">
        <x:v>1</x:v>
      </x:c>
      <x:c r="X35" s="17" t="str">
        <x:v>AC300：1</x:v>
      </x:c>
    </x:row>
    <x:row r="36" ht="18">
      <x:c r="A36" s="12" t="str">
        <x:v>874658545575</x:v>
      </x:c>
      <x:c r="B36" s="3" t="n">
        <x:v>23.47</x:v>
      </x:c>
      <x:c r="C36" s="5" t="n">
        <x:v>62.711</x:v>
      </x:c>
      <x:c r="D36" s="5" t="n">
        <x:f>C36-B36</x:f>
        <x:v>39.241</x:v>
      </x:c>
      <x:c r="E36" t="str">
        <x:v>AC200L</x:v>
      </x:c>
      <x:c r="F36" t="str">
        <x:v>已匹配</x:v>
      </x:c>
      <x:c r="G36" t="str">
        <x:v>AC200L2450001902634</x:v>
      </x:c>
      <x:c r="H36" t="str">
        <x:v>LOG-SRD26073516</x:v>
      </x:c>
      <x:c r="I36" s="16" t="n">
        <x:v>23</x:v>
      </x:c>
      <x:c r="J36" s="16" t="n">
        <x:v>22</x:v>
      </x:c>
      <x:c r="K36" s="16" t="n">
        <x:v>17</x:v>
      </x:c>
      <x:c r="L36" s="19" t="n">
        <x:v>73.7</x:v>
      </x:c>
      <x:c r="M36" t="str">
        <x:v>lb</x:v>
      </x:c>
      <x:c r="N36" s="19" t="n">
        <x:v>74</x:v>
      </x:c>
      <x:c r="O36" t="str">
        <x:v>lb</x:v>
      </x:c>
      <x:c r="P36" s="19" t="n">
        <x:v>42.99014112605113</x:v>
      </x:c>
      <x:c r="Q36" t="str">
        <x:v>lb</x:v>
      </x:c>
      <x:c r="R36" t="str">
        <x:v>CT</x:v>
      </x:c>
      <x:c r="S36" t="str">
        <x:v>HAMDEN</x:v>
      </x:c>
      <x:c r="T36" t="str">
        <x:v>NJ</x:v>
      </x:c>
      <x:c r="U36" t="str">
        <x:v>NEW BRUNSWICK</x:v>
      </x:c>
      <x:c r="V36" t="str">
        <x:v>已匹配</x:v>
      </x:c>
      <x:c r="W36" s="16" t="n">
        <x:v>19.504</x:v>
      </x:c>
      <x:c r="X36" s="17" t="str">
        <x:v>AC200L：19.504</x:v>
      </x:c>
    </x:row>
    <x:row r="37" ht="18">
      <x:c r="A37" s="12" t="str">
        <x:v>874349396659</x:v>
      </x:c>
      <x:c r="B37" s="3" t="n">
        <x:v>34.54</x:v>
      </x:c>
      <x:c r="C37" s="5" t="n">
        <x:v>71.995</x:v>
      </x:c>
      <x:c r="D37" s="5" t="n">
        <x:f>C37-B37</x:f>
        <x:v>37.455000000000005</x:v>
      </x:c>
      <x:c r="E37" t="str">
        <x:v>FP2</x:v>
      </x:c>
      <x:c r="F37" t="str">
        <x:v>已匹配</x:v>
      </x:c>
      <x:c r="G37" t="str">
        <x:v>FP2604137071496</x:v>
      </x:c>
      <x:c r="H37" t="str">
        <x:v>LOG-SRL26072073</x:v>
      </x:c>
      <x:c r="I37" s="16"/>
      <x:c r="J37" s="16"/>
      <x:c r="K37" s="16"/>
      <x:c r="L37" s="19"/>
      <x:c r="M37"/>
      <x:c r="N37" s="19"/>
      <x:c r="O37"/>
      <x:c r="P37" s="19"/>
      <x:c r="Q37"/>
      <x:c r="R37"/>
      <x:c r="S37"/>
      <x:c r="T37"/>
      <x:c r="U37"/>
      <x:c r="V37" t="str">
        <x:v>未匹配</x:v>
      </x:c>
      <x:c r="W37" s="16" t="n">
        <x:v>20</x:v>
      </x:c>
      <x:c r="X37" s="17" t="str">
        <x:v>FridgePower：20</x:v>
      </x:c>
    </x:row>
    <x:row r="38" ht="18">
      <x:c r="A38" s="12" t="str">
        <x:v>874825347598</x:v>
      </x:c>
      <x:c r="B38" s="3" t="n">
        <x:v>34.6</x:v>
      </x:c>
      <x:c r="C38" s="5" t="n">
        <x:v>71.687</x:v>
      </x:c>
      <x:c r="D38" s="5" t="n">
        <x:f>C38-B38</x:f>
        <x:v>37.086999999999996</x:v>
      </x:c>
      <x:c r="E38" t="str">
        <x:v>FP2</x:v>
      </x:c>
      <x:c r="F38" t="str">
        <x:v>已匹配</x:v>
      </x:c>
      <x:c r="G38" t="str">
        <x:v>FP2604137177596</x:v>
      </x:c>
      <x:c r="H38" t="str">
        <x:v>LOG-SRD26074040</x:v>
      </x:c>
      <x:c r="I38" s="16" t="n">
        <x:v>30</x:v>
      </x:c>
      <x:c r="J38" s="16" t="n">
        <x:v>18</x:v>
      </x:c>
      <x:c r="K38" s="16" t="n">
        <x:v>7</x:v>
      </x:c>
      <x:c r="L38" s="19" t="n">
        <x:v>50.8</x:v>
      </x:c>
      <x:c r="M38" t="str">
        <x:v>lb</x:v>
      </x:c>
      <x:c r="N38" s="19" t="n">
        <x:v>51</x:v>
      </x:c>
      <x:c r="O38" t="str">
        <x:v>lb</x:v>
      </x:c>
      <x:c r="P38" s="19" t="n">
        <x:v>44.09245243697551</x:v>
      </x:c>
      <x:c r="Q38" t="str">
        <x:v>lb</x:v>
      </x:c>
      <x:c r="R38" t="str">
        <x:v>NC</x:v>
      </x:c>
      <x:c r="S38" t="str">
        <x:v>DENVER</x:v>
      </x:c>
      <x:c r="T38" t="str">
        <x:v>NJ</x:v>
      </x:c>
      <x:c r="U38" t="str">
        <x:v>NEW BRUNSWICK</x:v>
      </x:c>
      <x:c r="V38" t="str">
        <x:v>已匹配</x:v>
      </x:c>
      <x:c r="W38" s="16" t="n">
        <x:v>20</x:v>
      </x:c>
      <x:c r="X38" s="17" t="str">
        <x:v>FridgePower：20</x:v>
      </x:c>
    </x:row>
    <x:row r="39" ht="18">
      <x:c r="A39" s="12" t="str">
        <x:v>874712976955</x:v>
      </x:c>
      <x:c r="B39" s="3" t="n">
        <x:v>30.61</x:v>
      </x:c>
      <x:c r="C39" s="5" t="n">
        <x:v>67.166</x:v>
      </x:c>
      <x:c r="D39" s="5" t="n">
        <x:f>C39-B39</x:f>
        <x:v>36.556</x:v>
      </x:c>
      <x:c r="E39" t="str">
        <x:v>Elite 200 V2</x:v>
      </x:c>
      <x:c r="F39" t="str">
        <x:v>已匹配</x:v>
      </x:c>
      <x:c r="G39" t="str">
        <x:v>Elite 200 V22620130288148</x:v>
      </x:c>
      <x:c r="H39" t="str">
        <x:v>LOG-SRD26073661</x:v>
      </x:c>
      <x:c r="I39" s="16" t="n">
        <x:v>19</x:v>
      </x:c>
      <x:c r="J39" s="16" t="n">
        <x:v>17</x:v>
      </x:c>
      <x:c r="K39" s="16" t="n">
        <x:v>14</x:v>
      </x:c>
      <x:c r="L39" s="19" t="n">
        <x:v>59.1</x:v>
      </x:c>
      <x:c r="M39" t="str">
        <x:v>lb</x:v>
      </x:c>
      <x:c r="N39" s="19" t="n">
        <x:v>60</x:v>
      </x:c>
      <x:c r="O39" t="str">
        <x:v>lb</x:v>
      </x:c>
      <x:c r="P39" s="19" t="n">
        <x:v>47.99463447764784</x:v>
      </x:c>
      <x:c r="Q39" t="str">
        <x:v>lb</x:v>
      </x:c>
      <x:c r="R39" t="str">
        <x:v>MA</x:v>
      </x:c>
      <x:c r="S39" t="str">
        <x:v>BOSTON</x:v>
      </x:c>
      <x:c r="T39" t="str">
        <x:v>NJ</x:v>
      </x:c>
      <x:c r="U39" t="str">
        <x:v>NEW BRUNSWICK</x:v>
      </x:c>
      <x:c r="V39" t="str">
        <x:v>已匹配</x:v>
      </x:c>
      <x:c r="W39" s="16" t="n">
        <x:v>21.772</x:v>
      </x:c>
      <x:c r="X39" s="17" t="str">
        <x:v>ELITE200V2：21.772</x:v>
      </x:c>
    </x:row>
    <x:row r="40" ht="18">
      <x:c r="A40" s="12" t="str">
        <x:v>874587829088</x:v>
      </x:c>
      <x:c r="B40" s="3" t="n">
        <x:v>36.7</x:v>
      </x:c>
      <x:c r="C40" s="5" t="n">
        <x:v>71.973</x:v>
      </x:c>
      <x:c r="D40" s="5" t="n">
        <x:f>C40-B40</x:f>
        <x:v>35.272999999999996</x:v>
      </x:c>
      <x:c r="E40" t="str">
        <x:v>AC300</x:v>
      </x:c>
      <x:c r="F40" t="str">
        <x:v>已匹配</x:v>
      </x:c>
      <x:c r="G40" t="str">
        <x:v>AC3002233000181346</x:v>
      </x:c>
      <x:c r="H40" t="str">
        <x:v>LOG-CRP26073816</x:v>
      </x:c>
      <x:c r="I40" s="16"/>
      <x:c r="J40" s="16"/>
      <x:c r="K40" s="16"/>
      <x:c r="L40" s="19"/>
      <x:c r="M40"/>
      <x:c r="N40" s="19"/>
      <x:c r="O40"/>
      <x:c r="P40" s="19"/>
      <x:c r="Q40"/>
      <x:c r="R40"/>
      <x:c r="S40"/>
      <x:c r="T40"/>
      <x:c r="U40"/>
      <x:c r="V40" t="str">
        <x:v>未匹配</x:v>
      </x:c>
      <x:c r="W40" s="16" t="n">
        <x:v>1</x:v>
      </x:c>
      <x:c r="X40" s="17" t="str">
        <x:v>商品名称为空：1</x:v>
      </x:c>
    </x:row>
    <x:row r="41" ht="18">
      <x:c r="A41" s="12" t="str">
        <x:v>874036973093</x:v>
      </x:c>
      <x:c r="B41" s="3" t="n">
        <x:v>36.63</x:v>
      </x:c>
      <x:c r="C41" s="5" t="n">
        <x:v>71.544</x:v>
      </x:c>
      <x:c r="D41" s="5" t="n">
        <x:f>C41-B41</x:f>
        <x:v>34.913999999999994</x:v>
      </x:c>
      <x:c r="E41" t="str">
        <x:v>FP2</x:v>
      </x:c>
      <x:c r="F41" t="str">
        <x:v>已匹配</x:v>
      </x:c>
      <x:c r="G41" t="str">
        <x:v>FP2543112120624</x:v>
      </x:c>
      <x:c r="H41" t="str">
        <x:v>LOG-SRD26071378</x:v>
      </x:c>
      <x:c r="I41" s="16" t="n">
        <x:v>76</x:v>
      </x:c>
      <x:c r="J41" s="16" t="n">
        <x:v>46</x:v>
      </x:c>
      <x:c r="K41" s="16" t="n">
        <x:v>20</x:v>
      </x:c>
      <x:c r="L41" s="19" t="n">
        <x:v>51</x:v>
      </x:c>
      <x:c r="M41" t="str">
        <x:v>lb</x:v>
      </x:c>
      <x:c r="N41" s="19" t="n">
        <x:v>51</x:v>
      </x:c>
      <x:c r="O41" t="str">
        <x:v>lb</x:v>
      </x:c>
      <x:c r="P41" s="19" t="n">
        <x:v>47.399386369748676</x:v>
      </x:c>
      <x:c r="Q41" t="str">
        <x:v>lb</x:v>
      </x:c>
      <x:c r="R41" t="str">
        <x:v>SC</x:v>
      </x:c>
      <x:c r="S41" t="str">
        <x:v>CONWAY</x:v>
      </x:c>
      <x:c r="T41" t="str">
        <x:v>NJ</x:v>
      </x:c>
      <x:c r="U41" t="str">
        <x:v>NEW BRUNSWICK</x:v>
      </x:c>
      <x:c r="V41" t="str">
        <x:v>已匹配</x:v>
      </x:c>
      <x:c r="W41" s="16" t="n">
        <x:v>21.5</x:v>
      </x:c>
      <x:c r="X41" s="17" t="str">
        <x:v>FRPOWER：21.5</x:v>
      </x:c>
    </x:row>
    <x:row r="42" ht="18">
      <x:c r="A42" s="12" t="str">
        <x:v>873132283590</x:v>
      </x:c>
      <x:c r="B42" s="3" t="n">
        <x:v>37.69</x:v>
      </x:c>
      <x:c r="C42" s="5" t="n">
        <x:v>72.138</x:v>
      </x:c>
      <x:c r="D42" s="5" t="n">
        <x:f>C42-B42</x:f>
        <x:v>34.44800000000001</x:v>
      </x:c>
      <x:c r="E42"/>
      <x:c r="F42" t="str">
        <x:v>已匹配</x:v>
      </x:c>
      <x:c r="G42"/>
      <x:c r="H42" t="str">
        <x:v>LOG-SRL26061700</x:v>
      </x:c>
      <x:c r="I42" s="16" t="n">
        <x:v>30</x:v>
      </x:c>
      <x:c r="J42" s="16" t="n">
        <x:v>19</x:v>
      </x:c>
      <x:c r="K42" s="16" t="n">
        <x:v>8</x:v>
      </x:c>
      <x:c r="L42" s="19" t="n">
        <x:v>51.1</x:v>
      </x:c>
      <x:c r="M42" t="str">
        <x:v>lb</x:v>
      </x:c>
      <x:c r="N42" s="19" t="n">
        <x:v>52</x:v>
      </x:c>
      <x:c r="O42" t="str">
        <x:v>lb</x:v>
      </x:c>
      <x:c r="P42" s="19" t="n">
        <x:v>44.09245243697551</x:v>
      </x:c>
      <x:c r="Q42" t="str">
        <x:v>lb</x:v>
      </x:c>
      <x:c r="R42" t="str">
        <x:v>MI</x:v>
      </x:c>
      <x:c r="S42" t="str">
        <x:v>CLINTON TOWNSHIP</x:v>
      </x:c>
      <x:c r="T42" t="str">
        <x:v>NJ</x:v>
      </x:c>
      <x:c r="U42" t="str">
        <x:v>NEW BRUNSWICK</x:v>
      </x:c>
      <x:c r="V42" t="str">
        <x:v>已匹配</x:v>
      </x:c>
      <x:c r="W42" s="16" t="n">
        <x:v>20</x:v>
      </x:c>
      <x:c r="X42" s="17" t="str">
        <x:v>FridgePower：20</x:v>
      </x:c>
    </x:row>
    <x:row r="43" ht="18">
      <x:c r="A43" s="12" t="str">
        <x:v>874289169525</x:v>
      </x:c>
      <x:c r="B43" s="3" t="n">
        <x:v>22.58</x:v>
      </x:c>
      <x:c r="C43" s="5" t="n">
        <x:v>55.363</x:v>
      </x:c>
      <x:c r="D43" s="5" t="n">
        <x:f>C43-B43</x:f>
        <x:v>32.783</x:v>
      </x:c>
      <x:c r="E43" t="str">
        <x:v>EL100V2</x:v>
      </x:c>
      <x:c r="F43" t="str">
        <x:v>已匹配</x:v>
      </x:c>
      <x:c r="G43" t="str">
        <x:v>EL100V22537005256355</x:v>
      </x:c>
      <x:c r="H43" t="str">
        <x:v>LOG-SRL26071866</x:v>
      </x:c>
      <x:c r="I43" s="16" t="n">
        <x:v>16</x:v>
      </x:c>
      <x:c r="J43" s="16" t="n">
        <x:v>16</x:v>
      </x:c>
      <x:c r="K43" s="16" t="n">
        <x:v>12</x:v>
      </x:c>
      <x:c r="L43" s="19" t="n">
        <x:v>29.7</x:v>
      </x:c>
      <x:c r="M43" t="str">
        <x:v>lb</x:v>
      </x:c>
      <x:c r="N43" s="19" t="n">
        <x:v>30</x:v>
      </x:c>
      <x:c r="O43" t="str">
        <x:v>lb</x:v>
      </x:c>
      <x:c r="P43" s="19" t="n">
        <x:v>25.35316015126092</x:v>
      </x:c>
      <x:c r="Q43" t="str">
        <x:v>lb</x:v>
      </x:c>
      <x:c r="R43" t="str">
        <x:v>NC</x:v>
      </x:c>
      <x:c r="S43" t="str">
        <x:v>SUMMERFIELD</x:v>
      </x:c>
      <x:c r="T43" t="str">
        <x:v>NJ</x:v>
      </x:c>
      <x:c r="U43" t="str">
        <x:v>NEW BRUNSWICK</x:v>
      </x:c>
      <x:c r="V43" t="str">
        <x:v>已匹配</x:v>
      </x:c>
      <x:c r="W43" s="16" t="n">
        <x:v>1</x:v>
      </x:c>
      <x:c r="X43" s="17" t="str">
        <x:v>Elite 100 V2：1</x:v>
      </x:c>
    </x:row>
    <x:row r="44" ht="18">
      <x:c r="A44" s="12" t="str">
        <x:v>873475760387</x:v>
      </x:c>
      <x:c r="B44" s="3" t="n">
        <x:v>23.88</x:v>
      </x:c>
      <x:c r="C44" s="5" t="n">
        <x:v>56.243</x:v>
      </x:c>
      <x:c r="D44" s="5" t="n">
        <x:f>C44-B44</x:f>
        <x:v>32.363</x:v>
      </x:c>
      <x:c r="E44" t="str">
        <x:v>FridgePower</x:v>
      </x:c>
      <x:c r="F44" t="str">
        <x:v>已匹配</x:v>
      </x:c>
      <x:c r="G44" t="str">
        <x:v>FP2604137198368</x:v>
      </x:c>
      <x:c r="H44" t="str">
        <x:v>LOG-SRL26062415</x:v>
      </x:c>
      <x:c r="I44" s="16" t="n">
        <x:v>31</x:v>
      </x:c>
      <x:c r="J44" s="16" t="n">
        <x:v>19</x:v>
      </x:c>
      <x:c r="K44" s="16" t="n">
        <x:v>8</x:v>
      </x:c>
      <x:c r="L44" s="19" t="n">
        <x:v>51.3</x:v>
      </x:c>
      <x:c r="M44" t="str">
        <x:v>lb</x:v>
      </x:c>
      <x:c r="N44" s="19" t="n">
        <x:v>52</x:v>
      </x:c>
      <x:c r="O44" t="str">
        <x:v>lb</x:v>
      </x:c>
      <x:c r="P44" s="19" t="n">
        <x:v>44.09245243697551</x:v>
      </x:c>
      <x:c r="Q44" t="str">
        <x:v>lb</x:v>
      </x:c>
      <x:c r="R44" t="str">
        <x:v>PA</x:v>
      </x:c>
      <x:c r="S44" t="str">
        <x:v>SOUTHAMPTON</x:v>
      </x:c>
      <x:c r="T44" t="str">
        <x:v>NJ</x:v>
      </x:c>
      <x:c r="U44" t="str">
        <x:v>NEW BRUNSWICK</x:v>
      </x:c>
      <x:c r="V44" t="str">
        <x:v>已匹配</x:v>
      </x:c>
      <x:c r="W44" s="16" t="n">
        <x:v>20</x:v>
      </x:c>
      <x:c r="X44" s="17" t="str">
        <x:v>FridgePower：20</x:v>
      </x:c>
    </x:row>
    <x:row r="45" ht="18">
      <x:c r="A45" s="12" t="str">
        <x:v>873124536230</x:v>
      </x:c>
      <x:c r="B45" s="3" t="n">
        <x:v>73.15</x:v>
      </x:c>
      <x:c r="C45" s="5" t="n">
        <x:v>104.544</x:v>
      </x:c>
      <x:c r="D45" s="5" t="n">
        <x:f>C45-B45</x:f>
        <x:v>31.39399999999999</x:v>
      </x:c>
      <x:c r="E45" t="str">
        <x:v>EL400</x:v>
      </x:c>
      <x:c r="F45" t="str">
        <x:v>已匹配</x:v>
      </x:c>
      <x:c r="G45" t="str">
        <x:v>EL4002604130341605</x:v>
      </x:c>
      <x:c r="H45" t="str">
        <x:v>LOG-SRD26061707</x:v>
      </x:c>
      <x:c r="I45" s="16" t="n">
        <x:v>27</x:v>
      </x:c>
      <x:c r="J45" s="16" t="n">
        <x:v>22</x:v>
      </x:c>
      <x:c r="K45" s="16" t="n">
        <x:v>17</x:v>
      </x:c>
      <x:c r="L45" s="19" t="n">
        <x:v>99.9</x:v>
      </x:c>
      <x:c r="M45" t="str">
        <x:v>lb</x:v>
      </x:c>
      <x:c r="N45" s="19" t="n">
        <x:v>100</x:v>
      </x:c>
      <x:c r="O45" t="str">
        <x:v>lb</x:v>
      </x:c>
      <x:c r="P45" s="19" t="n">
        <x:v>59.98778154050519</x:v>
      </x:c>
      <x:c r="Q45" t="str">
        <x:v>lb</x:v>
      </x:c>
      <x:c r="R45" t="str">
        <x:v>NC</x:v>
      </x:c>
      <x:c r="S45" t="str">
        <x:v>BOONE</x:v>
      </x:c>
      <x:c r="T45" t="str">
        <x:v>NJ</x:v>
      </x:c>
      <x:c r="U45" t="str">
        <x:v>NEW BRUNSWICK</x:v>
      </x:c>
      <x:c r="V45" t="str">
        <x:v>已匹配</x:v>
      </x:c>
      <x:c r="W45" s="16" t="n">
        <x:v>27.216</x:v>
      </x:c>
      <x:c r="X45" s="17" t="str">
        <x:v>ELITE400：27.216</x:v>
      </x:c>
    </x:row>
    <x:row r="46" ht="18">
      <x:c r="A46" s="12" t="str">
        <x:v>874147241971</x:v>
      </x:c>
      <x:c r="B46" s="3" t="n">
        <x:v>23.02</x:v>
      </x:c>
      <x:c r="C46" s="5" t="n">
        <x:v>53.933</x:v>
      </x:c>
      <x:c r="D46" s="5" t="n">
        <x:f>C46-B46</x:f>
        <x:v>30.913</x:v>
      </x:c>
      <x:c r="E46" t="str">
        <x:v>EL100V2</x:v>
      </x:c>
      <x:c r="F46" t="str">
        <x:v>已匹配</x:v>
      </x:c>
      <x:c r="G46" t="str">
        <x:v>EL100V22522010423113</x:v>
      </x:c>
      <x:c r="H46" t="str">
        <x:v>LOG-SRL26071276</x:v>
      </x:c>
      <x:c r="I46" s="16" t="n">
        <x:v>16</x:v>
      </x:c>
      <x:c r="J46" s="16" t="n">
        <x:v>16</x:v>
      </x:c>
      <x:c r="K46" s="16" t="n">
        <x:v>12</x:v>
      </x:c>
      <x:c r="L46" s="19" t="n">
        <x:v>28.4</x:v>
      </x:c>
      <x:c r="M46" t="str">
        <x:v>lb</x:v>
      </x:c>
      <x:c r="N46" s="19" t="n">
        <x:v>29</x:v>
      </x:c>
      <x:c r="O46" t="str">
        <x:v>lb</x:v>
      </x:c>
      <x:c r="P46" s="19" t="n">
        <x:v>26.455471462185308</x:v>
      </x:c>
      <x:c r="Q46" t="str">
        <x:v>lb</x:v>
      </x:c>
      <x:c r="R46" t="str">
        <x:v>OH</x:v>
      </x:c>
      <x:c r="S46" t="str">
        <x:v>AVON LAKE</x:v>
      </x:c>
      <x:c r="T46" t="str">
        <x:v>NJ</x:v>
      </x:c>
      <x:c r="U46" t="str">
        <x:v>NEW BRUNSWICK</x:v>
      </x:c>
      <x:c r="V46" t="str">
        <x:v>已匹配</x:v>
      </x:c>
      <x:c r="W46" s="16" t="n">
        <x:v>1</x:v>
      </x:c>
      <x:c r="X46" s="17" t="str">
        <x:v>Elite 100 V2：1</x:v>
      </x:c>
    </x:row>
    <x:row r="47" ht="18">
      <x:c r="A47" s="12" t="str">
        <x:v>874085171465</x:v>
      </x:c>
      <x:c r="B47" s="3" t="n">
        <x:v>21.67</x:v>
      </x:c>
      <x:c r="C47" s="5" t="n">
        <x:v>51.216</x:v>
      </x:c>
      <x:c r="D47" s="5" t="n">
        <x:f>C47-B47</x:f>
        <x:v>29.546</x:v>
      </x:c>
      <x:c r="E47" t="str">
        <x:v>EL100V2</x:v>
      </x:c>
      <x:c r="F47" t="str">
        <x:v>已匹配</x:v>
      </x:c>
      <x:c r="G47" t="str">
        <x:v>EL100V22542002821789</x:v>
      </x:c>
      <x:c r="H47" t="str">
        <x:v>LOG-SRL26070954</x:v>
      </x:c>
      <x:c r="I47" s="16" t="n">
        <x:v>15</x:v>
      </x:c>
      <x:c r="J47" s="16" t="n">
        <x:v>13</x:v>
      </x:c>
      <x:c r="K47" s="16" t="n">
        <x:v>11</x:v>
      </x:c>
      <x:c r="L47" s="19" t="n">
        <x:v>26.4</x:v>
      </x:c>
      <x:c r="M47" t="str">
        <x:v>lb</x:v>
      </x:c>
      <x:c r="N47" s="19" t="n">
        <x:v>27</x:v>
      </x:c>
      <x:c r="O47" t="str">
        <x:v>lb</x:v>
      </x:c>
      <x:c r="P47" s="19" t="n">
        <x:v>25.000420531765116</x:v>
      </x:c>
      <x:c r="Q47" t="str">
        <x:v>lb</x:v>
      </x:c>
      <x:c r="R47" t="str">
        <x:v>PA</x:v>
      </x:c>
      <x:c r="S47" t="str">
        <x:v>PITTSBURGH</x:v>
      </x:c>
      <x:c r="T47" t="str">
        <x:v>NJ</x:v>
      </x:c>
      <x:c r="U47" t="str">
        <x:v>NEW BRUNSWICK</x:v>
      </x:c>
      <x:c r="V47" t="str">
        <x:v>已匹配</x:v>
      </x:c>
      <x:c r="W47" s="16" t="n">
        <x:v>11.34</x:v>
      </x:c>
      <x:c r="X47" s="17" t="str">
        <x:v>EL100V2：11.34</x:v>
      </x:c>
    </x:row>
    <x:row r="48" ht="18">
      <x:c r="A48" s="12" t="str">
        <x:v>874909437335</x:v>
      </x:c>
      <x:c r="B48" s="3" t="n">
        <x:v>23.15</x:v>
      </x:c>
      <x:c r="C48" s="5" t="n">
        <x:v>52.14</x:v>
      </x:c>
      <x:c r="D48" s="5" t="n">
        <x:f>C48-B48</x:f>
        <x:v>28.990000000000002</x:v>
      </x:c>
      <x:c r="E48" t="str">
        <x:v>EL100V2</x:v>
      </x:c>
      <x:c r="F48" t="str">
        <x:v>已匹配</x:v>
      </x:c>
      <x:c r="G48" t="str">
        <x:v>EL100V22534009763257</x:v>
      </x:c>
      <x:c r="H48" t="str">
        <x:v>LOG-SRL26074265</x:v>
      </x:c>
      <x:c r="I48" s="16"/>
      <x:c r="J48" s="16"/>
      <x:c r="K48" s="16"/>
      <x:c r="L48" s="19"/>
      <x:c r="M48"/>
      <x:c r="N48" s="19"/>
      <x:c r="O48"/>
      <x:c r="P48" s="19"/>
      <x:c r="Q48"/>
      <x:c r="R48"/>
      <x:c r="S48"/>
      <x:c r="T48"/>
      <x:c r="U48"/>
      <x:c r="V48" t="str">
        <x:v>未匹配</x:v>
      </x:c>
      <x:c r="W48" s="16" t="n">
        <x:v>1</x:v>
      </x:c>
      <x:c r="X48" s="17" t="str">
        <x:v>Elite 100 V2：1</x:v>
      </x:c>
    </x:row>
    <x:row r="49" ht="18">
      <x:c r="A49" s="12" t="str">
        <x:v>873149110472</x:v>
      </x:c>
      <x:c r="B49" s="3" t="n">
        <x:v>113.73</x:v>
      </x:c>
      <x:c r="C49" s="5" t="n">
        <x:v>142.644</x:v>
      </x:c>
      <x:c r="D49" s="5" t="n">
        <x:f>C49-B49</x:f>
        <x:v>28.914</x:v>
      </x:c>
      <x:c r="E49"/>
      <x:c r="F49" t="str">
        <x:v>未匹配</x:v>
      </x:c>
      <x:c r="G49"/>
      <x:c r="H49"/>
      <x:c r="I49" s="16" t="n">
        <x:v>69</x:v>
      </x:c>
      <x:c r="J49" s="16" t="n">
        <x:v>51</x:v>
      </x:c>
      <x:c r="K49" s="16" t="n">
        <x:v>51</x:v>
      </x:c>
      <x:c r="L49" s="19" t="n">
        <x:v>97.7</x:v>
      </x:c>
      <x:c r="M49" t="str">
        <x:v>lb</x:v>
      </x:c>
      <x:c r="N49" s="19" t="n">
        <x:v>98</x:v>
      </x:c>
      <x:c r="O49" t="str">
        <x:v>lb</x:v>
      </x:c>
      <x:c r="P49" s="19" t="n">
        <x:v>65.98435507193386</x:v>
      </x:c>
      <x:c r="Q49" t="str">
        <x:v>lb</x:v>
      </x:c>
      <x:c r="R49" t="str">
        <x:v>NJ</x:v>
      </x:c>
      <x:c r="S49" t="str">
        <x:v>NEW BRUNSWICK</x:v>
      </x:c>
      <x:c r="T49" t="str">
        <x:v>IL</x:v>
      </x:c>
      <x:c r="U49" t="str">
        <x:v>DECATUR</x:v>
      </x:c>
      <x:c r="V49" t="str">
        <x:v>已匹配</x:v>
      </x:c>
      <x:c r="W49" s="16"/>
      <x:c r="X49" s="17"/>
    </x:row>
    <x:row r="50" ht="18">
      <x:c r="A50" s="12" t="str">
        <x:v>874200404197</x:v>
      </x:c>
      <x:c r="B50" s="3" t="n">
        <x:v>21.9</x:v>
      </x:c>
      <x:c r="C50" s="5" t="n">
        <x:v>49.159</x:v>
      </x:c>
      <x:c r="D50" s="5" t="n">
        <x:f>C50-B50</x:f>
        <x:v>27.259</x:v>
      </x:c>
      <x:c r="E50" t="str">
        <x:v>EL100V2</x:v>
      </x:c>
      <x:c r="F50" t="str">
        <x:v>已匹配</x:v>
      </x:c>
      <x:c r="G50" t="str">
        <x:v>EL100V22532000220296</x:v>
      </x:c>
      <x:c r="H50" t="str">
        <x:v>LOG-SRD26072366</x:v>
      </x:c>
      <x:c r="I50" s="16" t="n">
        <x:v>41</x:v>
      </x:c>
      <x:c r="J50" s="16" t="n">
        <x:v>41</x:v>
      </x:c>
      <x:c r="K50" s="16" t="n">
        <x:v>28</x:v>
      </x:c>
      <x:c r="L50" s="19" t="n">
        <x:v>29.7</x:v>
      </x:c>
      <x:c r="M50" t="str">
        <x:v>lb</x:v>
      </x:c>
      <x:c r="N50" s="19" t="n">
        <x:v>30</x:v>
      </x:c>
      <x:c r="O50" t="str">
        <x:v>lb</x:v>
      </x:c>
      <x:c r="P50" s="19" t="n">
        <x:v>27.182996927395404</x:v>
      </x:c>
      <x:c r="Q50" t="str">
        <x:v>lb</x:v>
      </x:c>
      <x:c r="R50" t="str">
        <x:v>NY</x:v>
      </x:c>
      <x:c r="S50" t="str">
        <x:v>BALDWINSVILLE</x:v>
      </x:c>
      <x:c r="T50" t="str">
        <x:v>NJ</x:v>
      </x:c>
      <x:c r="U50" t="str">
        <x:v>NEW BRUNSWICK</x:v>
      </x:c>
      <x:c r="V50" t="str">
        <x:v>已匹配</x:v>
      </x:c>
      <x:c r="W50" s="16" t="n">
        <x:v>12.338</x:v>
      </x:c>
      <x:c r="X50" s="17" t="str">
        <x:v>BLUETTI Elite 100 V2：12.338</x:v>
      </x:c>
    </x:row>
    <x:row r="51" ht="18">
      <x:c r="A51" s="12" t="str">
        <x:v>873599566482</x:v>
      </x:c>
      <x:c r="B51" s="3" t="n">
        <x:v>52.56</x:v>
      </x:c>
      <x:c r="C51" s="5" t="n">
        <x:v>78.969</x:v>
      </x:c>
      <x:c r="D51" s="5" t="n">
        <x:f>C51-B51</x:f>
        <x:v>26.408999999999992</x:v>
      </x:c>
      <x:c r="E51"/>
      <x:c r="F51" t="str">
        <x:v>未匹配</x:v>
      </x:c>
      <x:c r="G51"/>
      <x:c r="H51"/>
      <x:c r="I51" s="16" t="n">
        <x:v>35</x:v>
      </x:c>
      <x:c r="J51" s="16" t="n">
        <x:v>33</x:v>
      </x:c>
      <x:c r="K51" s="16" t="n">
        <x:v>5</x:v>
      </x:c>
      <x:c r="L51" s="19"/>
      <x:c r="M51"/>
      <x:c r="N51" s="19" t="n">
        <x:v>41</x:v>
      </x:c>
      <x:c r="O51" t="str">
        <x:v>lb</x:v>
      </x:c>
      <x:c r="P51" s="19" t="n">
        <x:v>41.00598076638723</x:v>
      </x:c>
      <x:c r="Q51" t="str">
        <x:v>lb</x:v>
      </x:c>
      <x:c r="R51" t="str">
        <x:v>FL</x:v>
      </x:c>
      <x:c r="S51" t="str">
        <x:v>FREEPORT</x:v>
      </x:c>
      <x:c r="T51" t="str">
        <x:v>CT</x:v>
      </x:c>
      <x:c r="U51" t="str">
        <x:v>RIDGEFIELD</x:v>
      </x:c>
      <x:c r="V51" t="str">
        <x:v>已匹配</x:v>
      </x:c>
      <x:c r="W51" s="16" t="n">
        <x:v>18.6</x:v>
      </x:c>
      <x:c r="X51" s="17" t="str">
        <x:v>PV350：18.6</x:v>
      </x:c>
    </x:row>
    <x:row r="52" ht="18">
      <x:c r="A52" s="12" t="str">
        <x:v>873803439087</x:v>
      </x:c>
      <x:c r="B52" s="3" t="n">
        <x:v>24.44</x:v>
      </x:c>
      <x:c r="C52" s="5" t="n">
        <x:v>49.94</x:v>
      </x:c>
      <x:c r="D52" s="5" t="n">
        <x:f>C52-B52</x:f>
        <x:v>25.499999999999996</x:v>
      </x:c>
      <x:c r="E52" t="str">
        <x:v>AC70</x:v>
      </x:c>
      <x:c r="F52" t="str">
        <x:v>已匹配</x:v>
      </x:c>
      <x:c r="G52" t="str">
        <x:v>AC702444001363827</x:v>
      </x:c>
      <x:c r="H52" t="str">
        <x:v>LOG-CRP26070066</x:v>
      </x:c>
      <x:c r="I52" s="16" t="n">
        <x:v>15</x:v>
      </x:c>
      <x:c r="J52" s="16" t="n">
        <x:v>15</x:v>
      </x:c>
      <x:c r="K52" s="16" t="n">
        <x:v>11</x:v>
      </x:c>
      <x:c r="L52" s="19" t="n">
        <x:v>25.7</x:v>
      </x:c>
      <x:c r="M52" t="str">
        <x:v>lb</x:v>
      </x:c>
      <x:c r="N52" s="19" t="n">
        <x:v>26</x:v>
      </x:c>
      <x:c r="O52" t="str">
        <x:v>lb</x:v>
      </x:c>
      <x:c r="P52" s="19" t="n">
        <x:v>22.487150742857512</x:v>
      </x:c>
      <x:c r="Q52" t="str">
        <x:v>lb</x:v>
      </x:c>
      <x:c r="R52" t="str">
        <x:v>GA</x:v>
      </x:c>
      <x:c r="S52" t="str">
        <x:v>DALLAS</x:v>
      </x:c>
      <x:c r="T52" t="str">
        <x:v>NJ</x:v>
      </x:c>
      <x:c r="U52" t="str">
        <x:v>NEW BRUNSWICK</x:v>
      </x:c>
      <x:c r="V52" t="str">
        <x:v>已匹配</x:v>
      </x:c>
      <x:c r="W52" s="16" t="n">
        <x:v>1</x:v>
      </x:c>
      <x:c r="X52" s="17" t="str">
        <x:v>AC70：1</x:v>
      </x:c>
    </x:row>
    <x:row r="53" ht="18">
      <x:c r="A53" s="12" t="str">
        <x:v>873743038264</x:v>
      </x:c>
      <x:c r="B53" s="3" t="n">
        <x:v>25.79</x:v>
      </x:c>
      <x:c r="C53" s="5" t="n">
        <x:v>50.424</x:v>
      </x:c>
      <x:c r="D53" s="5" t="n">
        <x:f>C53-B53</x:f>
        <x:v>24.634</x:v>
      </x:c>
      <x:c r="E53" t="str">
        <x:v>PV350</x:v>
      </x:c>
      <x:c r="F53" t="str">
        <x:v>已匹配</x:v>
      </x:c>
      <x:c r="G53" t="str">
        <x:v>DGM2524PV350D00662</x:v>
      </x:c>
      <x:c r="H53" t="str">
        <x:v>LOG-SRD26073974</x:v>
      </x:c>
      <x:c r="I53" s="16"/>
      <x:c r="J53" s="16"/>
      <x:c r="K53" s="16"/>
      <x:c r="L53" s="19"/>
      <x:c r="M53"/>
      <x:c r="N53" s="19"/>
      <x:c r="O53"/>
      <x:c r="P53" s="19"/>
      <x:c r="Q53"/>
      <x:c r="R53"/>
      <x:c r="S53"/>
      <x:c r="T53"/>
      <x:c r="U53"/>
      <x:c r="V53" t="str">
        <x:v>未匹配</x:v>
      </x:c>
      <x:c r="W53" s="16" t="n">
        <x:v>1</x:v>
      </x:c>
      <x:c r="X53" s="17" t="str">
        <x:v>PV350：1</x:v>
      </x:c>
    </x:row>
    <x:row r="54" ht="18">
      <x:c r="A54" s="12" t="str">
        <x:v>873967903896</x:v>
      </x:c>
      <x:c r="B54" s="3" t="n">
        <x:v>19.69</x:v>
      </x:c>
      <x:c r="C54" s="5" t="n">
        <x:v>44.209</x:v>
      </x:c>
      <x:c r="D54" s="5" t="n">
        <x:f>C54-B54</x:f>
        <x:v>24.519000000000002</x:v>
      </x:c>
      <x:c r="E54" t="str">
        <x:v>EL30V2</x:v>
      </x:c>
      <x:c r="F54" t="str">
        <x:v>已匹配</x:v>
      </x:c>
      <x:c r="G54" t="str">
        <x:v>EL30V22539000645863</x:v>
      </x:c>
      <x:c r="H54" t="str">
        <x:v>LOG-SRL26070651</x:v>
      </x:c>
      <x:c r="I54" s="16" t="n">
        <x:v>17</x:v>
      </x:c>
      <x:c r="J54" s="16" t="n">
        <x:v>13</x:v>
      </x:c>
      <x:c r="K54" s="16" t="n">
        <x:v>10</x:v>
      </x:c>
      <x:c r="L54" s="19" t="n">
        <x:v>13</x:v>
      </x:c>
      <x:c r="M54" t="str">
        <x:v>lb</x:v>
      </x:c>
      <x:c r="N54" s="19" t="n">
        <x:v>16</x:v>
      </x:c>
      <x:c r="O54" t="str">
        <x:v>lb</x:v>
      </x:c>
      <x:c r="P54" s="19" t="n">
        <x:v>9.986940476974954</x:v>
      </x:c>
      <x:c r="Q54" t="str">
        <x:v>lb</x:v>
      </x:c>
      <x:c r="R54" t="str">
        <x:v>WI</x:v>
      </x:c>
      <x:c r="S54" t="str">
        <x:v>WHITE LAKE</x:v>
      </x:c>
      <x:c r="T54" t="str">
        <x:v>NJ</x:v>
      </x:c>
      <x:c r="U54" t="str">
        <x:v>NEW BRUNSWICK</x:v>
      </x:c>
      <x:c r="V54" t="str">
        <x:v>已匹配</x:v>
      </x:c>
      <x:c r="W54" s="16" t="n">
        <x:v>4.536</x:v>
      </x:c>
      <x:c r="X54" s="17" t="str">
        <x:v>EL30V2：4.536</x:v>
      </x:c>
    </x:row>
    <x:row r="55" ht="18">
      <x:c r="A55" s="12" t="str">
        <x:v>874596029426</x:v>
      </x:c>
      <x:c r="B55" s="3" t="n">
        <x:v>20.19</x:v>
      </x:c>
      <x:c r="C55" s="5" t="n">
        <x:v>43.01</x:v>
      </x:c>
      <x:c r="D55" s="5" t="n">
        <x:f>C55-B55</x:f>
        <x:v>22.819999999999997</x:v>
      </x:c>
      <x:c r="E55" t="str">
        <x:v>PV350</x:v>
      </x:c>
      <x:c r="F55" t="str">
        <x:v>已匹配</x:v>
      </x:c>
      <x:c r="G55" t="str">
        <x:v>DMM04-22PV35000376</x:v>
      </x:c>
      <x:c r="H55" t="str">
        <x:v>LOG-SRD26073158</x:v>
      </x:c>
      <x:c r="I55" s="16" t="n">
        <x:v>39</x:v>
      </x:c>
      <x:c r="J55" s="16" t="n">
        <x:v>29</x:v>
      </x:c>
      <x:c r="K55" s="16" t="n">
        <x:v>5</x:v>
      </x:c>
      <x:c r="L55" s="19" t="n">
        <x:v>35.2</x:v>
      </x:c>
      <x:c r="M55" t="str">
        <x:v>lb</x:v>
      </x:c>
      <x:c r="N55" s="19" t="n">
        <x:v>40</x:v>
      </x:c>
      <x:c r="O55" t="str">
        <x:v>lb</x:v>
      </x:c>
      <x:c r="P55" s="19" t="n">
        <x:v>30.86471670588286</x:v>
      </x:c>
      <x:c r="Q55" t="str">
        <x:v>lb</x:v>
      </x:c>
      <x:c r="R55" t="str">
        <x:v>PA</x:v>
      </x:c>
      <x:c r="S55" t="str">
        <x:v>STEVENS</x:v>
      </x:c>
      <x:c r="T55" t="str">
        <x:v>NJ</x:v>
      </x:c>
      <x:c r="U55" t="str">
        <x:v>NEW BRUNSWICK</x:v>
      </x:c>
      <x:c r="V55" t="str">
        <x:v>已匹配</x:v>
      </x:c>
      <x:c r="W55" s="16" t="n">
        <x:v>1</x:v>
      </x:c>
      <x:c r="X55" s="17" t="str">
        <x:v>PV350：1</x:v>
      </x:c>
    </x:row>
    <x:row r="56" ht="18">
      <x:c r="A56" s="12" t="str">
        <x:v>874585659895</x:v>
      </x:c>
      <x:c r="B56" s="3" t="n">
        <x:v>59.67</x:v>
      </x:c>
      <x:c r="C56" s="5" t="n">
        <x:v>82.313</x:v>
      </x:c>
      <x:c r="D56" s="5" t="n">
        <x:f>C56-B56</x:f>
        <x:v>22.643</x:v>
      </x:c>
      <x:c r="E56" t="str">
        <x:v>AC300</x:v>
      </x:c>
      <x:c r="F56" t="str">
        <x:v>已匹配</x:v>
      </x:c>
      <x:c r="G56" t="str">
        <x:v>AC3002142000035526</x:v>
      </x:c>
      <x:c r="H56" t="str">
        <x:v>LOG-CRP26073021</x:v>
      </x:c>
      <x:c r="I56" s="16" t="n">
        <x:v>28</x:v>
      </x:c>
      <x:c r="J56" s="16" t="n">
        <x:v>25</x:v>
      </x:c>
      <x:c r="K56" s="16" t="n">
        <x:v>21</x:v>
      </x:c>
      <x:c r="L56" s="19" t="n">
        <x:v>67.1</x:v>
      </x:c>
      <x:c r="M56" t="str">
        <x:v>lb</x:v>
      </x:c>
      <x:c r="N56" s="19" t="n">
        <x:v>89</x:v>
      </x:c>
      <x:c r="O56" t="str">
        <x:v>lb</x:v>
      </x:c>
      <x:c r="P56" s="19" t="n">
        <x:v>64.9922748921019</x:v>
      </x:c>
      <x:c r="Q56" t="str">
        <x:v>lb</x:v>
      </x:c>
      <x:c r="R56" t="str">
        <x:v>DE</x:v>
      </x:c>
      <x:c r="S56" t="str">
        <x:v>MIDDLETOWN</x:v>
      </x:c>
      <x:c r="T56" t="str">
        <x:v>NJ</x:v>
      </x:c>
      <x:c r="U56" t="str">
        <x:v>NEW BRUNSWICK</x:v>
      </x:c>
      <x:c r="V56" t="str">
        <x:v>已匹配</x:v>
      </x:c>
      <x:c r="W56" s="16" t="n">
        <x:v>29.484</x:v>
      </x:c>
      <x:c r="X56" s="17" t="str">
        <x:v>AC300：29.484</x:v>
      </x:c>
    </x:row>
    <x:row r="57" ht="18">
      <x:c r="A57" s="12" t="str">
        <x:v>874206828837</x:v>
      </x:c>
      <x:c r="B57" s="3" t="n">
        <x:v>149.24</x:v>
      </x:c>
      <x:c r="C57" s="5" t="n">
        <x:v>171.776</x:v>
      </x:c>
      <x:c r="D57" s="5" t="n">
        <x:f>C57-B57</x:f>
        <x:v>22.536</x:v>
      </x:c>
      <x:c r="E57" t="str">
        <x:v>EL300</x:v>
      </x:c>
      <x:c r="F57" t="str">
        <x:v>已匹配</x:v>
      </x:c>
      <x:c r="G57" t="str">
        <x:v>EL3002613135066933</x:v>
      </x:c>
      <x:c r="H57" t="str">
        <x:v>LOG-SRD26071539</x:v>
      </x:c>
      <x:c r="I57" s="16" t="n">
        <x:v>49</x:v>
      </x:c>
      <x:c r="J57" s="16" t="n">
        <x:v>40</x:v>
      </x:c>
      <x:c r="K57" s="16" t="n">
        <x:v>39</x:v>
      </x:c>
      <x:c r="L57" s="19" t="n">
        <x:v>64.9</x:v>
      </x:c>
      <x:c r="M57" t="str">
        <x:v>lb</x:v>
      </x:c>
      <x:c r="N57" s="19" t="n">
        <x:v>65</x:v>
      </x:c>
      <x:c r="O57" t="str">
        <x:v>lb</x:v>
      </x:c>
      <x:c r="P57" s="19" t="n">
        <x:v>66.13867865546327</x:v>
      </x:c>
      <x:c r="Q57" t="str">
        <x:v>lb</x:v>
      </x:c>
      <x:c r="R57" t="str">
        <x:v>NC</x:v>
      </x:c>
      <x:c r="S57" t="str">
        <x:v>ROSEBORO</x:v>
      </x:c>
      <x:c r="T57" t="str">
        <x:v>NJ</x:v>
      </x:c>
      <x:c r="U57" t="str">
        <x:v>NEW BRUNSWICK</x:v>
      </x:c>
      <x:c r="V57" t="str">
        <x:v>已匹配</x:v>
      </x:c>
      <x:c r="W57" s="16" t="str">
        <x:v>30 / 30</x:v>
      </x:c>
      <x:c r="X57" s="17" t="str">
        <x:v>elite300：30；elite300：30</x:v>
      </x:c>
    </x:row>
    <x:row r="58" ht="18">
      <x:c r="A58" s="12" t="str">
        <x:v>873067151160</x:v>
      </x:c>
      <x:c r="B58" s="3" t="n">
        <x:v>35.03</x:v>
      </x:c>
      <x:c r="C58" s="5" t="n">
        <x:v>57.453</x:v>
      </x:c>
      <x:c r="D58" s="5" t="n">
        <x:f>C58-B58</x:f>
        <x:v>22.423000000000002</x:v>
      </x:c>
      <x:c r="E58" t="str">
        <x:v>EL100V2</x:v>
      </x:c>
      <x:c r="F58" t="str">
        <x:v>已匹配</x:v>
      </x:c>
      <x:c r="G58" t="str">
        <x:v>EL100V22523010258882</x:v>
      </x:c>
      <x:c r="H58" t="str">
        <x:v>LOG-SRL26061514</x:v>
      </x:c>
      <x:c r="I58" s="16" t="n">
        <x:v>23</x:v>
      </x:c>
      <x:c r="J58" s="16" t="n">
        <x:v>22</x:v>
      </x:c>
      <x:c r="K58" s="16" t="n">
        <x:v>17</x:v>
      </x:c>
      <x:c r="L58" s="19" t="n">
        <x:v>37.8</x:v>
      </x:c>
      <x:c r="M58" t="str">
        <x:v>lb</x:v>
      </x:c>
      <x:c r="N58" s="19" t="n">
        <x:v>52</x:v>
      </x:c>
      <x:c r="O58" t="str">
        <x:v>lb</x:v>
      </x:c>
      <x:c r="P58" s="19" t="n">
        <x:v>26.455471462185308</x:v>
      </x:c>
      <x:c r="Q58" t="str">
        <x:v>lb</x:v>
      </x:c>
      <x:c r="R58" t="str">
        <x:v>FL</x:v>
      </x:c>
      <x:c r="S58" t="str">
        <x:v>FORT LAUDERDALE</x:v>
      </x:c>
      <x:c r="T58" t="str">
        <x:v>NJ</x:v>
      </x:c>
      <x:c r="U58" t="str">
        <x:v>NEW BRUNSWICK</x:v>
      </x:c>
      <x:c r="V58" t="str">
        <x:v>已匹配</x:v>
      </x:c>
      <x:c r="W58" s="16" t="n">
        <x:v>1</x:v>
      </x:c>
      <x:c r="X58" s="17" t="str">
        <x:v>Elite 100 V2：1</x:v>
      </x:c>
    </x:row>
    <x:row r="59" ht="18">
      <x:c r="A59" s="12" t="str">
        <x:v>874027781816</x:v>
      </x:c>
      <x:c r="B59" s="3" t="n">
        <x:v>24.39</x:v>
      </x:c>
      <x:c r="C59" s="5" t="n">
        <x:v>46.684</x:v>
      </x:c>
      <x:c r="D59" s="5" t="n">
        <x:f>C59-B59</x:f>
        <x:v>22.293999999999997</x:v>
      </x:c>
      <x:c r="E59" t="str">
        <x:v>AC70</x:v>
      </x:c>
      <x:c r="F59" t="str">
        <x:v>已匹配</x:v>
      </x:c>
      <x:c r="G59" t="str">
        <x:v>AC702549233529809</x:v>
      </x:c>
      <x:c r="H59" t="str">
        <x:v>LOG-SRD26070770</x:v>
      </x:c>
      <x:c r="I59" s="16" t="n">
        <x:v>16</x:v>
      </x:c>
      <x:c r="J59" s="16" t="n">
        <x:v>16</x:v>
      </x:c>
      <x:c r="K59" s="16" t="n">
        <x:v>12</x:v>
      </x:c>
      <x:c r="L59" s="19" t="n">
        <x:v>26.8</x:v>
      </x:c>
      <x:c r="M59" t="str">
        <x:v>lb</x:v>
      </x:c>
      <x:c r="N59" s="19" t="n">
        <x:v>27</x:v>
      </x:c>
      <x:c r="O59" t="str">
        <x:v>lb</x:v>
      </x:c>
      <x:c r="P59" s="19" t="n">
        <x:v>22.487150742857512</x:v>
      </x:c>
      <x:c r="Q59" t="str">
        <x:v>lb</x:v>
      </x:c>
      <x:c r="R59" t="str">
        <x:v>GA</x:v>
      </x:c>
      <x:c r="S59" t="str">
        <x:v>RICHMOND HILL</x:v>
      </x:c>
      <x:c r="T59" t="str">
        <x:v>NJ</x:v>
      </x:c>
      <x:c r="U59" t="str">
        <x:v>NEW BRUNSWICK</x:v>
      </x:c>
      <x:c r="V59" t="str">
        <x:v>已匹配</x:v>
      </x:c>
      <x:c r="W59" s="16" t="n">
        <x:v>10.206</x:v>
      </x:c>
      <x:c r="X59" s="17" t="str">
        <x:v>AC70：10.206</x:v>
      </x:c>
    </x:row>
    <x:row r="60" ht="18">
      <x:c r="A60" s="12" t="str">
        <x:v>872831064790</x:v>
      </x:c>
      <x:c r="B60" s="3" t="n">
        <x:v>11.82</x:v>
      </x:c>
      <x:c r="C60" s="5" t="n">
        <x:v>33.92</x:v>
      </x:c>
      <x:c r="D60" s="5" t="n">
        <x:f>C60-B60</x:f>
        <x:v>22.1</x:v>
      </x:c>
      <x:c r="E60" t="str">
        <x:v>CHARGER2</x:v>
      </x:c>
      <x:c r="F60" t="str">
        <x:v>已匹配</x:v>
      </x:c>
      <x:c r="G60" t="str">
        <x:v>CHARGER22605139113776</x:v>
      </x:c>
      <x:c r="H60" t="str">
        <x:v>LOG-SRN26060945</x:v>
      </x:c>
      <x:c r="I60" s="16"/>
      <x:c r="J60" s="16"/>
      <x:c r="K60" s="16"/>
      <x:c r="L60" s="19"/>
      <x:c r="M60"/>
      <x:c r="N60" s="19"/>
      <x:c r="O60"/>
      <x:c r="P60" s="19"/>
      <x:c r="Q60"/>
      <x:c r="R60"/>
      <x:c r="S60"/>
      <x:c r="T60"/>
      <x:c r="U60"/>
      <x:c r="V60" t="str">
        <x:v>未匹配</x:v>
      </x:c>
      <x:c r="W60" s="16" t="n">
        <x:v>1</x:v>
      </x:c>
      <x:c r="X60" s="17" t="str">
        <x:v>Charger 2：1</x:v>
      </x:c>
    </x:row>
    <x:row r="61" ht="18">
      <x:c r="A61" s="12" t="str">
        <x:v>875086683086</x:v>
      </x:c>
      <x:c r="B61" s="3" t="n">
        <x:v>70.66</x:v>
      </x:c>
      <x:c r="C61" s="5" t="n">
        <x:v>92.444</x:v>
      </x:c>
      <x:c r="D61" s="5" t="n">
        <x:f>C61-B61</x:f>
        <x:v>21.784000000000006</x:v>
      </x:c>
      <x:c r="E61" t="str">
        <x:v>B300</x:v>
      </x:c>
      <x:c r="F61" t="str">
        <x:v>已匹配</x:v>
      </x:c>
      <x:c r="G61" t="str">
        <x:v>60300Q22250755</x:v>
      </x:c>
      <x:c r="H61" t="str">
        <x:v>LOG-SRL26074883</x:v>
      </x:c>
      <x:c r="I61" s="16"/>
      <x:c r="J61" s="16"/>
      <x:c r="K61" s="16"/>
      <x:c r="L61" s="19"/>
      <x:c r="M61"/>
      <x:c r="N61" s="19"/>
      <x:c r="O61"/>
      <x:c r="P61" s="19"/>
      <x:c r="Q61"/>
      <x:c r="R61"/>
      <x:c r="S61"/>
      <x:c r="T61"/>
      <x:c r="U61"/>
      <x:c r="V61" t="str">
        <x:v>未匹配</x:v>
      </x:c>
      <x:c r="W61" s="16" t="n">
        <x:v>1</x:v>
      </x:c>
      <x:c r="X61" s="17" t="str">
        <x:v>B300：1</x:v>
      </x:c>
    </x:row>
    <x:row r="62" ht="18">
      <x:c r="A62" s="12" t="str">
        <x:v>874595913300</x:v>
      </x:c>
      <x:c r="B62" s="3" t="n">
        <x:v>74.26</x:v>
      </x:c>
      <x:c r="C62" s="5" t="n">
        <x:v>95.205</x:v>
      </x:c>
      <x:c r="D62" s="5" t="n">
        <x:f>C62-B62</x:f>
        <x:v>20.944999999999993</x:v>
      </x:c>
      <x:c r="E62" t="str">
        <x:v>AP300</x:v>
      </x:c>
      <x:c r="F62" t="str">
        <x:v>已匹配</x:v>
      </x:c>
      <x:c r="G62" t="str">
        <x:v>AP3002531000582565</x:v>
      </x:c>
      <x:c r="H62"/>
      <x:c r="I62" s="16" t="n">
        <x:v>27</x:v>
      </x:c>
      <x:c r="J62" s="16" t="n">
        <x:v>20</x:v>
      </x:c>
      <x:c r="K62" s="16" t="n">
        <x:v>20</x:v>
      </x:c>
      <x:c r="L62" s="19" t="n">
        <x:v>100</x:v>
      </x:c>
      <x:c r="M62" t="str">
        <x:v>lb</x:v>
      </x:c>
      <x:c r="N62" s="19" t="n">
        <x:v>101</x:v>
      </x:c>
      <x:c r="O62" t="str">
        <x:v>lb</x:v>
      </x:c>
      <x:c r="P62" s="19" t="n">
        <x:v>83.77565963025347</x:v>
      </x:c>
      <x:c r="Q62" t="str">
        <x:v>lb</x:v>
      </x:c>
      <x:c r="R62" t="str">
        <x:v>PA</x:v>
      </x:c>
      <x:c r="S62" t="str">
        <x:v>STEVENS</x:v>
      </x:c>
      <x:c r="T62" t="str">
        <x:v>NJ</x:v>
      </x:c>
      <x:c r="U62" t="str">
        <x:v>NEW BRUNSWICK</x:v>
      </x:c>
      <x:c r="V62" t="str">
        <x:v>已匹配</x:v>
      </x:c>
      <x:c r="W62" s="16" t="n">
        <x:v>1</x:v>
      </x:c>
      <x:c r="X62" s="17" t="str">
        <x:v>Apex300：1</x:v>
      </x:c>
    </x:row>
    <x:row r="63" ht="18">
      <x:c r="A63" s="12" t="str">
        <x:v>874595829270</x:v>
      </x:c>
      <x:c r="B63" s="3" t="n">
        <x:v>74.26</x:v>
      </x:c>
      <x:c r="C63" s="5" t="n">
        <x:v>94.765</x:v>
      </x:c>
      <x:c r="D63" s="5" t="n">
        <x:f>C63-B63</x:f>
        <x:v>20.504999999999995</x:v>
      </x:c>
      <x:c r="E63" t="str">
        <x:v>AP300</x:v>
      </x:c>
      <x:c r="F63" t="str">
        <x:v>已匹配</x:v>
      </x:c>
      <x:c r="G63" t="str">
        <x:v>AP3002531000579287</x:v>
      </x:c>
      <x:c r="H63" t="str">
        <x:v>LOG-SRD26073158</x:v>
      </x:c>
      <x:c r="I63" s="16" t="n">
        <x:v>27</x:v>
      </x:c>
      <x:c r="J63" s="16" t="n">
        <x:v>20</x:v>
      </x:c>
      <x:c r="K63" s="16" t="n">
        <x:v>20</x:v>
      </x:c>
      <x:c r="L63" s="19" t="n">
        <x:v>99.7</x:v>
      </x:c>
      <x:c r="M63" t="str">
        <x:v>lb</x:v>
      </x:c>
      <x:c r="N63" s="19" t="n">
        <x:v>100</x:v>
      </x:c>
      <x:c r="O63" t="str">
        <x:v>lb</x:v>
      </x:c>
      <x:c r="P63" s="19" t="n">
        <x:v>83.77565963025347</x:v>
      </x:c>
      <x:c r="Q63" t="str">
        <x:v>lb</x:v>
      </x:c>
      <x:c r="R63" t="str">
        <x:v>PA</x:v>
      </x:c>
      <x:c r="S63" t="str">
        <x:v>STEVENS</x:v>
      </x:c>
      <x:c r="T63" t="str">
        <x:v>NJ</x:v>
      </x:c>
      <x:c r="U63" t="str">
        <x:v>NEW BRUNSWICK</x:v>
      </x:c>
      <x:c r="V63" t="str">
        <x:v>已匹配</x:v>
      </x:c>
      <x:c r="W63" s="16" t="n">
        <x:v>1</x:v>
      </x:c>
      <x:c r="X63" s="17" t="str">
        <x:v>Apex300：1</x:v>
      </x:c>
    </x:row>
    <x:row r="64" ht="18">
      <x:c r="A64" s="12" t="str">
        <x:v>874595766890</x:v>
      </x:c>
      <x:c r="B64" s="3" t="n">
        <x:v>74.26</x:v>
      </x:c>
      <x:c r="C64" s="5" t="n">
        <x:v>94.765</x:v>
      </x:c>
      <x:c r="D64" s="5" t="n">
        <x:f>C64-B64</x:f>
        <x:v>20.504999999999995</x:v>
      </x:c>
      <x:c r="E64" t="str">
        <x:v>AP300</x:v>
      </x:c>
      <x:c r="F64" t="str">
        <x:v>已匹配</x:v>
      </x:c>
      <x:c r="G64" t="str">
        <x:v>AP3002531000578751</x:v>
      </x:c>
      <x:c r="H64"/>
      <x:c r="I64" s="16" t="n">
        <x:v>27</x:v>
      </x:c>
      <x:c r="J64" s="16" t="n">
        <x:v>21</x:v>
      </x:c>
      <x:c r="K64" s="16" t="n">
        <x:v>20</x:v>
      </x:c>
      <x:c r="L64" s="19" t="n">
        <x:v>99.6</x:v>
      </x:c>
      <x:c r="M64" t="str">
        <x:v>lb</x:v>
      </x:c>
      <x:c r="N64" s="19" t="n">
        <x:v>100</x:v>
      </x:c>
      <x:c r="O64" t="str">
        <x:v>lb</x:v>
      </x:c>
      <x:c r="P64" s="19" t="n">
        <x:v>83.77565963025347</x:v>
      </x:c>
      <x:c r="Q64" t="str">
        <x:v>lb</x:v>
      </x:c>
      <x:c r="R64" t="str">
        <x:v>PA</x:v>
      </x:c>
      <x:c r="S64" t="str">
        <x:v>STEVENS</x:v>
      </x:c>
      <x:c r="T64" t="str">
        <x:v>NJ</x:v>
      </x:c>
      <x:c r="U64" t="str">
        <x:v>NEW BRUNSWICK</x:v>
      </x:c>
      <x:c r="V64" t="str">
        <x:v>已匹配</x:v>
      </x:c>
      <x:c r="W64" s="16" t="n">
        <x:v>1</x:v>
      </x:c>
      <x:c r="X64" s="17" t="str">
        <x:v>Apex300：1</x:v>
      </x:c>
    </x:row>
    <x:row r="65" ht="18">
      <x:c r="A65" s="12" t="str">
        <x:v>873668650078</x:v>
      </x:c>
      <x:c r="B65" s="3" t="n">
        <x:v>22.56</x:v>
      </x:c>
      <x:c r="C65" s="5" t="n">
        <x:v>42.031</x:v>
      </x:c>
      <x:c r="D65" s="5" t="n">
        <x:f>C65-B65</x:f>
        <x:v>19.471</x:v>
      </x:c>
      <x:c r="E65" t="str">
        <x:v>RV5</x:v>
      </x:c>
      <x:c r="F65" t="str">
        <x:v>已匹配</x:v>
      </x:c>
      <x:c r="G65" t="str">
        <x:v>RV52534020622093</x:v>
      </x:c>
      <x:c r="H65" t="str">
        <x:v>LOG-SRD26063011</x:v>
      </x:c>
      <x:c r="I65" s="16" t="n">
        <x:v>64</x:v>
      </x:c>
      <x:c r="J65" s="16" t="n">
        <x:v>56</x:v>
      </x:c>
      <x:c r="K65" s="16" t="n">
        <x:v>28</x:v>
      </x:c>
      <x:c r="L65" s="19" t="n">
        <x:v>43.5</x:v>
      </x:c>
      <x:c r="M65" t="str">
        <x:v>lb</x:v>
      </x:c>
      <x:c r="N65" s="19" t="n">
        <x:v>44</x:v>
      </x:c>
      <x:c r="O65" t="str">
        <x:v>lb</x:v>
      </x:c>
      <x:c r="P65" s="19" t="n">
        <x:v>39.991854360336795</x:v>
      </x:c>
      <x:c r="Q65" t="str">
        <x:v>lb</x:v>
      </x:c>
      <x:c r="R65" t="str">
        <x:v>CT</x:v>
      </x:c>
      <x:c r="S65" t="str">
        <x:v>STERLING</x:v>
      </x:c>
      <x:c r="T65" t="str">
        <x:v>NJ</x:v>
      </x:c>
      <x:c r="U65" t="str">
        <x:v>NEW BRUNSWICK</x:v>
      </x:c>
      <x:c r="V65" t="str">
        <x:v>已匹配</x:v>
      </x:c>
      <x:c r="W65" s="16" t="n">
        <x:v>0</x:v>
      </x:c>
      <x:c r="X65" s="17" t="str">
        <x:v>商品名称为空：0</x:v>
      </x:c>
    </x:row>
    <x:row r="66" ht="18">
      <x:c r="A66" s="12" t="str">
        <x:v>874085169204</x:v>
      </x:c>
      <x:c r="B66" s="3" t="n">
        <x:v>20.38</x:v>
      </x:c>
      <x:c r="C66" s="5" t="n">
        <x:v>39.589</x:v>
      </x:c>
      <x:c r="D66" s="5" t="n">
        <x:f>C66-B66</x:f>
        <x:v>19.209</x:v>
      </x:c>
      <x:c r="E66" t="str">
        <x:v>EL100V2</x:v>
      </x:c>
      <x:c r="F66" t="str">
        <x:v>已匹配</x:v>
      </x:c>
      <x:c r="G66" t="str">
        <x:v>EL100V22526090615723</x:v>
      </x:c>
      <x:c r="H66" t="str">
        <x:v>LOG-CRP26070960</x:v>
      </x:c>
      <x:c r="I66" s="16" t="n">
        <x:v>15</x:v>
      </x:c>
      <x:c r="J66" s="16" t="n">
        <x:v>15</x:v>
      </x:c>
      <x:c r="K66" s="16" t="n">
        <x:v>11</x:v>
      </x:c>
      <x:c r="L66" s="19" t="n">
        <x:v>27</x:v>
      </x:c>
      <x:c r="M66" t="str">
        <x:v>lb</x:v>
      </x:c>
      <x:c r="N66" s="19" t="n">
        <x:v>27</x:v>
      </x:c>
      <x:c r="O66" t="str">
        <x:v>lb</x:v>
      </x:c>
      <x:c r="P66" s="19" t="n">
        <x:v>33.06933932773163</x:v>
      </x:c>
      <x:c r="Q66" t="str">
        <x:v>lb</x:v>
      </x:c>
      <x:c r="R66" t="str">
        <x:v>MD</x:v>
      </x:c>
      <x:c r="S66" t="str">
        <x:v>ELKRIDGE</x:v>
      </x:c>
      <x:c r="T66" t="str">
        <x:v>NJ</x:v>
      </x:c>
      <x:c r="U66" t="str">
        <x:v>NEW BRUNSWICK</x:v>
      </x:c>
      <x:c r="V66" t="str">
        <x:v>已匹配</x:v>
      </x:c>
      <x:c r="W66" s="16" t="n">
        <x:v>15</x:v>
      </x:c>
      <x:c r="X66" s="17" t="str">
        <x:v>Elite 100 V2：15</x:v>
      </x:c>
    </x:row>
    <x:row r="67" ht="18">
      <x:c r="A67" s="12" t="str">
        <x:v>873685329559</x:v>
      </x:c>
      <x:c r="B67" s="3" t="n">
        <x:v>36.51</x:v>
      </x:c>
      <x:c r="C67" s="5" t="n">
        <x:v>55.594</x:v>
      </x:c>
      <x:c r="D67" s="5" t="n">
        <x:f>C67-B67</x:f>
        <x:v>19.084000000000003</x:v>
      </x:c>
      <x:c r="E67" t="str">
        <x:v>AC180</x:v>
      </x:c>
      <x:c r="F67" t="str">
        <x:v>已匹配</x:v>
      </x:c>
      <x:c r="G67" t="str">
        <x:v>AC1802441000095273</x:v>
      </x:c>
      <x:c r="H67" t="str">
        <x:v>LOG-SRL26063299</x:v>
      </x:c>
      <x:c r="I67" s="16" t="n">
        <x:v>17</x:v>
      </x:c>
      <x:c r="J67" s="16" t="n">
        <x:v>17</x:v>
      </x:c>
      <x:c r="K67" s="16" t="n">
        <x:v>16</x:v>
      </x:c>
      <x:c r="L67" s="19" t="n">
        <x:v>39.2</x:v>
      </x:c>
      <x:c r="M67" t="str">
        <x:v>lb</x:v>
      </x:c>
      <x:c r="N67" s="19" t="n">
        <x:v>40</x:v>
      </x:c>
      <x:c r="O67" t="str">
        <x:v>lb</x:v>
      </x:c>
      <x:c r="P67" s="19" t="n">
        <x:v>37.98564777445441</x:v>
      </x:c>
      <x:c r="Q67" t="str">
        <x:v>lb</x:v>
      </x:c>
      <x:c r="R67" t="str">
        <x:v>FL</x:v>
      </x:c>
      <x:c r="S67" t="str">
        <x:v>LONGBOAT KEY</x:v>
      </x:c>
      <x:c r="T67" t="str">
        <x:v>NJ</x:v>
      </x:c>
      <x:c r="U67" t="str">
        <x:v>NEW BRUNSWICK</x:v>
      </x:c>
      <x:c r="V67" t="str">
        <x:v>已匹配</x:v>
      </x:c>
      <x:c r="W67" s="16" t="n">
        <x:v>17.237</x:v>
      </x:c>
      <x:c r="X67" s="17" t="str">
        <x:v>AC180：17.237</x:v>
      </x:c>
    </x:row>
    <x:row r="68" ht="18">
      <x:c r="A68" s="12" t="str">
        <x:v>874145228294</x:v>
      </x:c>
      <x:c r="B68" s="3" t="n">
        <x:v>22.55</x:v>
      </x:c>
      <x:c r="C68" s="5" t="n">
        <x:v>40.645</x:v>
      </x:c>
      <x:c r="D68" s="5" t="n">
        <x:f>C68-B68</x:f>
        <x:v>18.095000000000002</x:v>
      </x:c>
      <x:c r="E68" t="str">
        <x:v>EL30V2</x:v>
      </x:c>
      <x:c r="F68" t="str">
        <x:v>已匹配</x:v>
      </x:c>
      <x:c r="G68" t="str">
        <x:v>EL30V22616130373363</x:v>
      </x:c>
      <x:c r="H68" t="str">
        <x:v>LOG-SRD26071242</x:v>
      </x:c>
      <x:c r="I68" s="16" t="n">
        <x:v>15</x:v>
      </x:c>
      <x:c r="J68" s="16" t="n">
        <x:v>11</x:v>
      </x:c>
      <x:c r="K68" s="16" t="n">
        <x:v>11</x:v>
      </x:c>
      <x:c r="L68" s="19" t="n">
        <x:v>13.1</x:v>
      </x:c>
      <x:c r="M68" t="str">
        <x:v>lb</x:v>
      </x:c>
      <x:c r="N68" s="19" t="n">
        <x:v>13</x:v>
      </x:c>
      <x:c r="O68" t="str">
        <x:v>lb</x:v>
      </x:c>
      <x:c r="P68" s="19" t="n">
        <x:v>17.636980974790205</x:v>
      </x:c>
      <x:c r="Q68" t="str">
        <x:v>lb</x:v>
      </x:c>
      <x:c r="R68" t="str">
        <x:v>IL</x:v>
      </x:c>
      <x:c r="S68" t="str">
        <x:v>MCHENRY</x:v>
      </x:c>
      <x:c r="T68" t="str">
        <x:v>NJ</x:v>
      </x:c>
      <x:c r="U68" t="str">
        <x:v>NEW BRUNSWICK</x:v>
      </x:c>
      <x:c r="V68" t="str">
        <x:v>已匹配</x:v>
      </x:c>
      <x:c r="W68" s="16" t="n">
        <x:v>8</x:v>
      </x:c>
      <x:c r="X68" s="17" t="str">
        <x:v>Elite 30 V2：8</x:v>
      </x:c>
    </x:row>
    <x:row r="69" ht="18">
      <x:c r="A69" s="12" t="str">
        <x:v>873223702212</x:v>
      </x:c>
      <x:c r="B69" s="3" t="n">
        <x:v>46.71</x:v>
      </x:c>
      <x:c r="C69" s="5" t="n">
        <x:v>64.174</x:v>
      </x:c>
      <x:c r="D69" s="5" t="n">
        <x:f>C69-B69</x:f>
        <x:v>17.464000000000006</x:v>
      </x:c>
      <x:c r="E69" t="str">
        <x:v>AC180</x:v>
      </x:c>
      <x:c r="F69" t="str">
        <x:v>已匹配</x:v>
      </x:c>
      <x:c r="G69" t="str">
        <x:v>AC1802444001000219</x:v>
      </x:c>
      <x:c r="H69" t="str">
        <x:v>LOG-CRP26061892</x:v>
      </x:c>
      <x:c r="I69" s="16" t="n">
        <x:v>46</x:v>
      </x:c>
      <x:c r="J69" s="16" t="n">
        <x:v>45</x:v>
      </x:c>
      <x:c r="K69" s="16" t="n">
        <x:v>34</x:v>
      </x:c>
      <x:c r="L69" s="19" t="n">
        <x:v>38.8</x:v>
      </x:c>
      <x:c r="M69" t="str">
        <x:v>lb</x:v>
      </x:c>
      <x:c r="N69" s="19" t="n">
        <x:v>39</x:v>
      </x:c>
      <x:c r="O69" t="str">
        <x:v>lb</x:v>
      </x:c>
      <x:c r="P69" s="19" t="n">
        <x:v>16.534669663865817</x:v>
      </x:c>
      <x:c r="Q69" t="str">
        <x:v>lb</x:v>
      </x:c>
      <x:c r="R69" t="str">
        <x:v>WA</x:v>
      </x:c>
      <x:c r="S69" t="str">
        <x:v>KELSO</x:v>
      </x:c>
      <x:c r="T69" t="str">
        <x:v>NJ</x:v>
      </x:c>
      <x:c r="U69" t="str">
        <x:v>NEW BRUNSWICK</x:v>
      </x:c>
      <x:c r="V69" t="str">
        <x:v>已匹配</x:v>
      </x:c>
      <x:c r="W69" s="16" t="n">
        <x:v>7.5</x:v>
      </x:c>
      <x:c r="X69" s="17" t="str">
        <x:v>AC180：7.5</x:v>
      </x:c>
    </x:row>
    <x:row r="70" ht="18">
      <x:c r="A70" s="12" t="str">
        <x:v>874461107975</x:v>
      </x:c>
      <x:c r="B70" s="3" t="n">
        <x:v>27.46</x:v>
      </x:c>
      <x:c r="C70" s="5" t="n">
        <x:v>44.693</x:v>
      </x:c>
      <x:c r="D70" s="5" t="n">
        <x:f>C70-B70</x:f>
        <x:v>17.232999999999997</x:v>
      </x:c>
      <x:c r="E70" t="str">
        <x:v>EL100V2</x:v>
      </x:c>
      <x:c r="F70" t="str">
        <x:v>已匹配</x:v>
      </x:c>
      <x:c r="G70" t="str">
        <x:v>EL100V22542001499797</x:v>
      </x:c>
      <x:c r="H70" t="str">
        <x:v>LOG-SRL26072566</x:v>
      </x:c>
      <x:c r="I70" s="16"/>
      <x:c r="J70" s="16"/>
      <x:c r="K70" s="16"/>
      <x:c r="L70" s="19"/>
      <x:c r="M70"/>
      <x:c r="N70" s="19"/>
      <x:c r="O70"/>
      <x:c r="P70" s="19"/>
      <x:c r="Q70"/>
      <x:c r="R70"/>
      <x:c r="S70"/>
      <x:c r="T70"/>
      <x:c r="U70"/>
      <x:c r="V70" t="str">
        <x:v>未匹配</x:v>
      </x:c>
      <x:c r="W70" s="16" t="n">
        <x:v>1</x:v>
      </x:c>
      <x:c r="X70" s="17" t="str">
        <x:v>Elite 100 V2：1</x:v>
      </x:c>
    </x:row>
    <x:row r="71" ht="18">
      <x:c r="A71" s="12" t="str">
        <x:v>873487241521</x:v>
      </x:c>
      <x:c r="B71" s="3" t="n">
        <x:v>24.48</x:v>
      </x:c>
      <x:c r="C71" s="5" t="n">
        <x:v>41.03</x:v>
      </x:c>
      <x:c r="D71" s="5" t="n">
        <x:f>C71-B71</x:f>
        <x:v>16.55</x:v>
      </x:c>
      <x:c r="E71" t="str">
        <x:v>AC180</x:v>
      </x:c>
      <x:c r="F71" t="str">
        <x:v>已匹配</x:v>
      </x:c>
      <x:c r="G71" t="str">
        <x:v>AC1802535025210237</x:v>
      </x:c>
      <x:c r="H71" t="str">
        <x:v>LOG-SRD26062549</x:v>
      </x:c>
      <x:c r="I71" s="16" t="n">
        <x:v>19</x:v>
      </x:c>
      <x:c r="J71" s="16" t="n">
        <x:v>17</x:v>
      </x:c>
      <x:c r="K71" s="16" t="n">
        <x:v>13</x:v>
      </x:c>
      <x:c r="L71" s="19" t="n">
        <x:v>42.1</x:v>
      </x:c>
      <x:c r="M71" t="str">
        <x:v>lb</x:v>
      </x:c>
      <x:c r="N71" s="19" t="n">
        <x:v>43</x:v>
      </x:c>
      <x:c r="O71" t="str">
        <x:v>lb</x:v>
      </x:c>
      <x:c r="P71" s="19" t="n">
        <x:v>22.99421394588273</x:v>
      </x:c>
      <x:c r="Q71" t="str">
        <x:v>lb</x:v>
      </x:c>
      <x:c r="R71" t="str">
        <x:v>GA</x:v>
      </x:c>
      <x:c r="S71" t="str">
        <x:v>WARNER ROBINS</x:v>
      </x:c>
      <x:c r="T71" t="str">
        <x:v>NJ</x:v>
      </x:c>
      <x:c r="U71" t="str">
        <x:v>NEW BRUNSWICK</x:v>
      </x:c>
      <x:c r="V71" t="str">
        <x:v>已匹配</x:v>
      </x:c>
      <x:c r="W71" s="16" t="n">
        <x:v>10.433</x:v>
      </x:c>
      <x:c r="X71" s="17" t="str">
        <x:v>AC180：10.433</x:v>
      </x:c>
    </x:row>
    <x:row r="72" ht="18">
      <x:c r="A72" s="12" t="str">
        <x:v>874284543204</x:v>
      </x:c>
      <x:c r="B72" s="3" t="n">
        <x:v>46.44</x:v>
      </x:c>
      <x:c r="C72" s="5" t="n">
        <x:v>62.854</x:v>
      </x:c>
      <x:c r="D72" s="5" t="n">
        <x:f>C72-B72</x:f>
        <x:v>16.414</x:v>
      </x:c>
      <x:c r="E72" t="str">
        <x:v>EL30V</x:v>
      </x:c>
      <x:c r="F72" t="str">
        <x:v>已匹配</x:v>
      </x:c>
      <x:c r="G72" t="str">
        <x:v>EL30V22617131159222</x:v>
      </x:c>
      <x:c r="H72" t="str">
        <x:v>LOG-SRD26071818</x:v>
      </x:c>
      <x:c r="I72" s="16" t="n">
        <x:v>32</x:v>
      </x:c>
      <x:c r="J72" s="16" t="n">
        <x:v>30</x:v>
      </x:c>
      <x:c r="K72" s="16" t="n">
        <x:v>25</x:v>
      </x:c>
      <x:c r="L72" s="19" t="n">
        <x:v>12</x:v>
      </x:c>
      <x:c r="M72" t="str">
        <x:v>lb</x:v>
      </x:c>
      <x:c r="N72" s="19" t="n">
        <x:v>12</x:v>
      </x:c>
      <x:c r="O72" t="str">
        <x:v>lb</x:v>
      </x:c>
      <x:c r="P72" s="19" t="n">
        <x:v>11.023113109243878</x:v>
      </x:c>
      <x:c r="Q72" t="str">
        <x:v>lb</x:v>
      </x:c>
      <x:c r="R72" t="str">
        <x:v>CA</x:v>
      </x:c>
      <x:c r="S72" t="str">
        <x:v>LONG BEACH</x:v>
      </x:c>
      <x:c r="T72" t="str">
        <x:v>NJ</x:v>
      </x:c>
      <x:c r="U72" t="str">
        <x:v>NEW BRUNSWICK</x:v>
      </x:c>
      <x:c r="V72" t="str">
        <x:v>已匹配</x:v>
      </x:c>
      <x:c r="W72" s="16" t="str">
        <x:v>5 / 2</x:v>
      </x:c>
      <x:c r="X72" s="17" t="str">
        <x:v>elite30v2：5；60w：2</x:v>
      </x:c>
    </x:row>
    <x:row r="73" ht="18">
      <x:c r="A73" s="12" t="str">
        <x:v>873341808833</x:v>
      </x:c>
      <x:c r="B73" s="3" t="n">
        <x:v>20.86</x:v>
      </x:c>
      <x:c r="C73" s="5" t="n">
        <x:v>37.18</x:v>
      </x:c>
      <x:c r="D73" s="5" t="n">
        <x:f>C73-B73</x:f>
        <x:v>16.32</x:v>
      </x:c>
      <x:c r="E73" t="str">
        <x:v>SOLARX 4K</x:v>
      </x:c>
      <x:c r="F73" t="str">
        <x:v>已匹配</x:v>
      </x:c>
      <x:c r="G73" t="str">
        <x:v>SolarX 4K2537110084548</x:v>
      </x:c>
      <x:c r="H73" t="str">
        <x:v>LOG-SRL26062052</x:v>
      </x:c>
      <x:c r="I73" s="16" t="n">
        <x:v>27</x:v>
      </x:c>
      <x:c r="J73" s="16" t="n">
        <x:v>20</x:v>
      </x:c>
      <x:c r="K73" s="16" t="n">
        <x:v>16</x:v>
      </x:c>
      <x:c r="L73" s="19"/>
      <x:c r="M73"/>
      <x:c r="N73" s="19" t="n">
        <x:v>52</x:v>
      </x:c>
      <x:c r="O73" t="str">
        <x:v>lb</x:v>
      </x:c>
      <x:c r="P73" s="19" t="n">
        <x:v>22.99421394588273</x:v>
      </x:c>
      <x:c r="Q73" t="str">
        <x:v>lb</x:v>
      </x:c>
      <x:c r="R73" t="str">
        <x:v>PA</x:v>
      </x:c>
      <x:c r="S73" t="str">
        <x:v>ALIQUIPPA</x:v>
      </x:c>
      <x:c r="T73" t="str">
        <x:v>NJ</x:v>
      </x:c>
      <x:c r="U73" t="str">
        <x:v>NEW BRUNSWICK</x:v>
      </x:c>
      <x:c r="V73" t="str">
        <x:v>已匹配</x:v>
      </x:c>
      <x:c r="W73" s="16" t="n">
        <x:v>10.433</x:v>
      </x:c>
      <x:c r="X73" s="17" t="str">
        <x:v>SolarX 4K：10.433</x:v>
      </x:c>
    </x:row>
    <x:row r="74" ht="18">
      <x:c r="A74" s="12" t="str">
        <x:v>874354963354</x:v>
      </x:c>
      <x:c r="B74" s="3" t="n">
        <x:v>110.61</x:v>
      </x:c>
      <x:c r="C74" s="5" t="n">
        <x:v>126.918</x:v>
      </x:c>
      <x:c r="D74" s="5" t="n">
        <x:f>C74-B74</x:f>
        <x:v>16.308000000000007</x:v>
      </x:c>
      <x:c r="E74" t="str">
        <x:v>EL400</x:v>
      </x:c>
      <x:c r="F74" t="str">
        <x:v>已匹配</x:v>
      </x:c>
      <x:c r="G74" t="str">
        <x:v>EL4002604235362146</x:v>
      </x:c>
      <x:c r="H74" t="str">
        <x:v>LOG-SRD26072402</x:v>
      </x:c>
      <x:c r="I74" s="16" t="n">
        <x:v>27</x:v>
      </x:c>
      <x:c r="J74" s="16" t="n">
        <x:v>22</x:v>
      </x:c>
      <x:c r="K74" s="16" t="n">
        <x:v>16</x:v>
      </x:c>
      <x:c r="L74" s="19" t="n">
        <x:v>99.8</x:v>
      </x:c>
      <x:c r="M74" t="str">
        <x:v>lb</x:v>
      </x:c>
      <x:c r="N74" s="19" t="n">
        <x:v>100</x:v>
      </x:c>
      <x:c r="O74" t="str">
        <x:v>lb</x:v>
      </x:c>
      <x:c r="P74" s="19" t="n">
        <x:v>79.98370872067359</x:v>
      </x:c>
      <x:c r="Q74" t="str">
        <x:v>lb</x:v>
      </x:c>
      <x:c r="R74" t="str">
        <x:v>FL</x:v>
      </x:c>
      <x:c r="S74" t="str">
        <x:v>NAPLES</x:v>
      </x:c>
      <x:c r="T74" t="str">
        <x:v>NJ</x:v>
      </x:c>
      <x:c r="U74" t="str">
        <x:v>NEW BRUNSWICK</x:v>
      </x:c>
      <x:c r="V74" t="str">
        <x:v>已匹配</x:v>
      </x:c>
      <x:c r="W74" s="16" t="n">
        <x:v>25.401</x:v>
      </x:c>
      <x:c r="X74" s="17" t="str">
        <x:v>ELITE400：25.401</x:v>
      </x:c>
    </x:row>
    <x:row r="75" ht="18">
      <x:c r="A75" s="12" t="str">
        <x:v>874009375269</x:v>
      </x:c>
      <x:c r="B75" s="3" t="n">
        <x:v>27.26</x:v>
      </x:c>
      <x:c r="C75" s="5" t="n">
        <x:v>42.856</x:v>
      </x:c>
      <x:c r="D75" s="5" t="n">
        <x:f>C75-B75</x:f>
        <x:v>15.596</x:v>
      </x:c>
      <x:c r="E75" t="str">
        <x:v>BC200</x:v>
      </x:c>
      <x:c r="F75" t="str">
        <x:v>已匹配</x:v>
      </x:c>
      <x:c r="G75" t="str">
        <x:v>BC2002548131905223</x:v>
      </x:c>
      <x:c r="H75" t="str">
        <x:v>LOG-SRD26070732</x:v>
      </x:c>
      <x:c r="I75" s="16" t="n">
        <x:v>74</x:v>
      </x:c>
      <x:c r="J75" s="16" t="n">
        <x:v>48</x:v>
      </x:c>
      <x:c r="K75" s="16" t="n">
        <x:v>20</x:v>
      </x:c>
      <x:c r="L75" s="19" t="n">
        <x:v>46.3</x:v>
      </x:c>
      <x:c r="M75" t="str">
        <x:v>lb</x:v>
      </x:c>
      <x:c r="N75" s="19" t="n">
        <x:v>47</x:v>
      </x:c>
      <x:c r="O75" t="str">
        <x:v>lb</x:v>
      </x:c>
      <x:c r="P75" s="19" t="n">
        <x:v>5.996573531428671</x:v>
      </x:c>
      <x:c r="Q75" t="str">
        <x:v>lb</x:v>
      </x:c>
      <x:c r="R75" t="str">
        <x:v>AL</x:v>
      </x:c>
      <x:c r="S75" t="str">
        <x:v>OPELIKA</x:v>
      </x:c>
      <x:c r="T75" t="str">
        <x:v>NJ</x:v>
      </x:c>
      <x:c r="U75" t="str">
        <x:v>NEW BRUNSWICK</x:v>
      </x:c>
      <x:c r="V75" t="str">
        <x:v>已匹配</x:v>
      </x:c>
      <x:c r="W75" s="16" t="n">
        <x:v>0</x:v>
      </x:c>
      <x:c r="X75" s="17" t="str">
        <x:v>商品名称为空：0</x:v>
      </x:c>
    </x:row>
    <x:row r="76" ht="18">
      <x:c r="A76" s="12" t="str">
        <x:v>873965250992</x:v>
      </x:c>
      <x:c r="B76" s="3" t="n">
        <x:v>74.12</x:v>
      </x:c>
      <x:c r="C76" s="5" t="n">
        <x:v>89.639</x:v>
      </x:c>
      <x:c r="D76" s="5" t="n">
        <x:f>C76-B76</x:f>
        <x:v>15.518999999999991</x:v>
      </x:c>
      <x:c r="E76" t="str">
        <x:v>AP300</x:v>
      </x:c>
      <x:c r="F76" t="str">
        <x:v>已匹配</x:v>
      </x:c>
      <x:c r="G76" t="str">
        <x:v>AP3002514008008536</x:v>
      </x:c>
      <x:c r="H76" t="str">
        <x:v>LOG-SRL26070632</x:v>
      </x:c>
      <x:c r="I76" s="16" t="n">
        <x:v>28</x:v>
      </x:c>
      <x:c r="J76" s="16" t="n">
        <x:v>20</x:v>
      </x:c>
      <x:c r="K76" s="16" t="n">
        <x:v>20</x:v>
      </x:c>
      <x:c r="L76" s="19" t="n">
        <x:v>95.5</x:v>
      </x:c>
      <x:c r="M76" t="str">
        <x:v>lb</x:v>
      </x:c>
      <x:c r="N76" s="19" t="n">
        <x:v>96</x:v>
      </x:c>
      <x:c r="O76" t="str">
        <x:v>lb</x:v>
      </x:c>
      <x:c r="P76" s="19" t="n">
        <x:v>83.99612189243835</x:v>
      </x:c>
      <x:c r="Q76" t="str">
        <x:v>lb</x:v>
      </x:c>
      <x:c r="R76" t="str">
        <x:v>CT</x:v>
      </x:c>
      <x:c r="S76" t="str">
        <x:v>WESTON</x:v>
      </x:c>
      <x:c r="T76" t="str">
        <x:v>NJ</x:v>
      </x:c>
      <x:c r="U76" t="str">
        <x:v>NEW BRUNSWICK</x:v>
      </x:c>
      <x:c r="V76" t="str">
        <x:v>已匹配</x:v>
      </x:c>
      <x:c r="W76" s="16" t="n">
        <x:v>0</x:v>
      </x:c>
      <x:c r="X76" s="17" t="str">
        <x:v>AP300：0</x:v>
      </x:c>
    </x:row>
    <x:row r="77" ht="18">
      <x:c r="A77" s="12" t="str">
        <x:v>874895163253</x:v>
      </x:c>
      <x:c r="B77" s="3" t="n">
        <x:v>103.39</x:v>
      </x:c>
      <x:c r="C77" s="5" t="n">
        <x:v>117.909</x:v>
      </x:c>
      <x:c r="D77" s="5" t="n">
        <x:f>C77-B77</x:f>
        <x:v>14.519000000000005</x:v>
      </x:c>
      <x:c r="E77" t="str">
        <x:v>EL400</x:v>
      </x:c>
      <x:c r="F77" t="str">
        <x:v>已匹配</x:v>
      </x:c>
      <x:c r="G77" t="str">
        <x:v>EL4002604234002484</x:v>
      </x:c>
      <x:c r="H77" t="str">
        <x:v>LOG-SRD26074133</x:v>
      </x:c>
      <x:c r="I77" s="16"/>
      <x:c r="J77" s="16"/>
      <x:c r="K77" s="16"/>
      <x:c r="L77" s="19"/>
      <x:c r="M77"/>
      <x:c r="N77" s="19"/>
      <x:c r="O77"/>
      <x:c r="P77" s="19"/>
      <x:c r="Q77"/>
      <x:c r="R77"/>
      <x:c r="S77"/>
      <x:c r="T77"/>
      <x:c r="U77"/>
      <x:c r="V77" t="str">
        <x:v>未匹配</x:v>
      </x:c>
      <x:c r="W77" s="16" t="n">
        <x:v>1</x:v>
      </x:c>
      <x:c r="X77" s="17" t="str">
        <x:v>Elite 400：1</x:v>
      </x:c>
    </x:row>
    <x:row r="78" ht="18">
      <x:c r="A78" s="12" t="str">
        <x:v>874143420642</x:v>
      </x:c>
      <x:c r="B78" s="3" t="n">
        <x:v>32.22</x:v>
      </x:c>
      <x:c r="C78" s="5" t="n">
        <x:v>46.684</x:v>
      </x:c>
      <x:c r="D78" s="5" t="n">
        <x:f>C78-B78</x:f>
        <x:v>14.463999999999999</x:v>
      </x:c>
      <x:c r="E78" t="str">
        <x:v>EL100V2</x:v>
      </x:c>
      <x:c r="F78" t="str">
        <x:v>已匹配</x:v>
      </x:c>
      <x:c r="G78" t="str">
        <x:v>EL100V22545130139138</x:v>
      </x:c>
      <x:c r="H78" t="str">
        <x:v>LOG-SRD26071217</x:v>
      </x:c>
      <x:c r="I78" s="16" t="n">
        <x:v>16</x:v>
      </x:c>
      <x:c r="J78" s="16" t="n">
        <x:v>13</x:v>
      </x:c>
      <x:c r="K78" s="16" t="n">
        <x:v>11</x:v>
      </x:c>
      <x:c r="L78" s="19" t="n">
        <x:v>27</x:v>
      </x:c>
      <x:c r="M78" t="str">
        <x:v>lb</x:v>
      </x:c>
      <x:c r="N78" s="19" t="n">
        <x:v>27</x:v>
      </x:c>
      <x:c r="O78" t="str">
        <x:v>lb</x:v>
      </x:c>
      <x:c r="P78" s="19" t="n">
        <x:v>25.000420531765116</x:v>
      </x:c>
      <x:c r="Q78" t="str">
        <x:v>lb</x:v>
      </x:c>
      <x:c r="R78" t="str">
        <x:v>TX</x:v>
      </x:c>
      <x:c r="S78" t="str">
        <x:v>SPRING</x:v>
      </x:c>
      <x:c r="T78" t="str">
        <x:v>NJ</x:v>
      </x:c>
      <x:c r="U78" t="str">
        <x:v>NEW BRUNSWICK</x:v>
      </x:c>
      <x:c r="V78" t="str">
        <x:v>已匹配</x:v>
      </x:c>
      <x:c r="W78" s="16" t="n">
        <x:v>11.34</x:v>
      </x:c>
      <x:c r="X78" s="17" t="str">
        <x:v>EL100V2：11.34</x:v>
      </x:c>
    </x:row>
    <x:row r="79" ht="18">
      <x:c r="A79" s="12" t="str">
        <x:v>873602771330</x:v>
      </x:c>
      <x:c r="B79" s="3" t="n">
        <x:v>18.83</x:v>
      </x:c>
      <x:c r="C79" s="5" t="n">
        <x:v>33.176</x:v>
      </x:c>
      <x:c r="D79" s="5" t="n">
        <x:f>C79-B79</x:f>
        <x:v>14.346000000000004</x:v>
      </x:c>
      <x:c r="E79" t="str">
        <x:v>AB3A</x:v>
      </x:c>
      <x:c r="F79" t="str">
        <x:v>已匹配</x:v>
      </x:c>
      <x:c r="G79" t="str">
        <x:v>EB3A2438003052560</x:v>
      </x:c>
      <x:c r="H79" t="str">
        <x:v>无源头退货已入库</x:v>
      </x:c>
      <x:c r="I79" s="16" t="n">
        <x:v>22</x:v>
      </x:c>
      <x:c r="J79" s="16" t="n">
        <x:v>16</x:v>
      </x:c>
      <x:c r="K79" s="16" t="n">
        <x:v>16</x:v>
      </x:c>
      <x:c r="L79" s="19" t="n">
        <x:v>18.1</x:v>
      </x:c>
      <x:c r="M79" t="str">
        <x:v>lb</x:v>
      </x:c>
      <x:c r="N79" s="19" t="n">
        <x:v>34</x:v>
      </x:c>
      <x:c r="O79" t="str">
        <x:v>lb</x:v>
      </x:c>
      <x:c r="P79" s="19" t="n">
        <x:v>10.141264060504367</x:v>
      </x:c>
      <x:c r="Q79" t="str">
        <x:v>lb</x:v>
      </x:c>
      <x:c r="R79" t="str">
        <x:v>GA</x:v>
      </x:c>
      <x:c r="S79" t="str">
        <x:v>NEWNAN</x:v>
      </x:c>
      <x:c r="T79" t="str">
        <x:v>NJ</x:v>
      </x:c>
      <x:c r="U79" t="str">
        <x:v>NEW BRUNSWICK</x:v>
      </x:c>
      <x:c r="V79" t="str">
        <x:v>已匹配</x:v>
      </x:c>
      <x:c r="W79" s="16" t="n">
        <x:v>1</x:v>
      </x:c>
      <x:c r="X79" s="17" t="str">
        <x:v>EB3A：1</x:v>
      </x:c>
    </x:row>
    <x:row r="80" ht="18">
      <x:c r="A80" s="12" t="str">
        <x:v>873469399623</x:v>
      </x:c>
      <x:c r="B80" s="3" t="n">
        <x:v>69.45</x:v>
      </x:c>
      <x:c r="C80" s="5" t="n">
        <x:v>82.863</x:v>
      </x:c>
      <x:c r="D80" s="5" t="n">
        <x:f>C80-B80</x:f>
        <x:v>13.412999999999997</x:v>
      </x:c>
      <x:c r="E80" t="str">
        <x:v>AC300</x:v>
      </x:c>
      <x:c r="F80" t="str">
        <x:v>已匹配</x:v>
      </x:c>
      <x:c r="G80" t="str">
        <x:v>AC3002211001587941</x:v>
      </x:c>
      <x:c r="H80" t="str">
        <x:v>LOG-CRP26062385</x:v>
      </x:c>
      <x:c r="I80" s="16" t="n">
        <x:v>28</x:v>
      </x:c>
      <x:c r="J80" s="16" t="n">
        <x:v>25</x:v>
      </x:c>
      <x:c r="K80" s="16" t="n">
        <x:v>20</x:v>
      </x:c>
      <x:c r="L80" s="19" t="n">
        <x:v>61.3</x:v>
      </x:c>
      <x:c r="M80" t="str">
        <x:v>lb</x:v>
      </x:c>
      <x:c r="N80" s="19" t="n">
        <x:v>85</x:v>
      </x:c>
      <x:c r="O80" t="str">
        <x:v>lb</x:v>
      </x:c>
      <x:c r="P80" s="19" t="n">
        <x:v>60.979861720337134</x:v>
      </x:c>
      <x:c r="Q80" t="str">
        <x:v>lb</x:v>
      </x:c>
      <x:c r="R80" t="str">
        <x:v>VA</x:v>
      </x:c>
      <x:c r="S80" t="str">
        <x:v>KENBRIDGE</x:v>
      </x:c>
      <x:c r="T80" t="str">
        <x:v>NJ</x:v>
      </x:c>
      <x:c r="U80" t="str">
        <x:v>NEW BRUNSWICK</x:v>
      </x:c>
      <x:c r="V80" t="str">
        <x:v>已匹配</x:v>
      </x:c>
      <x:c r="W80" s="16" t="n">
        <x:v>0</x:v>
      </x:c>
      <x:c r="X80" s="17" t="str">
        <x:v>商品名称为空：0</x:v>
      </x:c>
    </x:row>
    <x:row r="81" ht="18">
      <x:c r="A81" s="12" t="str">
        <x:v>873169813564</x:v>
      </x:c>
      <x:c r="B81" s="3" t="n">
        <x:v>63.63</x:v>
      </x:c>
      <x:c r="C81" s="5" t="n">
        <x:v>76.872</x:v>
      </x:c>
      <x:c r="D81" s="5" t="n">
        <x:f>C81-B81</x:f>
        <x:v>13.241999999999997</x:v>
      </x:c>
      <x:c r="E81"/>
      <x:c r="F81" t="str">
        <x:v>未匹配</x:v>
      </x:c>
      <x:c r="G81"/>
      <x:c r="H81"/>
      <x:c r="I81" s="16" t="n">
        <x:v>64</x:v>
      </x:c>
      <x:c r="J81" s="16" t="n">
        <x:v>56</x:v>
      </x:c>
      <x:c r="K81" s="16" t="n">
        <x:v>46</x:v>
      </x:c>
      <x:c r="L81" s="19" t="n">
        <x:v>56.2</x:v>
      </x:c>
      <x:c r="M81" t="str">
        <x:v>lb</x:v>
      </x:c>
      <x:c r="N81" s="19" t="n">
        <x:v>61</x:v>
      </x:c>
      <x:c r="O81" t="str">
        <x:v>lb</x:v>
      </x:c>
      <x:c r="P81" s="19" t="n">
        <x:v>37.98564777445441</x:v>
      </x:c>
      <x:c r="Q81" t="str">
        <x:v>lb</x:v>
      </x:c>
      <x:c r="R81" t="str">
        <x:v>NJ</x:v>
      </x:c>
      <x:c r="S81" t="str">
        <x:v>NEW BRUNSWICK</x:v>
      </x:c>
      <x:c r="T81" t="str">
        <x:v>VA</x:v>
      </x:c>
      <x:c r="U81" t="str">
        <x:v>HARRISONBURG</x:v>
      </x:c>
      <x:c r="V81" t="str">
        <x:v>已匹配</x:v>
      </x:c>
      <x:c r="W81" s="16"/>
      <x:c r="X81" s="17"/>
    </x:row>
    <x:row r="82" ht="18">
      <x:c r="A82" s="12" t="str">
        <x:v>873478624488</x:v>
      </x:c>
      <x:c r="B82" s="3" t="n">
        <x:v>85.53</x:v>
      </x:c>
      <x:c r="C82" s="5" t="n">
        <x:v>98.692</x:v>
      </x:c>
      <x:c r="D82" s="5" t="n">
        <x:f>C82-B82</x:f>
        <x:v>13.161999999999992</x:v>
      </x:c>
      <x:c r="E82" t="str">
        <x:v>EL400</x:v>
      </x:c>
      <x:c r="F82" t="str">
        <x:v>已匹配</x:v>
      </x:c>
      <x:c r="G82" t="str">
        <x:v>EL4002604130313330</x:v>
      </x:c>
      <x:c r="H82" t="str">
        <x:v>LOG-SRD26062444</x:v>
      </x:c>
      <x:c r="I82" s="16" t="n">
        <x:v>27</x:v>
      </x:c>
      <x:c r="J82" s="16" t="n">
        <x:v>22</x:v>
      </x:c>
      <x:c r="K82" s="16" t="n">
        <x:v>16</x:v>
      </x:c>
      <x:c r="L82" s="19" t="n">
        <x:v>100.5</x:v>
      </x:c>
      <x:c r="M82" t="str">
        <x:v>lb</x:v>
      </x:c>
      <x:c r="N82" s="19" t="n">
        <x:v>101</x:v>
      </x:c>
      <x:c r="O82" t="str">
        <x:v>lb</x:v>
      </x:c>
      <x:c r="P82" s="19" t="n">
        <x:v>85.98028225210226</x:v>
      </x:c>
      <x:c r="Q82" t="str">
        <x:v>lb</x:v>
      </x:c>
      <x:c r="R82" t="str">
        <x:v>VT</x:v>
      </x:c>
      <x:c r="S82" t="str">
        <x:v>BARNARD</x:v>
      </x:c>
      <x:c r="T82" t="str">
        <x:v>NJ</x:v>
      </x:c>
      <x:c r="U82" t="str">
        <x:v>NEW BRUNSWICK</x:v>
      </x:c>
      <x:c r="V82" t="str">
        <x:v>已匹配</x:v>
      </x:c>
      <x:c r="W82" s="16" t="n">
        <x:v>1</x:v>
      </x:c>
      <x:c r="X82" s="17" t="str">
        <x:v>Elite 400：1</x:v>
      </x:c>
    </x:row>
    <x:row r="83" ht="18">
      <x:c r="A83" s="12" t="str">
        <x:v>873109425642</x:v>
      </x:c>
      <x:c r="B83" s="3" t="n">
        <x:v>51.15</x:v>
      </x:c>
      <x:c r="C83" s="5" t="n">
        <x:v>64.308</x:v>
      </x:c>
      <x:c r="D83" s="5" t="n">
        <x:f>C83-B83</x:f>
        <x:v>13.158000000000008</x:v>
      </x:c>
      <x:c r="E83"/>
      <x:c r="F83" t="str">
        <x:v>未匹配</x:v>
      </x:c>
      <x:c r="G83"/>
      <x:c r="H83"/>
      <x:c r="I83" s="16" t="n">
        <x:v>41</x:v>
      </x:c>
      <x:c r="J83" s="16" t="n">
        <x:v>41</x:v>
      </x:c>
      <x:c r="K83" s="16" t="n">
        <x:v>30</x:v>
      </x:c>
      <x:c r="L83" s="19" t="n">
        <x:v>29.8</x:v>
      </x:c>
      <x:c r="M83" t="str">
        <x:v>lb</x:v>
      </x:c>
      <x:c r="N83" s="19" t="n">
        <x:v>30</x:v>
      </x:c>
      <x:c r="O83" t="str">
        <x:v>lb</x:v>
      </x:c>
      <x:c r="P83" s="19" t="n">
        <x:v>20.988007360000342</x:v>
      </x:c>
      <x:c r="Q83" t="str">
        <x:v>lb</x:v>
      </x:c>
      <x:c r="R83" t="str">
        <x:v>NJ</x:v>
      </x:c>
      <x:c r="S83" t="str">
        <x:v>NEW BRUNSWICK</x:v>
      </x:c>
      <x:c r="T83" t="str">
        <x:v>CO</x:v>
      </x:c>
      <x:c r="U83" t="str">
        <x:v>DURANGO</x:v>
      </x:c>
      <x:c r="V83" t="str">
        <x:v>已匹配</x:v>
      </x:c>
      <x:c r="W83" s="16"/>
      <x:c r="X83" s="17"/>
    </x:row>
    <x:row r="84" ht="18">
      <x:c r="A84" s="12" t="str">
        <x:v>873941111469</x:v>
      </x:c>
      <x:c r="B84" s="3" t="n">
        <x:v>33.29</x:v>
      </x:c>
      <x:c r="C84" s="5" t="n">
        <x:v>46.343</x:v>
      </x:c>
      <x:c r="D84" s="5" t="n">
        <x:f>C84-B84</x:f>
        <x:v>13.053000000000004</x:v>
      </x:c>
      <x:c r="E84" t="str">
        <x:v>AC70</x:v>
      </x:c>
      <x:c r="F84" t="str">
        <x:v>已匹配</x:v>
      </x:c>
      <x:c r="G84" t="str">
        <x:v>AC702540002003470</x:v>
      </x:c>
      <x:c r="H84" t="str">
        <x:v>LOG-SRD26070649</x:v>
      </x:c>
      <x:c r="I84" s="16" t="n">
        <x:v>15</x:v>
      </x:c>
      <x:c r="J84" s="16" t="n">
        <x:v>15</x:v>
      </x:c>
      <x:c r="K84" s="16" t="n">
        <x:v>11</x:v>
      </x:c>
      <x:c r="L84" s="19" t="n">
        <x:v>25.6</x:v>
      </x:c>
      <x:c r="M84" t="str">
        <x:v>lb</x:v>
      </x:c>
      <x:c r="N84" s="19" t="n">
        <x:v>26</x:v>
      </x:c>
      <x:c r="O84" t="str">
        <x:v>lb</x:v>
      </x:c>
      <x:c r="P84" s="19" t="n">
        <x:v>16.99764041445406</x:v>
      </x:c>
      <x:c r="Q84" t="str">
        <x:v>lb</x:v>
      </x:c>
      <x:c r="R84" t="str">
        <x:v>UT</x:v>
      </x:c>
      <x:c r="S84" t="str">
        <x:v>RIVERTON</x:v>
      </x:c>
      <x:c r="T84" t="str">
        <x:v>NJ</x:v>
      </x:c>
      <x:c r="U84" t="str">
        <x:v>NEW BRUNSWICK</x:v>
      </x:c>
      <x:c r="V84" t="str">
        <x:v>已匹配</x:v>
      </x:c>
      <x:c r="W84" s="16" t="n">
        <x:v>7.711</x:v>
      </x:c>
      <x:c r="X84" s="17" t="str">
        <x:v>AC70：7.711</x:v>
      </x:c>
    </x:row>
    <x:row r="85" ht="18">
      <x:c r="A85" s="12" t="str">
        <x:v>873856999804</x:v>
      </x:c>
      <x:c r="B85" s="3" t="n">
        <x:v>88.81</x:v>
      </x:c>
      <x:c r="C85" s="5" t="n">
        <x:v>101.816</x:v>
      </x:c>
      <x:c r="D85" s="5" t="n">
        <x:f>C85-B85</x:f>
        <x:v>13.006</x:v>
      </x:c>
      <x:c r="E85" t="str">
        <x:v>AP300</x:v>
      </x:c>
      <x:c r="F85" t="str">
        <x:v>已匹配</x:v>
      </x:c>
      <x:c r="G85" t="str">
        <x:v>AP3002606132505012</x:v>
      </x:c>
      <x:c r="H85"/>
      <x:c r="I85" s="16" t="n">
        <x:v>27</x:v>
      </x:c>
      <x:c r="J85" s="16" t="n">
        <x:v>20</x:v>
      </x:c>
      <x:c r="K85" s="16" t="n">
        <x:v>20</x:v>
      </x:c>
      <x:c r="L85" s="19" t="n">
        <x:v>97.7</x:v>
      </x:c>
      <x:c r="M85" t="str">
        <x:v>lb</x:v>
      </x:c>
      <x:c r="N85" s="19" t="n">
        <x:v>98</x:v>
      </x:c>
      <x:c r="O85" t="str">
        <x:v>lb</x:v>
      </x:c>
      <x:c r="P85" s="19" t="n">
        <x:v>83.77565963025347</x:v>
      </x:c>
      <x:c r="Q85" t="str">
        <x:v>lb</x:v>
      </x:c>
      <x:c r="R85" t="str">
        <x:v>OH</x:v>
      </x:c>
      <x:c r="S85" t="str">
        <x:v>TOLEDO</x:v>
      </x:c>
      <x:c r="T85" t="str">
        <x:v>NJ</x:v>
      </x:c>
      <x:c r="U85" t="str">
        <x:v>NEW BRUNSWICK</x:v>
      </x:c>
      <x:c r="V85" t="str">
        <x:v>已匹配</x:v>
      </x:c>
      <x:c r="W85" s="16" t="n">
        <x:v>1</x:v>
      </x:c>
      <x:c r="X85" s="17" t="str">
        <x:v>Apex 300：1</x:v>
      </x:c>
    </x:row>
    <x:row r="86" ht="18">
      <x:c r="A86" s="12" t="str">
        <x:v>874039858376</x:v>
      </x:c>
      <x:c r="B86" s="3" t="n">
        <x:v>18.64</x:v>
      </x:c>
      <x:c r="C86" s="5" t="n">
        <x:v>31.438</x:v>
      </x:c>
      <x:c r="D86" s="5" t="n">
        <x:f>C86-B86</x:f>
        <x:v>12.797999999999998</x:v>
      </x:c>
      <x:c r="E86" t="str">
        <x:v>AC180</x:v>
      </x:c>
      <x:c r="F86" t="str">
        <x:v>已匹配</x:v>
      </x:c>
      <x:c r="G86" t="str">
        <x:v>AC1802441001023528</x:v>
      </x:c>
      <x:c r="H86" t="str">
        <x:v>LOG-SRL26073411</x:v>
      </x:c>
      <x:c r="I86" s="16" t="n">
        <x:v>18</x:v>
      </x:c>
      <x:c r="J86" s="16" t="n">
        <x:v>16</x:v>
      </x:c>
      <x:c r="K86" s="16" t="n">
        <x:v>12</x:v>
      </x:c>
      <x:c r="L86" s="19" t="n">
        <x:v>39.5</x:v>
      </x:c>
      <x:c r="M86" t="str">
        <x:v>lb</x:v>
      </x:c>
      <x:c r="N86" s="19" t="n">
        <x:v>40</x:v>
      </x:c>
      <x:c r="O86" t="str">
        <x:v>lb</x:v>
      </x:c>
      <x:c r="P86" s="19" t="n">
        <x:v>16.99764041445406</x:v>
      </x:c>
      <x:c r="Q86" t="str">
        <x:v>lb</x:v>
      </x:c>
      <x:c r="R86" t="str">
        <x:v>OH</x:v>
      </x:c>
      <x:c r="S86" t="str">
        <x:v>LIMA</x:v>
      </x:c>
      <x:c r="T86" t="str">
        <x:v>NJ</x:v>
      </x:c>
      <x:c r="U86" t="str">
        <x:v>NEW BRUNSWICK</x:v>
      </x:c>
      <x:c r="V86" t="str">
        <x:v>已匹配</x:v>
      </x:c>
      <x:c r="W86" s="16" t="n">
        <x:v>5.443</x:v>
      </x:c>
      <x:c r="X86" s="17" t="str">
        <x:v>AC180：5.443</x:v>
      </x:c>
    </x:row>
    <x:row r="87" ht="18">
      <x:c r="A87" s="12" t="str">
        <x:v>873112849706</x:v>
      </x:c>
      <x:c r="B87" s="3" t="n">
        <x:v>49.04</x:v>
      </x:c>
      <x:c r="C87" s="5" t="n">
        <x:v>61.812</x:v>
      </x:c>
      <x:c r="D87" s="5" t="n">
        <x:f>C87-B87</x:f>
        <x:v>12.771999999999998</x:v>
      </x:c>
      <x:c r="E87"/>
      <x:c r="F87" t="str">
        <x:v>未匹配</x:v>
      </x:c>
      <x:c r="G87"/>
      <x:c r="H87"/>
      <x:c r="I87" s="16" t="n">
        <x:v>46</x:v>
      </x:c>
      <x:c r="J87" s="16" t="n">
        <x:v>43</x:v>
      </x:c>
      <x:c r="K87" s="16" t="n">
        <x:v>33</x:v>
      </x:c>
      <x:c r="L87" s="19" t="n">
        <x:v>42.1</x:v>
      </x:c>
      <x:c r="M87" t="str">
        <x:v>lb</x:v>
      </x:c>
      <x:c r="N87" s="19" t="n">
        <x:v>43</x:v>
      </x:c>
      <x:c r="O87" t="str">
        <x:v>lb</x:v>
      </x:c>
      <x:c r="P87" s="19" t="n">
        <x:v>31.989074243025733</x:v>
      </x:c>
      <x:c r="Q87" t="str">
        <x:v>lb</x:v>
      </x:c>
      <x:c r="R87" t="str">
        <x:v>NJ</x:v>
      </x:c>
      <x:c r="S87" t="str">
        <x:v>NEW BRUNSWICK</x:v>
      </x:c>
      <x:c r="T87" t="str">
        <x:v>FL</x:v>
      </x:c>
      <x:c r="U87" t="str">
        <x:v>FLORAL CITY</x:v>
      </x:c>
      <x:c r="V87" t="str">
        <x:v>已匹配</x:v>
      </x:c>
      <x:c r="W87" s="16"/>
      <x:c r="X87" s="17"/>
    </x:row>
    <x:row r="88" ht="18">
      <x:c r="A88" s="12" t="str">
        <x:v>874095581056</x:v>
      </x:c>
      <x:c r="B88" s="3" t="n">
        <x:v>100.59</x:v>
      </x:c>
      <x:c r="C88" s="5" t="n">
        <x:v>113.245</x:v>
      </x:c>
      <x:c r="D88" s="5" t="n">
        <x:f>C88-B88</x:f>
        <x:v>12.655000000000001</x:v>
      </x:c>
      <x:c r="E88" t="str">
        <x:v>AP300</x:v>
      </x:c>
      <x:c r="F88" t="str">
        <x:v>已匹配</x:v>
      </x:c>
      <x:c r="G88" t="str">
        <x:v>AP3002606132467317</x:v>
      </x:c>
      <x:c r="H88" t="str">
        <x:v>LOG-SRD26071110</x:v>
      </x:c>
      <x:c r="I88" s="16" t="n">
        <x:v>27</x:v>
      </x:c>
      <x:c r="J88" s="16" t="n">
        <x:v>20</x:v>
      </x:c>
      <x:c r="K88" s="16" t="n">
        <x:v>20</x:v>
      </x:c>
      <x:c r="L88" s="19" t="n">
        <x:v>98.1</x:v>
      </x:c>
      <x:c r="M88" t="str">
        <x:v>lb</x:v>
      </x:c>
      <x:c r="N88" s="19" t="n">
        <x:v>99</x:v>
      </x:c>
      <x:c r="O88" t="str">
        <x:v>lb</x:v>
      </x:c>
      <x:c r="P88" s="19" t="n">
        <x:v>83.77565963025347</x:v>
      </x:c>
      <x:c r="Q88" t="str">
        <x:v>lb</x:v>
      </x:c>
      <x:c r="R88" t="str">
        <x:v>MI</x:v>
      </x:c>
      <x:c r="S88" t="str">
        <x:v>PETOSKEY</x:v>
      </x:c>
      <x:c r="T88" t="str">
        <x:v>NJ</x:v>
      </x:c>
      <x:c r="U88" t="str">
        <x:v>NEW BRUNSWICK</x:v>
      </x:c>
      <x:c r="V88" t="str">
        <x:v>已匹配</x:v>
      </x:c>
      <x:c r="W88" s="16" t="n">
        <x:v>1</x:v>
      </x:c>
      <x:c r="X88" s="17" t="str">
        <x:v>Apex 300：1</x:v>
      </x:c>
    </x:row>
    <x:row r="89" ht="18">
      <x:c r="A89" s="12" t="str">
        <x:v>875025330119</x:v>
      </x:c>
      <x:c r="B89" s="3" t="n">
        <x:v>91.33</x:v>
      </x:c>
      <x:c r="C89" s="5" t="n">
        <x:v>103.675</x:v>
      </x:c>
      <x:c r="D89" s="5" t="n">
        <x:f>C89-B89</x:f>
        <x:v>12.344999999999999</x:v>
      </x:c>
      <x:c r="E89" t="str">
        <x:v>EL400</x:v>
      </x:c>
      <x:c r="F89" t="str">
        <x:v>已匹配</x:v>
      </x:c>
      <x:c r="G89" t="str">
        <x:v>EL4002604130362161</x:v>
      </x:c>
      <x:c r="H89" t="str">
        <x:v>EL4002604130362161</x:v>
      </x:c>
      <x:c r="I89" s="16"/>
      <x:c r="J89" s="16"/>
      <x:c r="K89" s="16"/>
      <x:c r="L89" s="19"/>
      <x:c r="M89"/>
      <x:c r="N89" s="19"/>
      <x:c r="O89"/>
      <x:c r="P89" s="19"/>
      <x:c r="Q89"/>
      <x:c r="R89"/>
      <x:c r="S89"/>
      <x:c r="T89"/>
      <x:c r="U89"/>
      <x:c r="V89" t="str">
        <x:v>未匹配</x:v>
      </x:c>
      <x:c r="W89" s="16" t="n">
        <x:v>39.009</x:v>
      </x:c>
      <x:c r="X89" s="17" t="str">
        <x:v>EL400：39.009</x:v>
      </x:c>
    </x:row>
    <x:row r="90" ht="18">
      <x:c r="A90" s="12" t="str">
        <x:v>873425107021</x:v>
      </x:c>
      <x:c r="B90" s="3" t="n">
        <x:v>43.92</x:v>
      </x:c>
      <x:c r="C90" s="5" t="n">
        <x:v>56.243</x:v>
      </x:c>
      <x:c r="D90" s="5" t="n">
        <x:f>C90-B90</x:f>
        <x:v>12.323</x:v>
      </x:c>
      <x:c r="E90" t="str">
        <x:v>AC180</x:v>
      </x:c>
      <x:c r="F90" t="str">
        <x:v>已匹配</x:v>
      </x:c>
      <x:c r="G90" t="str">
        <x:v>AC1802337002296499</x:v>
      </x:c>
      <x:c r="H90" t="str">
        <x:v>LOG-CRP26062320</x:v>
      </x:c>
      <x:c r="I90" s="16" t="n">
        <x:v>26</x:v>
      </x:c>
      <x:c r="J90" s="16" t="n">
        <x:v>19</x:v>
      </x:c>
      <x:c r="K90" s="16" t="n">
        <x:v>14</x:v>
      </x:c>
      <x:c r="L90" s="19" t="n">
        <x:v>49.2</x:v>
      </x:c>
      <x:c r="M90" t="str">
        <x:v>lb</x:v>
      </x:c>
      <x:c r="N90" s="19" t="n">
        <x:v>50</x:v>
      </x:c>
      <x:c r="O90" t="str">
        <x:v>lb</x:v>
      </x:c>
      <x:c r="P90" s="19" t="n">
        <x:v>35.27396194958041</x:v>
      </x:c>
      <x:c r="Q90" t="str">
        <x:v>lb</x:v>
      </x:c>
      <x:c r="R90" t="str">
        <x:v>TX</x:v>
      </x:c>
      <x:c r="S90" t="str">
        <x:v>LEAGUE CITY</x:v>
      </x:c>
      <x:c r="T90" t="str">
        <x:v>NJ</x:v>
      </x:c>
      <x:c r="U90" t="str">
        <x:v>NEW BRUNSWICK</x:v>
      </x:c>
      <x:c r="V90" t="str">
        <x:v>已匹配</x:v>
      </x:c>
      <x:c r="W90" s="16" t="n">
        <x:v>1</x:v>
      </x:c>
      <x:c r="X90" s="17" t="str">
        <x:v>AC180：1</x:v>
      </x:c>
    </x:row>
    <x:row r="91" ht="18">
      <x:c r="A91" s="12" t="str">
        <x:v>873857232775</x:v>
      </x:c>
      <x:c r="B91" s="3" t="n">
        <x:v>16.17</x:v>
      </x:c>
      <x:c r="C91" s="5" t="n">
        <x:v>28.204</x:v>
      </x:c>
      <x:c r="D91" s="5" t="n">
        <x:f>C91-B91</x:f>
        <x:v>12.033999999999999</x:v>
      </x:c>
      <x:c r="E91" t="str">
        <x:v>CHANGER2</x:v>
      </x:c>
      <x:c r="F91" t="str">
        <x:v>已匹配</x:v>
      </x:c>
      <x:c r="G91" t="str">
        <x:v>CHARGER 22605139779702</x:v>
      </x:c>
      <x:c r="H91" t="str">
        <x:v>LOG-SRD26070229</x:v>
      </x:c>
      <x:c r="I91" s="16" t="n">
        <x:v>13</x:v>
      </x:c>
      <x:c r="J91" s="16" t="n">
        <x:v>9</x:v>
      </x:c>
      <x:c r="K91" s="16" t="n">
        <x:v>9</x:v>
      </x:c>
      <x:c r="L91" s="19" t="n">
        <x:v>9.2</x:v>
      </x:c>
      <x:c r="M91" t="str">
        <x:v>lb</x:v>
      </x:c>
      <x:c r="N91" s="19" t="n">
        <x:v>10</x:v>
      </x:c>
      <x:c r="O91" t="str">
        <x:v>lb</x:v>
      </x:c>
      <x:c r="P91" s="19" t="n">
        <x:v>3.5053499687395537</x:v>
      </x:c>
      <x:c r="Q91" t="str">
        <x:v>lb</x:v>
      </x:c>
      <x:c r="R91" t="str">
        <x:v>OH</x:v>
      </x:c>
      <x:c r="S91" t="str">
        <x:v>TOLEDO</x:v>
      </x:c>
      <x:c r="T91" t="str">
        <x:v>NJ</x:v>
      </x:c>
      <x:c r="U91" t="str">
        <x:v>NEW BRUNSWICK</x:v>
      </x:c>
      <x:c r="V91" t="str">
        <x:v>已匹配</x:v>
      </x:c>
      <x:c r="W91" s="16" t="n">
        <x:v>1</x:v>
      </x:c>
      <x:c r="X91" s="17" t="str">
        <x:v>charger 2：1</x:v>
      </x:c>
    </x:row>
    <x:row r="92" ht="18">
      <x:c r="A92" s="12" t="str">
        <x:v>873956334836</x:v>
      </x:c>
      <x:c r="B92" s="3" t="n">
        <x:v>110.77</x:v>
      </x:c>
      <x:c r="C92" s="5" t="n">
        <x:v>122.595</x:v>
      </x:c>
      <x:c r="D92" s="5" t="n">
        <x:f>C92-B92</x:f>
        <x:v>11.825000000000003</x:v>
      </x:c>
      <x:c r="E92" t="str">
        <x:v>AC500</x:v>
      </x:c>
      <x:c r="F92" t="str">
        <x:v>已匹配</x:v>
      </x:c>
      <x:c r="G92" t="str">
        <x:v>AC5002452000245165</x:v>
      </x:c>
      <x:c r="H92" t="str">
        <x:v>LOG-SRL26070934</x:v>
      </x:c>
      <x:c r="I92" s="16" t="n">
        <x:v>66</x:v>
      </x:c>
      <x:c r="J92" s="16" t="n">
        <x:v>56</x:v>
      </x:c>
      <x:c r="K92" s="16" t="n">
        <x:v>41</x:v>
      </x:c>
      <x:c r="L92" s="19" t="n">
        <x:v>77.6</x:v>
      </x:c>
      <x:c r="M92" t="str">
        <x:v>lb</x:v>
      </x:c>
      <x:c r="N92" s="19" t="n">
        <x:v>78</x:v>
      </x:c>
      <x:c r="O92" t="str">
        <x:v>lb</x:v>
      </x:c>
      <x:c r="P92" s="19" t="n">
        <x:v>61.99398812638758</x:v>
      </x:c>
      <x:c r="Q92" t="str">
        <x:v>lb</x:v>
      </x:c>
      <x:c r="R92" t="str">
        <x:v>TX</x:v>
      </x:c>
      <x:c r="S92" t="str">
        <x:v>AUSTIN</x:v>
      </x:c>
      <x:c r="T92" t="str">
        <x:v>NJ</x:v>
      </x:c>
      <x:c r="U92" t="str">
        <x:v>NEW BRUNSWICK</x:v>
      </x:c>
      <x:c r="V92" t="str">
        <x:v>已匹配</x:v>
      </x:c>
      <x:c r="W92" s="16" t="n">
        <x:v>0</x:v>
      </x:c>
      <x:c r="X92" s="17" t="str">
        <x:v>商品名称为空：0</x:v>
      </x:c>
    </x:row>
    <x:row r="93" ht="18">
      <x:c r="A93" s="12" t="str">
        <x:v>874588862256</x:v>
      </x:c>
      <x:c r="B93" s="3" t="n">
        <x:v>76.99</x:v>
      </x:c>
      <x:c r="C93" s="5" t="n">
        <x:v>88.363</x:v>
      </x:c>
      <x:c r="D93" s="5" t="n">
        <x:f>C93-B93</x:f>
        <x:v>11.373000000000005</x:v>
      </x:c>
      <x:c r="E93" t="str">
        <x:v>EL400</x:v>
      </x:c>
      <x:c r="F93" t="str">
        <x:v>已匹配</x:v>
      </x:c>
      <x:c r="G93" t="str">
        <x:v>EL4002604232467100</x:v>
      </x:c>
      <x:c r="H93" t="str">
        <x:v>LOG-SRD26073064</x:v>
      </x:c>
      <x:c r="I93" s="16" t="n">
        <x:v>26</x:v>
      </x:c>
      <x:c r="J93" s="16" t="n">
        <x:v>22</x:v>
      </x:c>
      <x:c r="K93" s="16" t="n">
        <x:v>16</x:v>
      </x:c>
      <x:c r="L93" s="19" t="n">
        <x:v>94.7</x:v>
      </x:c>
      <x:c r="M93" t="str">
        <x:v>lb</x:v>
      </x:c>
      <x:c r="N93" s="19" t="n">
        <x:v>95</x:v>
      </x:c>
      <x:c r="O93" t="str">
        <x:v>lb</x:v>
      </x:c>
      <x:c r="P93" s="19" t="n">
        <x:v>85.98028225210226</x:v>
      </x:c>
      <x:c r="Q93" t="str">
        <x:v>lb</x:v>
      </x:c>
      <x:c r="R93" t="str">
        <x:v>NY</x:v>
      </x:c>
      <x:c r="S93" t="str">
        <x:v>MAMARONECK</x:v>
      </x:c>
      <x:c r="T93" t="str">
        <x:v>NJ</x:v>
      </x:c>
      <x:c r="U93" t="str">
        <x:v>NEW BRUNSWICK</x:v>
      </x:c>
      <x:c r="V93" t="str">
        <x:v>已匹配</x:v>
      </x:c>
      <x:c r="W93" s="16" t="n">
        <x:v>39.009</x:v>
      </x:c>
      <x:c r="X93" s="17" t="str">
        <x:v>EL400：39.009</x:v>
      </x:c>
    </x:row>
    <x:row r="94" ht="18">
      <x:c r="A94" s="12" t="str">
        <x:v>873162864479</x:v>
      </x:c>
      <x:c r="B94" s="3" t="n">
        <x:v>102.43</x:v>
      </x:c>
      <x:c r="C94" s="5" t="n">
        <x:v>113.748</x:v>
      </x:c>
      <x:c r="D94" s="5" t="n">
        <x:f>C94-B94</x:f>
        <x:v>11.317999999999998</x:v>
      </x:c>
      <x:c r="E94"/>
      <x:c r="F94" t="str">
        <x:v>未匹配</x:v>
      </x:c>
      <x:c r="G94"/>
      <x:c r="H94"/>
      <x:c r="I94" s="16" t="n">
        <x:v>58</x:v>
      </x:c>
      <x:c r="J94" s="16" t="n">
        <x:v>56</x:v>
      </x:c>
      <x:c r="K94" s="16" t="n">
        <x:v>43</x:v>
      </x:c>
      <x:c r="L94" s="19" t="n">
        <x:v>69.6</x:v>
      </x:c>
      <x:c r="M94" t="str">
        <x:v>lb</x:v>
      </x:c>
      <x:c r="N94" s="19" t="n">
        <x:v>70</x:v>
      </x:c>
      <x:c r="O94" t="str">
        <x:v>lb</x:v>
      </x:c>
      <x:c r="P94" s="19" t="n">
        <x:v>50.99292124336218</x:v>
      </x:c>
      <x:c r="Q94" t="str">
        <x:v>lb</x:v>
      </x:c>
      <x:c r="R94" t="str">
        <x:v>NJ</x:v>
      </x:c>
      <x:c r="S94" t="str">
        <x:v>NEW BRUNSWICK</x:v>
      </x:c>
      <x:c r="T94" t="str">
        <x:v>FL</x:v>
      </x:c>
      <x:c r="U94" t="str">
        <x:v>MIRAMAR BEACH</x:v>
      </x:c>
      <x:c r="V94" t="str">
        <x:v>已匹配</x:v>
      </x:c>
      <x:c r="W94" s="16"/>
      <x:c r="X94" s="17"/>
    </x:row>
    <x:row r="95" ht="18">
      <x:c r="A95" s="12" t="str">
        <x:v>873490306183</x:v>
      </x:c>
      <x:c r="B95" s="3" t="n">
        <x:v>25.62</x:v>
      </x:c>
      <x:c r="C95" s="5" t="n">
        <x:v>36.586</x:v>
      </x:c>
      <x:c r="D95" s="5" t="n">
        <x:f>C95-B95</x:f>
        <x:v>10.965999999999998</x:v>
      </x:c>
      <x:c r="E95" t="str">
        <x:v>AC70</x:v>
      </x:c>
      <x:c r="F95" t="str">
        <x:v>已匹配</x:v>
      </x:c>
      <x:c r="G95" t="str">
        <x:v>AC702539011591410</x:v>
      </x:c>
      <x:c r="H95" t="str">
        <x:v>LOG-SRD26062550</x:v>
      </x:c>
      <x:c r="I95" s="16" t="n">
        <x:v>16</x:v>
      </x:c>
      <x:c r="J95" s="16" t="n">
        <x:v>16</x:v>
      </x:c>
      <x:c r="K95" s="16" t="n">
        <x:v>12</x:v>
      </x:c>
      <x:c r="L95" s="19" t="n">
        <x:v>27.3</x:v>
      </x:c>
      <x:c r="M95" t="str">
        <x:v>lb</x:v>
      </x:c>
      <x:c r="N95" s="19" t="n">
        <x:v>28</x:v>
      </x:c>
      <x:c r="O95" t="str">
        <x:v>lb</x:v>
      </x:c>
      <x:c r="P95" s="19" t="n">
        <x:v>16.99764041445406</x:v>
      </x:c>
      <x:c r="Q95" t="str">
        <x:v>lb</x:v>
      </x:c>
      <x:c r="R95" t="str">
        <x:v>MN</x:v>
      </x:c>
      <x:c r="S95" t="str">
        <x:v>BEMIDJI</x:v>
      </x:c>
      <x:c r="T95" t="str">
        <x:v>NJ</x:v>
      </x:c>
      <x:c r="U95" t="str">
        <x:v>NEW BRUNSWICK</x:v>
      </x:c>
      <x:c r="V95" t="str">
        <x:v>已匹配</x:v>
      </x:c>
      <x:c r="W95" s="16" t="n">
        <x:v>10.433</x:v>
      </x:c>
      <x:c r="X95" s="17" t="str">
        <x:v>AC70：10.433</x:v>
      </x:c>
    </x:row>
    <x:row r="96" ht="18">
      <x:c r="A96" s="12" t="str">
        <x:v>873341053904</x:v>
      </x:c>
      <x:c r="B96" s="3" t="n">
        <x:v>103.58</x:v>
      </x:c>
      <x:c r="C96" s="5" t="n">
        <x:v>113.696</x:v>
      </x:c>
      <x:c r="D96" s="5" t="n">
        <x:f>C96-B96</x:f>
        <x:v>10.116</x:v>
      </x:c>
      <x:c r="E96" t="str">
        <x:v>EL400</x:v>
      </x:c>
      <x:c r="F96" t="str">
        <x:v>已匹配</x:v>
      </x:c>
      <x:c r="G96" t="str">
        <x:v>EL4002604130141003</x:v>
      </x:c>
      <x:c r="H96" t="str">
        <x:v>LOG-SRD26062048</x:v>
      </x:c>
      <x:c r="I96" s="16" t="n">
        <x:v>26</x:v>
      </x:c>
      <x:c r="J96" s="16" t="n">
        <x:v>21</x:v>
      </x:c>
      <x:c r="K96" s="16" t="n">
        <x:v>16</x:v>
      </x:c>
      <x:c r="L96" s="19" t="n">
        <x:v>98.9</x:v>
      </x:c>
      <x:c r="M96" t="str">
        <x:v>lb</x:v>
      </x:c>
      <x:c r="N96" s="19" t="n">
        <x:v>99</x:v>
      </x:c>
      <x:c r="O96" t="str">
        <x:v>lb</x:v>
      </x:c>
      <x:c r="P96" s="19" t="n">
        <x:v>85.98028225210226</x:v>
      </x:c>
      <x:c r="Q96" t="str">
        <x:v>lb</x:v>
      </x:c>
      <x:c r="R96" t="str">
        <x:v>MO</x:v>
      </x:c>
      <x:c r="S96" t="str">
        <x:v>SAINT LOUIS</x:v>
      </x:c>
      <x:c r="T96" t="str">
        <x:v>NJ</x:v>
      </x:c>
      <x:c r="U96" t="str">
        <x:v>NEW BRUNSWICK</x:v>
      </x:c>
      <x:c r="V96" t="str">
        <x:v>已匹配</x:v>
      </x:c>
      <x:c r="W96" s="16" t="n">
        <x:v>39.009</x:v>
      </x:c>
      <x:c r="X96" s="17" t="str">
        <x:v>EL400：39.009</x:v>
      </x:c>
    </x:row>
    <x:row r="97" ht="18">
      <x:c r="A97" s="12" t="str">
        <x:v>873185409203</x:v>
      </x:c>
      <x:c r="B97" s="3" t="n">
        <x:v>53.79</x:v>
      </x:c>
      <x:c r="C97" s="5" t="n">
        <x:v>63.613</x:v>
      </x:c>
      <x:c r="D97" s="5" t="n">
        <x:f>C97-B97</x:f>
        <x:v>9.823</x:v>
      </x:c>
      <x:c r="E97" t="str">
        <x:v>AC180</x:v>
      </x:c>
      <x:c r="F97" t="str">
        <x:v>已匹配</x:v>
      </x:c>
      <x:c r="G97" t="str">
        <x:v>AC1802447000956014</x:v>
      </x:c>
      <x:c r="H97" t="str">
        <x:v>LOG-SRL26061825</x:v>
      </x:c>
      <x:c r="I97" s="16" t="n">
        <x:v>23</x:v>
      </x:c>
      <x:c r="J97" s="16" t="n">
        <x:v>16</x:v>
      </x:c>
      <x:c r="K97" s="16" t="n">
        <x:v>14</x:v>
      </x:c>
      <x:c r="L97" s="19" t="n">
        <x:v>44.9</x:v>
      </x:c>
      <x:c r="M97" t="str">
        <x:v>lb</x:v>
      </x:c>
      <x:c r="N97" s="19" t="n">
        <x:v>45</x:v>
      </x:c>
      <x:c r="O97" t="str">
        <x:v>lb</x:v>
      </x:c>
      <x:c r="P97" s="19" t="n">
        <x:v>37.98564777445441</x:v>
      </x:c>
      <x:c r="Q97" t="str">
        <x:v>lb</x:v>
      </x:c>
      <x:c r="R97" t="str">
        <x:v>TX</x:v>
      </x:c>
      <x:c r="S97" t="str">
        <x:v>HAWLEY</x:v>
      </x:c>
      <x:c r="T97" t="str">
        <x:v>NJ</x:v>
      </x:c>
      <x:c r="U97" t="str">
        <x:v>NEW BRUNSWICK</x:v>
      </x:c>
      <x:c r="V97" t="str">
        <x:v>已匹配</x:v>
      </x:c>
      <x:c r="W97" s="16" t="n">
        <x:v>17.237</x:v>
      </x:c>
      <x:c r="X97" s="17" t="str">
        <x:v>AC180：17.237</x:v>
      </x:c>
    </x:row>
    <x:row r="98" ht="18">
      <x:c r="A98" s="12" t="str">
        <x:v>875030499683</x:v>
      </x:c>
      <x:c r="B98" s="3" t="n">
        <x:v>70.53</x:v>
      </x:c>
      <x:c r="C98" s="5" t="n">
        <x:v>80.058</x:v>
      </x:c>
      <x:c r="D98" s="5" t="n">
        <x:f>C98-B98</x:f>
        <x:v>9.528000000000006</x:v>
      </x:c>
      <x:c r="E98" t="str">
        <x:v>B300S</x:v>
      </x:c>
      <x:c r="F98" t="str">
        <x:v>已匹配</x:v>
      </x:c>
      <x:c r="G98" t="str">
        <x:v>90259Q22390169</x:v>
      </x:c>
      <x:c r="H98" t="str">
        <x:v>LOG-CRP26080245</x:v>
      </x:c>
      <x:c r="I98" s="16"/>
      <x:c r="J98" s="16"/>
      <x:c r="K98" s="16"/>
      <x:c r="L98" s="19"/>
      <x:c r="M98"/>
      <x:c r="N98" s="19"/>
      <x:c r="O98"/>
      <x:c r="P98" s="19"/>
      <x:c r="Q98"/>
      <x:c r="R98"/>
      <x:c r="S98"/>
      <x:c r="T98"/>
      <x:c r="U98"/>
      <x:c r="V98" t="str">
        <x:v>未匹配</x:v>
      </x:c>
      <x:c r="W98" s="16" t="n">
        <x:v>29.484</x:v>
      </x:c>
      <x:c r="X98" s="17" t="str">
        <x:v>B300S：29.484</x:v>
      </x:c>
    </x:row>
    <x:row r="99" ht="18">
      <x:c r="A99" s="12" t="str">
        <x:v>874973366473</x:v>
      </x:c>
      <x:c r="B99" s="3" t="n">
        <x:v>19.46</x:v>
      </x:c>
      <x:c r="C99" s="5" t="n">
        <x:v>28.864</x:v>
      </x:c>
      <x:c r="D99" s="5" t="n">
        <x:f>C99-B99</x:f>
        <x:v>9.404</x:v>
      </x:c>
      <x:c r="E99" t="str">
        <x:v>AC180</x:v>
      </x:c>
      <x:c r="F99" t="str">
        <x:v>已匹配</x:v>
      </x:c>
      <x:c r="G99" t="str">
        <x:v>AC1802419003205560</x:v>
      </x:c>
      <x:c r="H99" t="str">
        <x:v>LOG-CRP26074531</x:v>
      </x:c>
      <x:c r="I99" s="16"/>
      <x:c r="J99" s="16"/>
      <x:c r="K99" s="16"/>
      <x:c r="L99" s="19"/>
      <x:c r="M99"/>
      <x:c r="N99" s="19"/>
      <x:c r="O99"/>
      <x:c r="P99" s="19"/>
      <x:c r="Q99"/>
      <x:c r="R99"/>
      <x:c r="S99"/>
      <x:c r="T99"/>
      <x:c r="U99"/>
      <x:c r="V99" t="str">
        <x:v>未匹配</x:v>
      </x:c>
      <x:c r="W99" s="16" t="n">
        <x:v>10.433</x:v>
      </x:c>
      <x:c r="X99" s="17" t="str">
        <x:v>AC180：10.433</x:v>
      </x:c>
    </x:row>
    <x:row r="100" ht="18">
      <x:c r="A100" s="12" t="str">
        <x:v>873601056047</x:v>
      </x:c>
      <x:c r="B100" s="3" t="n">
        <x:v>103.18</x:v>
      </x:c>
      <x:c r="C100" s="5" t="n">
        <x:v>112.31</x:v>
      </x:c>
      <x:c r="D100" s="5" t="n">
        <x:f>C100-B100</x:f>
        <x:v>9.129999999999995</x:v>
      </x:c>
      <x:c r="E100" t="str">
        <x:v>EL400</x:v>
      </x:c>
      <x:c r="F100" t="str">
        <x:v>已匹配</x:v>
      </x:c>
      <x:c r="G100" t="str">
        <x:v>EL4002538110028933</x:v>
      </x:c>
      <x:c r="H100" t="str">
        <x:v>LOG-SRL26062885</x:v>
      </x:c>
      <x:c r="I100" s="16" t="n">
        <x:v>27</x:v>
      </x:c>
      <x:c r="J100" s="16" t="n">
        <x:v>22</x:v>
      </x:c>
      <x:c r="K100" s="16" t="n">
        <x:v>16</x:v>
      </x:c>
      <x:c r="L100" s="19" t="n">
        <x:v>97.9</x:v>
      </x:c>
      <x:c r="M100" t="str">
        <x:v>lb</x:v>
      </x:c>
      <x:c r="N100" s="19" t="n">
        <x:v>98</x:v>
      </x:c>
      <x:c r="O100" t="str">
        <x:v>lb</x:v>
      </x:c>
      <x:c r="P100" s="19" t="n">
        <x:v>85.98028225210226</x:v>
      </x:c>
      <x:c r="Q100" t="str">
        <x:v>lb</x:v>
      </x:c>
      <x:c r="R100" t="str">
        <x:v>WI</x:v>
      </x:c>
      <x:c r="S100" t="str">
        <x:v>WAUPUN</x:v>
      </x:c>
      <x:c r="T100" t="str">
        <x:v>NJ</x:v>
      </x:c>
      <x:c r="U100" t="str">
        <x:v>NEW BRUNSWICK</x:v>
      </x:c>
      <x:c r="V100" t="str">
        <x:v>已匹配</x:v>
      </x:c>
      <x:c r="W100" s="16" t="n">
        <x:v>1</x:v>
      </x:c>
      <x:c r="X100" s="17" t="str">
        <x:v>Elite 400：1</x:v>
      </x:c>
    </x:row>
    <x:row r="101" ht="18">
      <x:c r="A101" s="12" t="str">
        <x:v>873814694782</x:v>
      </x:c>
      <x:c r="B101" s="3" t="n">
        <x:v>30.19</x:v>
      </x:c>
      <x:c r="C101" s="5" t="n">
        <x:v>39.116</x:v>
      </x:c>
      <x:c r="D101" s="5" t="n">
        <x:f>C101-B101</x:f>
        <x:v>8.925999999999998</x:v>
      </x:c>
      <x:c r="E101" t="str">
        <x:v>AC180</x:v>
      </x:c>
      <x:c r="F101" t="str">
        <x:v>已匹配</x:v>
      </x:c>
      <x:c r="G101" t="str">
        <x:v>AC1802439001099683</x:v>
      </x:c>
      <x:c r="H101" t="str">
        <x:v>LOG-CRP26070869</x:v>
      </x:c>
      <x:c r="I101" s="16" t="n">
        <x:v>17</x:v>
      </x:c>
      <x:c r="J101" s="16" t="n">
        <x:v>16</x:v>
      </x:c>
      <x:c r="K101" s="16" t="n">
        <x:v>16</x:v>
      </x:c>
      <x:c r="L101" s="19" t="n">
        <x:v>41.2</x:v>
      </x:c>
      <x:c r="M101" t="str">
        <x:v>lb</x:v>
      </x:c>
      <x:c r="N101" s="19" t="n">
        <x:v>42</x:v>
      </x:c>
      <x:c r="O101" t="str">
        <x:v>lb</x:v>
      </x:c>
      <x:c r="P101" s="19" t="n">
        <x:v>37.98564777445441</x:v>
      </x:c>
      <x:c r="Q101" t="str">
        <x:v>lb</x:v>
      </x:c>
      <x:c r="R101" t="str">
        <x:v>IN</x:v>
      </x:c>
      <x:c r="S101" t="str">
        <x:v>NEW CASTLE</x:v>
      </x:c>
      <x:c r="T101" t="str">
        <x:v>NJ</x:v>
      </x:c>
      <x:c r="U101" t="str">
        <x:v>NEW BRUNSWICK</x:v>
      </x:c>
      <x:c r="V101" t="str">
        <x:v>已匹配</x:v>
      </x:c>
      <x:c r="W101" s="16" t="n">
        <x:v>17.237</x:v>
      </x:c>
      <x:c r="X101" s="17" t="str">
        <x:v>AC180：17.237</x:v>
      </x:c>
    </x:row>
    <x:row r="102" ht="18">
      <x:c r="A102" s="12" t="str">
        <x:v>874563668509</x:v>
      </x:c>
      <x:c r="B102" s="3" t="n">
        <x:v>27.65</x:v>
      </x:c>
      <x:c r="C102" s="5" t="n">
        <x:v>36.509</x:v>
      </x:c>
      <x:c r="D102" s="5" t="n">
        <x:f>C102-B102</x:f>
        <x:v>8.859000000000002</x:v>
      </x:c>
      <x:c r="E102" t="str">
        <x:v>AC70</x:v>
      </x:c>
      <x:c r="F102" t="str">
        <x:v>已匹配</x:v>
      </x:c>
      <x:c r="G102" t="str">
        <x:v>AC702447001227239</x:v>
      </x:c>
      <x:c r="H102" t="str">
        <x:v>LOG-SRD26073313</x:v>
      </x:c>
      <x:c r="I102" s="16" t="n">
        <x:v>16</x:v>
      </x:c>
      <x:c r="J102" s="16" t="n">
        <x:v>15</x:v>
      </x:c>
      <x:c r="K102" s="16" t="n">
        <x:v>12</x:v>
      </x:c>
      <x:c r="L102" s="19" t="n">
        <x:v>27.4</x:v>
      </x:c>
      <x:c r="M102" t="str">
        <x:v>lb</x:v>
      </x:c>
      <x:c r="N102" s="19" t="n">
        <x:v>28</x:v>
      </x:c>
      <x:c r="O102" t="str">
        <x:v>lb</x:v>
      </x:c>
      <x:c r="P102" s="19" t="n">
        <x:v>17.98972059428601</x:v>
      </x:c>
      <x:c r="Q102" t="str">
        <x:v>lb</x:v>
      </x:c>
      <x:c r="R102" t="str">
        <x:v>FL</x:v>
      </x:c>
      <x:c r="S102" t="str">
        <x:v>MIAMI BEACH</x:v>
      </x:c>
      <x:c r="T102" t="str">
        <x:v>NJ</x:v>
      </x:c>
      <x:c r="U102" t="str">
        <x:v>NEW BRUNSWICK</x:v>
      </x:c>
      <x:c r="V102" t="str">
        <x:v>已匹配</x:v>
      </x:c>
      <x:c r="W102" s="16" t="n">
        <x:v>8.165</x:v>
      </x:c>
      <x:c r="X102" s="17" t="str">
        <x:v>AC70：8.165</x:v>
      </x:c>
    </x:row>
    <x:row r="103" ht="18">
      <x:c r="A103" s="12" t="str">
        <x:v>874762837228</x:v>
      </x:c>
      <x:c r="B103" s="3" t="n">
        <x:v>61.02</x:v>
      </x:c>
      <x:c r="C103" s="5" t="n">
        <x:v>69.85</x:v>
      </x:c>
      <x:c r="D103" s="5" t="n">
        <x:f>C103-B103</x:f>
        <x:v>8.829999999999991</x:v>
      </x:c>
      <x:c r="E103" t="str">
        <x:v>AC180</x:v>
      </x:c>
      <x:c r="F103" t="str">
        <x:v>已匹配</x:v>
      </x:c>
      <x:c r="G103" t="str">
        <x:v>AC1802339002969144</x:v>
      </x:c>
      <x:c r="H103" t="str">
        <x:v>LOG-CRP26073709</x:v>
      </x:c>
      <x:c r="I103" s="16"/>
      <x:c r="J103" s="16"/>
      <x:c r="K103" s="16"/>
      <x:c r="L103" s="19"/>
      <x:c r="M103"/>
      <x:c r="N103" s="19"/>
      <x:c r="O103"/>
      <x:c r="P103" s="19"/>
      <x:c r="Q103"/>
      <x:c r="R103"/>
      <x:c r="S103"/>
      <x:c r="T103"/>
      <x:c r="U103"/>
      <x:c r="V103" t="str">
        <x:v>未匹配</x:v>
      </x:c>
      <x:c r="W103" s="16" t="n">
        <x:v>0</x:v>
      </x:c>
      <x:c r="X103" s="17" t="str">
        <x:v>商品名称为空：0</x:v>
      </x:c>
    </x:row>
    <x:row r="104" ht="18">
      <x:c r="A104" s="12" t="str">
        <x:v>873109425620</x:v>
      </x:c>
      <x:c r="B104" s="3" t="n">
        <x:v>33.15</x:v>
      </x:c>
      <x:c r="C104" s="5" t="n">
        <x:v>41.916</x:v>
      </x:c>
      <x:c r="D104" s="5" t="n">
        <x:f>C104-B104</x:f>
        <x:v>8.765999999999998</x:v>
      </x:c>
      <x:c r="E104"/>
      <x:c r="F104" t="str">
        <x:v>未匹配</x:v>
      </x:c>
      <x:c r="G104"/>
      <x:c r="H104"/>
      <x:c r="I104" s="16" t="n">
        <x:v>41</x:v>
      </x:c>
      <x:c r="J104" s="16" t="n">
        <x:v>41</x:v>
      </x:c>
      <x:c r="K104" s="16" t="n">
        <x:v>30</x:v>
      </x:c>
      <x:c r="L104" s="19" t="n">
        <x:v>29.8</x:v>
      </x:c>
      <x:c r="M104" t="str">
        <x:v>lb</x:v>
      </x:c>
      <x:c r="N104" s="19" t="n">
        <x:v>30</x:v>
      </x:c>
      <x:c r="O104" t="str">
        <x:v>lb</x:v>
      </x:c>
      <x:c r="P104" s="19" t="n">
        <x:v>20.988007360000342</x:v>
      </x:c>
      <x:c r="Q104" t="str">
        <x:v>lb</x:v>
      </x:c>
      <x:c r="R104" t="str">
        <x:v>NJ</x:v>
      </x:c>
      <x:c r="S104" t="str">
        <x:v>NEW BRUNSWICK</x:v>
      </x:c>
      <x:c r="T104" t="str">
        <x:v>FL</x:v>
      </x:c>
      <x:c r="U104" t="str">
        <x:v>ORLANDO</x:v>
      </x:c>
      <x:c r="V104" t="str">
        <x:v>已匹配</x:v>
      </x:c>
      <x:c r="W104" s="16"/>
      <x:c r="X104" s="17"/>
    </x:row>
    <x:row r="105" ht="18">
      <x:c r="A105" s="12" t="str">
        <x:v>873109426410</x:v>
      </x:c>
      <x:c r="B105" s="3" t="n">
        <x:v>33.15</x:v>
      </x:c>
      <x:c r="C105" s="5" t="n">
        <x:v>41.916</x:v>
      </x:c>
      <x:c r="D105" s="5" t="n">
        <x:f>C105-B105</x:f>
        <x:v>8.765999999999998</x:v>
      </x:c>
      <x:c r="E105"/>
      <x:c r="F105" t="str">
        <x:v>未匹配</x:v>
      </x:c>
      <x:c r="G105"/>
      <x:c r="H105"/>
      <x:c r="I105" s="16" t="n">
        <x:v>41</x:v>
      </x:c>
      <x:c r="J105" s="16" t="n">
        <x:v>41</x:v>
      </x:c>
      <x:c r="K105" s="16" t="n">
        <x:v>30</x:v>
      </x:c>
      <x:c r="L105" s="19" t="n">
        <x:v>29.4</x:v>
      </x:c>
      <x:c r="M105" t="str">
        <x:v>lb</x:v>
      </x:c>
      <x:c r="N105" s="19" t="n">
        <x:v>30</x:v>
      </x:c>
      <x:c r="O105" t="str">
        <x:v>lb</x:v>
      </x:c>
      <x:c r="P105" s="19" t="n">
        <x:v>20.988007360000342</x:v>
      </x:c>
      <x:c r="Q105" t="str">
        <x:v>lb</x:v>
      </x:c>
      <x:c r="R105" t="str">
        <x:v>NJ</x:v>
      </x:c>
      <x:c r="S105" t="str">
        <x:v>NEW BRUNSWICK</x:v>
      </x:c>
      <x:c r="T105" t="str">
        <x:v>FL</x:v>
      </x:c>
      <x:c r="U105" t="str">
        <x:v>ORLANDO</x:v>
      </x:c>
      <x:c r="V105" t="str">
        <x:v>已匹配</x:v>
      </x:c>
      <x:c r="W105" s="16"/>
      <x:c r="X105" s="17"/>
    </x:row>
    <x:row r="106" ht="18">
      <x:c r="A106" s="12" t="str">
        <x:v>873109426796</x:v>
      </x:c>
      <x:c r="B106" s="3" t="n">
        <x:v>33.15</x:v>
      </x:c>
      <x:c r="C106" s="5" t="n">
        <x:v>41.916</x:v>
      </x:c>
      <x:c r="D106" s="5" t="n">
        <x:f>C106-B106</x:f>
        <x:v>8.765999999999998</x:v>
      </x:c>
      <x:c r="E106"/>
      <x:c r="F106" t="str">
        <x:v>未匹配</x:v>
      </x:c>
      <x:c r="G106"/>
      <x:c r="H106"/>
      <x:c r="I106" s="16" t="n">
        <x:v>41</x:v>
      </x:c>
      <x:c r="J106" s="16" t="n">
        <x:v>41</x:v>
      </x:c>
      <x:c r="K106" s="16" t="n">
        <x:v>30</x:v>
      </x:c>
      <x:c r="L106" s="19" t="n">
        <x:v>29.9</x:v>
      </x:c>
      <x:c r="M106" t="str">
        <x:v>lb</x:v>
      </x:c>
      <x:c r="N106" s="19" t="n">
        <x:v>30</x:v>
      </x:c>
      <x:c r="O106" t="str">
        <x:v>lb</x:v>
      </x:c>
      <x:c r="P106" s="19" t="n">
        <x:v>20.988007360000342</x:v>
      </x:c>
      <x:c r="Q106" t="str">
        <x:v>lb</x:v>
      </x:c>
      <x:c r="R106" t="str">
        <x:v>NJ</x:v>
      </x:c>
      <x:c r="S106" t="str">
        <x:v>NEW BRUNSWICK</x:v>
      </x:c>
      <x:c r="T106" t="str">
        <x:v>FL</x:v>
      </x:c>
      <x:c r="U106" t="str">
        <x:v>ORLANDO</x:v>
      </x:c>
      <x:c r="V106" t="str">
        <x:v>已匹配</x:v>
      </x:c>
      <x:c r="W106" s="16"/>
      <x:c r="X106" s="17"/>
    </x:row>
    <x:row r="107" ht="18">
      <x:c r="A107" s="12" t="str">
        <x:v>874829655122</x:v>
      </x:c>
      <x:c r="B107" s="3" t="n">
        <x:v>29.94</x:v>
      </x:c>
      <x:c r="C107" s="5" t="n">
        <x:v>38.302</x:v>
      </x:c>
      <x:c r="D107" s="5" t="n">
        <x:f>C107-B107</x:f>
        <x:v>8.361999999999998</x:v>
      </x:c>
      <x:c r="E107" t="str">
        <x:v>EL100V2</x:v>
      </x:c>
      <x:c r="F107" t="str">
        <x:v>已匹配</x:v>
      </x:c>
      <x:c r="G107" t="str">
        <x:v>EL100V22532000436611</x:v>
      </x:c>
      <x:c r="H107" t="str">
        <x:v>LOG-SRD26074113</x:v>
      </x:c>
      <x:c r="I107" s="16"/>
      <x:c r="J107" s="16"/>
      <x:c r="K107" s="16"/>
      <x:c r="L107" s="19"/>
      <x:c r="M107"/>
      <x:c r="N107" s="19"/>
      <x:c r="O107"/>
      <x:c r="P107" s="19"/>
      <x:c r="Q107"/>
      <x:c r="R107"/>
      <x:c r="S107"/>
      <x:c r="T107"/>
      <x:c r="U107"/>
      <x:c r="V107" t="str">
        <x:v>未匹配</x:v>
      </x:c>
      <x:c r="W107" s="16" t="n">
        <x:v>10.433</x:v>
      </x:c>
      <x:c r="X107" s="17" t="str">
        <x:v>ELITE100V2：10.433</x:v>
      </x:c>
    </x:row>
    <x:row r="108" ht="18">
      <x:c r="A108" s="12" t="str">
        <x:v>874413246789</x:v>
      </x:c>
      <x:c r="B108" s="3" t="n">
        <x:v>29.87</x:v>
      </x:c>
      <x:c r="C108" s="5" t="n">
        <x:v>38.148</x:v>
      </x:c>
      <x:c r="D108" s="5" t="n">
        <x:f>C108-B108</x:f>
        <x:v>8.278000000000002</x:v>
      </x:c>
      <x:c r="E108" t="str">
        <x:v>EL100V2</x:v>
      </x:c>
      <x:c r="F108" t="str">
        <x:v>已匹配</x:v>
      </x:c>
      <x:c r="G108" t="str">
        <x:v>EL100V22532031372968</x:v>
      </x:c>
      <x:c r="H108" t="str">
        <x:v>LOG-SRD26072768</x:v>
      </x:c>
      <x:c r="I108" s="16" t="n">
        <x:v>16</x:v>
      </x:c>
      <x:c r="J108" s="16" t="n">
        <x:v>16</x:v>
      </x:c>
      <x:c r="K108" s="16" t="n">
        <x:v>12</x:v>
      </x:c>
      <x:c r="L108" s="19" t="n">
        <x:v>29.8</x:v>
      </x:c>
      <x:c r="M108" t="str">
        <x:v>lb</x:v>
      </x:c>
      <x:c r="N108" s="19" t="n">
        <x:v>30</x:v>
      </x:c>
      <x:c r="O108" t="str">
        <x:v>lb</x:v>
      </x:c>
      <x:c r="P108" s="19" t="n">
        <x:v>22.99421394588273</x:v>
      </x:c>
      <x:c r="Q108" t="str">
        <x:v>lb</x:v>
      </x:c>
      <x:c r="R108" t="str">
        <x:v>FL</x:v>
      </x:c>
      <x:c r="S108" t="str">
        <x:v>FORT LAUDERDALE</x:v>
      </x:c>
      <x:c r="T108" t="str">
        <x:v>NJ</x:v>
      </x:c>
      <x:c r="U108" t="str">
        <x:v>NEW BRUNSWICK</x:v>
      </x:c>
      <x:c r="V108" t="str">
        <x:v>已匹配</x:v>
      </x:c>
      <x:c r="W108" s="16" t="n">
        <x:v>10.433</x:v>
      </x:c>
      <x:c r="X108" s="17" t="str">
        <x:v>ELITE100V2：10.433</x:v>
      </x:c>
    </x:row>
    <x:row r="109" ht="18">
      <x:c r="A109" s="12" t="str">
        <x:v>874252749187</x:v>
      </x:c>
      <x:c r="B109" s="3" t="n">
        <x:v>29.87</x:v>
      </x:c>
      <x:c r="C109" s="5" t="n">
        <x:v>38.148</x:v>
      </x:c>
      <x:c r="D109" s="5" t="n">
        <x:f>C109-B109</x:f>
        <x:v>8.278000000000002</x:v>
      </x:c>
      <x:c r="E109"/>
      <x:c r="F109" t="str">
        <x:v>未匹配</x:v>
      </x:c>
      <x:c r="G109"/>
      <x:c r="H109"/>
      <x:c r="I109" s="16" t="n">
        <x:v>16</x:v>
      </x:c>
      <x:c r="J109" s="16" t="n">
        <x:v>16</x:v>
      </x:c>
      <x:c r="K109" s="16" t="n">
        <x:v>12</x:v>
      </x:c>
      <x:c r="L109" s="19" t="n">
        <x:v>29.3</x:v>
      </x:c>
      <x:c r="M109" t="str">
        <x:v>lb</x:v>
      </x:c>
      <x:c r="N109" s="19" t="n">
        <x:v>30</x:v>
      </x:c>
      <x:c r="O109" t="str">
        <x:v>lb</x:v>
      </x:c>
      <x:c r="P109" s="19" t="n">
        <x:v>22.99421394588273</x:v>
      </x:c>
      <x:c r="Q109" t="str">
        <x:v>lb</x:v>
      </x:c>
      <x:c r="R109" t="str">
        <x:v>FL</x:v>
      </x:c>
      <x:c r="S109" t="str">
        <x:v>FORT LAUDERDALE</x:v>
      </x:c>
      <x:c r="T109" t="str">
        <x:v>NJ</x:v>
      </x:c>
      <x:c r="U109" t="str">
        <x:v>NEW BRUNSWICK</x:v>
      </x:c>
      <x:c r="V109" t="str">
        <x:v>已匹配</x:v>
      </x:c>
      <x:c r="W109" s="16" t="n">
        <x:v>10.433</x:v>
      </x:c>
      <x:c r="X109" s="17" t="str">
        <x:v>ELITE100V2：10.433</x:v>
      </x:c>
    </x:row>
    <x:row r="110" ht="18">
      <x:c r="A110" s="12" t="str">
        <x:v>874820585846</x:v>
      </x:c>
      <x:c r="B110" s="3" t="n">
        <x:v>29.94</x:v>
      </x:c>
      <x:c r="C110" s="5" t="n">
        <x:v>38.148</x:v>
      </x:c>
      <x:c r="D110" s="5" t="n">
        <x:f>C110-B110</x:f>
        <x:v>8.208000000000002</x:v>
      </x:c>
      <x:c r="E110" t="str">
        <x:v>EL100V2</x:v>
      </x:c>
      <x:c r="F110" t="str">
        <x:v>已匹配</x:v>
      </x:c>
      <x:c r="G110" t="str">
        <x:v>EL100V22532000190186</x:v>
      </x:c>
      <x:c r="H110" t="str">
        <x:v>LOG-SRL26074058</x:v>
      </x:c>
      <x:c r="I110" s="16" t="n">
        <x:v>16</x:v>
      </x:c>
      <x:c r="J110" s="16" t="n">
        <x:v>16</x:v>
      </x:c>
      <x:c r="K110" s="16" t="n">
        <x:v>12</x:v>
      </x:c>
      <x:c r="L110" s="19" t="n">
        <x:v>30</x:v>
      </x:c>
      <x:c r="M110" t="str">
        <x:v>lb</x:v>
      </x:c>
      <x:c r="N110" s="19" t="n">
        <x:v>30</x:v>
      </x:c>
      <x:c r="O110" t="str">
        <x:v>lb</x:v>
      </x:c>
      <x:c r="P110" s="19" t="n">
        <x:v>22.99421394588273</x:v>
      </x:c>
      <x:c r="Q110" t="str">
        <x:v>lb</x:v>
      </x:c>
      <x:c r="R110" t="str">
        <x:v>FL</x:v>
      </x:c>
      <x:c r="S110" t="str">
        <x:v>LEHIGH ACRES</x:v>
      </x:c>
      <x:c r="T110" t="str">
        <x:v>NJ</x:v>
      </x:c>
      <x:c r="U110" t="str">
        <x:v>NEW BRUNSWICK</x:v>
      </x:c>
      <x:c r="V110" t="str">
        <x:v>已匹配</x:v>
      </x:c>
      <x:c r="W110" s="16" t="n">
        <x:v>10.433</x:v>
      </x:c>
      <x:c r="X110" s="17" t="str">
        <x:v>ELITE100V2：10.433</x:v>
      </x:c>
    </x:row>
    <x:row r="111" ht="18">
      <x:c r="A111" s="12" t="str">
        <x:v>873861658919</x:v>
      </x:c>
      <x:c r="B111" s="3" t="n">
        <x:v>16.17</x:v>
      </x:c>
      <x:c r="C111" s="5" t="n">
        <x:v>24.354</x:v>
      </x:c>
      <x:c r="D111" s="5" t="n">
        <x:f>C111-B111</x:f>
        <x:v>8.183999999999997</x:v>
      </x:c>
      <x:c r="E111" t="str">
        <x:v>背包</x:v>
      </x:c>
      <x:c r="F111" t="str">
        <x:v>已匹配</x:v>
      </x:c>
      <x:c r="G111" t="str">
        <x:v>No SN</x:v>
      </x:c>
      <x:c r="H111" t="str">
        <x:v>LOG-SRD26070271</x:v>
      </x:c>
      <x:c r="I111" s="16" t="n">
        <x:v>24</x:v>
      </x:c>
      <x:c r="J111" s="16" t="n">
        <x:v>14</x:v>
      </x:c>
      <x:c r="K111" s="16" t="n">
        <x:v>14</x:v>
      </x:c>
      <x:c r="L111" s="19" t="n">
        <x:v>8.3</x:v>
      </x:c>
      <x:c r="M111" t="str">
        <x:v>lb</x:v>
      </x:c>
      <x:c r="N111" s="19" t="n">
        <x:v>29</x:v>
      </x:c>
      <x:c r="O111" t="str">
        <x:v>lb</x:v>
      </x:c>
      <x:c r="P111" s="19" t="n">
        <x:v>2.9982867657143353</x:v>
      </x:c>
      <x:c r="Q111" t="str">
        <x:v>lb</x:v>
      </x:c>
      <x:c r="R111" t="str">
        <x:v>MI</x:v>
      </x:c>
      <x:c r="S111" t="str">
        <x:v>CLAWSON</x:v>
      </x:c>
      <x:c r="T111" t="str">
        <x:v>NJ</x:v>
      </x:c>
      <x:c r="U111" t="str">
        <x:v>NEW BRUNSWICK</x:v>
      </x:c>
      <x:c r="V111" t="str">
        <x:v>已匹配</x:v>
      </x:c>
      <x:c r="W111" s="16" t="n">
        <x:v>1.361</x:v>
      </x:c>
      <x:c r="X111" s="17" t="str">
        <x:v>BP：1.361</x:v>
      </x:c>
    </x:row>
    <x:row r="112" ht="18">
      <x:c r="A112" s="12" t="str">
        <x:v>873942029979</x:v>
      </x:c>
      <x:c r="B112" s="3" t="n">
        <x:v>29.94</x:v>
      </x:c>
      <x:c r="C112" s="5" t="n">
        <x:v>38.071</x:v>
      </x:c>
      <x:c r="D112" s="5" t="n">
        <x:f>C112-B112</x:f>
        <x:v>8.130999999999997</x:v>
      </x:c>
      <x:c r="E112" t="str">
        <x:v>EL100V2</x:v>
      </x:c>
      <x:c r="F112" t="str">
        <x:v>已匹配</x:v>
      </x:c>
      <x:c r="G112" t="str">
        <x:v>EL100V22532030948697</x:v>
      </x:c>
      <x:c r="H112" t="str">
        <x:v>LOG-SRD26070566</x:v>
      </x:c>
      <x:c r="I112" s="16" t="n">
        <x:v>16</x:v>
      </x:c>
      <x:c r="J112" s="16" t="n">
        <x:v>16</x:v>
      </x:c>
      <x:c r="K112" s="16" t="n">
        <x:v>12</x:v>
      </x:c>
      <x:c r="L112" s="19" t="n">
        <x:v>29.6</x:v>
      </x:c>
      <x:c r="M112" t="str">
        <x:v>lb</x:v>
      </x:c>
      <x:c r="N112" s="19" t="n">
        <x:v>30</x:v>
      </x:c>
      <x:c r="O112" t="str">
        <x:v>lb</x:v>
      </x:c>
      <x:c r="P112" s="19" t="n">
        <x:v>22.99421394588273</x:v>
      </x:c>
      <x:c r="Q112" t="str">
        <x:v>lb</x:v>
      </x:c>
      <x:c r="R112" t="str">
        <x:v>NE</x:v>
      </x:c>
      <x:c r="S112" t="str">
        <x:v>ELKHORN</x:v>
      </x:c>
      <x:c r="T112" t="str">
        <x:v>NJ</x:v>
      </x:c>
      <x:c r="U112" t="str">
        <x:v>NEW BRUNSWICK</x:v>
      </x:c>
      <x:c r="V112" t="str">
        <x:v>已匹配</x:v>
      </x:c>
      <x:c r="W112" s="16" t="n">
        <x:v>10.433</x:v>
      </x:c>
      <x:c r="X112" s="17" t="str">
        <x:v>ELITE100V2：10.433</x:v>
      </x:c>
    </x:row>
    <x:row r="113" ht="18">
      <x:c r="A113" s="12" t="str">
        <x:v>875141356162</x:v>
      </x:c>
      <x:c r="B113" s="3" t="n">
        <x:v>83.03</x:v>
      </x:c>
      <x:c r="C113" s="5" t="n">
        <x:v>91.003</x:v>
      </x:c>
      <x:c r="D113" s="5" t="n">
        <x:f>C113-B113</x:f>
        <x:v>7.972999999999999</x:v>
      </x:c>
      <x:c r="E113" t="str">
        <x:v>AP300</x:v>
      </x:c>
      <x:c r="F113" t="str">
        <x:v>已匹配</x:v>
      </x:c>
      <x:c r="G113" t="str">
        <x:v>AP3002543130695346</x:v>
      </x:c>
      <x:c r="H113" t="str">
        <x:v>LOG-SRL26075085</x:v>
      </x:c>
      <x:c r="I113" s="16"/>
      <x:c r="J113" s="16"/>
      <x:c r="K113" s="16"/>
      <x:c r="L113" s="19"/>
      <x:c r="M113"/>
      <x:c r="N113" s="19"/>
      <x:c r="O113"/>
      <x:c r="P113" s="19"/>
      <x:c r="Q113"/>
      <x:c r="R113"/>
      <x:c r="S113"/>
      <x:c r="T113"/>
      <x:c r="U113"/>
      <x:c r="V113" t="str">
        <x:v>未匹配</x:v>
      </x:c>
      <x:c r="W113" s="16" t="n">
        <x:v>1</x:v>
      </x:c>
      <x:c r="X113" s="17" t="str">
        <x:v>Apex300：1</x:v>
      </x:c>
    </x:row>
    <x:row r="114" ht="18">
      <x:c r="A114" s="12" t="str">
        <x:v>873109426682</x:v>
      </x:c>
      <x:c r="B114" s="3" t="n">
        <x:v>25.39</x:v>
      </x:c>
      <x:c r="C114" s="5" t="n">
        <x:v>33.228</x:v>
      </x:c>
      <x:c r="D114" s="5" t="n">
        <x:f>C114-B114</x:f>
        <x:v>7.838000000000001</x:v>
      </x:c>
      <x:c r="E114"/>
      <x:c r="F114" t="str">
        <x:v>未匹配</x:v>
      </x:c>
      <x:c r="G114"/>
      <x:c r="H114"/>
      <x:c r="I114" s="16" t="n">
        <x:v>41</x:v>
      </x:c>
      <x:c r="J114" s="16" t="n">
        <x:v>41</x:v>
      </x:c>
      <x:c r="K114" s="16" t="n">
        <x:v>30</x:v>
      </x:c>
      <x:c r="L114" s="19" t="n">
        <x:v>29.4</x:v>
      </x:c>
      <x:c r="M114" t="str">
        <x:v>lb</x:v>
      </x:c>
      <x:c r="N114" s="19" t="n">
        <x:v>30</x:v>
      </x:c>
      <x:c r="O114" t="str">
        <x:v>lb</x:v>
      </x:c>
      <x:c r="P114" s="19" t="n">
        <x:v>20.988007360000342</x:v>
      </x:c>
      <x:c r="Q114" t="str">
        <x:v>lb</x:v>
      </x:c>
      <x:c r="R114" t="str">
        <x:v>NJ</x:v>
      </x:c>
      <x:c r="S114" t="str">
        <x:v>NEW BRUNSWICK</x:v>
      </x:c>
      <x:c r="T114" t="str">
        <x:v>WI</x:v>
      </x:c>
      <x:c r="U114" t="str">
        <x:v>MADISON</x:v>
      </x:c>
      <x:c r="V114" t="str">
        <x:v>已匹配</x:v>
      </x:c>
      <x:c r="W114" s="16"/>
      <x:c r="X114" s="17"/>
    </x:row>
    <x:row r="115" ht="18">
      <x:c r="A115" s="12" t="str">
        <x:v>874818799127</x:v>
      </x:c>
      <x:c r="B115" s="3" t="n">
        <x:v>88.81</x:v>
      </x:c>
      <x:c r="C115" s="5" t="n">
        <x:v>96.47</x:v>
      </x:c>
      <x:c r="D115" s="5" t="n">
        <x:f>C115-B115</x:f>
        <x:v>7.659999999999997</x:v>
      </x:c>
      <x:c r="E115" t="str">
        <x:v>AP300</x:v>
      </x:c>
      <x:c r="F115" t="str">
        <x:v>已匹配</x:v>
      </x:c>
      <x:c r="G115" t="str">
        <x:v>AP3002543130297268</x:v>
      </x:c>
      <x:c r="H115" t="str">
        <x:v>LOG-SRN26080381</x:v>
      </x:c>
      <x:c r="I115" s="16" t="n">
        <x:v>26</x:v>
      </x:c>
      <x:c r="J115" s="16" t="n">
        <x:v>19</x:v>
      </x:c>
      <x:c r="K115" s="16" t="n">
        <x:v>18</x:v>
      </x:c>
      <x:c r="L115" s="19" t="n">
        <x:v>90.3</x:v>
      </x:c>
      <x:c r="M115" t="str">
        <x:v>lb</x:v>
      </x:c>
      <x:c r="N115" s="19" t="n">
        <x:v>91</x:v>
      </x:c>
      <x:c r="O115" t="str">
        <x:v>lb</x:v>
      </x:c>
      <x:c r="P115" s="19" t="n">
        <x:v>83.99612189243835</x:v>
      </x:c>
      <x:c r="Q115" t="str">
        <x:v>lb</x:v>
      </x:c>
      <x:c r="R115" t="str">
        <x:v>NC</x:v>
      </x:c>
      <x:c r="S115" t="str">
        <x:v>KERNERSVILLE</x:v>
      </x:c>
      <x:c r="T115" t="str">
        <x:v>NJ</x:v>
      </x:c>
      <x:c r="U115" t="str">
        <x:v>NEW BRUNSWICK</x:v>
      </x:c>
      <x:c r="V115" t="str">
        <x:v>已匹配</x:v>
      </x:c>
      <x:c r="W115" s="16" t="n">
        <x:v>38.102</x:v>
      </x:c>
      <x:c r="X115" s="17" t="str">
        <x:v>AP300：38.102</x:v>
      </x:c>
    </x:row>
    <x:row r="116" ht="18">
      <x:c r="A116" s="12" t="str">
        <x:v>874283142645</x:v>
      </x:c>
      <x:c r="B116" s="3" t="n">
        <x:v>44.5</x:v>
      </x:c>
      <x:c r="C116" s="5" t="n">
        <x:v>52.14</x:v>
      </x:c>
      <x:c r="D116" s="5" t="n">
        <x:f>C116-B116</x:f>
        <x:v>7.640000000000001</x:v>
      </x:c>
      <x:c r="E116" t="str">
        <x:v>EL100V2</x:v>
      </x:c>
      <x:c r="F116" t="str">
        <x:v>已匹配</x:v>
      </x:c>
      <x:c r="G116" t="str">
        <x:v>EL100V22525020071055</x:v>
      </x:c>
      <x:c r="H116" t="str">
        <x:v>LOG-SRL26071810</x:v>
      </x:c>
      <x:c r="I116" s="16"/>
      <x:c r="J116" s="16"/>
      <x:c r="K116" s="16"/>
      <x:c r="L116" s="19"/>
      <x:c r="M116"/>
      <x:c r="N116" s="19"/>
      <x:c r="O116"/>
      <x:c r="P116" s="19"/>
      <x:c r="Q116"/>
      <x:c r="R116"/>
      <x:c r="S116"/>
      <x:c r="T116"/>
      <x:c r="U116"/>
      <x:c r="V116" t="str">
        <x:v>未匹配</x:v>
      </x:c>
      <x:c r="W116" s="16" t="n">
        <x:v>11.34</x:v>
      </x:c>
      <x:c r="X116" s="17" t="str">
        <x:v>EL100V2：11.34</x:v>
      </x:c>
    </x:row>
    <x:row r="117" ht="18">
      <x:c r="A117" s="12" t="str">
        <x:v>874403929269</x:v>
      </x:c>
      <x:c r="B117" s="3" t="n">
        <x:v>71.62</x:v>
      </x:c>
      <x:c r="C117" s="5" t="n">
        <x:v>79.233</x:v>
      </x:c>
      <x:c r="D117" s="5" t="n">
        <x:f>C117-B117</x:f>
        <x:v>7.6129999999999995</x:v>
      </x:c>
      <x:c r="E117" t="str">
        <x:v>AC200L</x:v>
      </x:c>
      <x:c r="F117" t="str">
        <x:v>已匹配</x:v>
      </x:c>
      <x:c r="G117" t="str">
        <x:v>AC200L2436002069869</x:v>
      </x:c>
      <x:c r="H117" t="str">
        <x:v>LOG-SRL26072301</x:v>
      </x:c>
      <x:c r="I117" s="16" t="n">
        <x:v>23</x:v>
      </x:c>
      <x:c r="J117" s="16" t="n">
        <x:v>23</x:v>
      </x:c>
      <x:c r="K117" s="16" t="n">
        <x:v>17</x:v>
      </x:c>
      <x:c r="L117" s="19" t="n">
        <x:v>70.3</x:v>
      </x:c>
      <x:c r="M117" t="str">
        <x:v>lb</x:v>
      </x:c>
      <x:c r="N117" s="19" t="n">
        <x:v>71</x:v>
      </x:c>
      <x:c r="O117" t="str">
        <x:v>lb</x:v>
      </x:c>
      <x:c r="P117" s="19" t="n">
        <x:v>53.991208009076516</x:v>
      </x:c>
      <x:c r="Q117" t="str">
        <x:v>lb</x:v>
      </x:c>
      <x:c r="R117" t="str">
        <x:v>OH</x:v>
      </x:c>
      <x:c r="S117" t="str">
        <x:v>FAIRFIELD</x:v>
      </x:c>
      <x:c r="T117" t="str">
        <x:v>NJ</x:v>
      </x:c>
      <x:c r="U117" t="str">
        <x:v>NEW BRUNSWICK</x:v>
      </x:c>
      <x:c r="V117" t="str">
        <x:v>已匹配</x:v>
      </x:c>
      <x:c r="W117" s="16" t="n">
        <x:v>24.494</x:v>
      </x:c>
      <x:c r="X117" s="17" t="str">
        <x:v>AC200L：24.494</x:v>
      </x:c>
    </x:row>
    <x:row r="118" ht="18">
      <x:c r="A118" s="12" t="str">
        <x:v>874972476665</x:v>
      </x:c>
      <x:c r="B118" s="3" t="n">
        <x:v>83.03</x:v>
      </x:c>
      <x:c r="C118" s="5" t="n">
        <x:v>90.64</x:v>
      </x:c>
      <x:c r="D118" s="5" t="n">
        <x:f>C118-B118</x:f>
        <x:v>7.609999999999999</x:v>
      </x:c>
      <x:c r="E118" t="str">
        <x:v>B300S</x:v>
      </x:c>
      <x:c r="F118" t="str">
        <x:v>已匹配</x:v>
      </x:c>
      <x:c r="G118" t="str">
        <x:v>1120218L287225100421</x:v>
      </x:c>
      <x:c r="H118" t="str">
        <x:v>LOG-CRP26074359</x:v>
      </x:c>
      <x:c r="I118" s="16"/>
      <x:c r="J118" s="16"/>
      <x:c r="K118" s="16"/>
      <x:c r="L118" s="19"/>
      <x:c r="M118"/>
      <x:c r="N118" s="19"/>
      <x:c r="O118"/>
      <x:c r="P118" s="19"/>
      <x:c r="Q118"/>
      <x:c r="R118"/>
      <x:c r="S118"/>
      <x:c r="T118"/>
      <x:c r="U118"/>
      <x:c r="V118" t="str">
        <x:v>未匹配</x:v>
      </x:c>
      <x:c r="W118" s="16" t="n">
        <x:v>1</x:v>
      </x:c>
      <x:c r="X118" s="17" t="str">
        <x:v>B300S：1</x:v>
      </x:c>
    </x:row>
    <x:row r="119" ht="18">
      <x:c r="A119" s="12" t="str">
        <x:v>873550060825</x:v>
      </x:c>
      <x:c r="B119" s="3" t="n">
        <x:v>21.61</x:v>
      </x:c>
      <x:c r="C119" s="5" t="n">
        <x:v>29.128</x:v>
      </x:c>
      <x:c r="D119" s="5" t="n">
        <x:f>C119-B119</x:f>
        <x:v>7.518000000000001</x:v>
      </x:c>
      <x:c r="E119" t="str">
        <x:v>AC70</x:v>
      </x:c>
      <x:c r="F119" t="str">
        <x:v>已匹配</x:v>
      </x:c>
      <x:c r="G119" t="str">
        <x:v>AC702540000074422</x:v>
      </x:c>
      <x:c r="H119" t="str">
        <x:v>LOG-SRD26062908</x:v>
      </x:c>
      <x:c r="I119" s="16" t="n">
        <x:v>16</x:v>
      </x:c>
      <x:c r="J119" s="16" t="n">
        <x:v>15</x:v>
      </x:c>
      <x:c r="K119" s="16" t="n">
        <x:v>12</x:v>
      </x:c>
      <x:c r="L119" s="19" t="n">
        <x:v>27.5</x:v>
      </x:c>
      <x:c r="M119" t="str">
        <x:v>lb</x:v>
      </x:c>
      <x:c r="N119" s="19" t="n">
        <x:v>28</x:v>
      </x:c>
      <x:c r="O119" t="str">
        <x:v>lb</x:v>
      </x:c>
      <x:c r="P119" s="19" t="n">
        <x:v>16.99764041445406</x:v>
      </x:c>
      <x:c r="Q119" t="str">
        <x:v>lb</x:v>
      </x:c>
      <x:c r="R119" t="str">
        <x:v>FL</x:v>
      </x:c>
      <x:c r="S119" t="str">
        <x:v>ORLANDO</x:v>
      </x:c>
      <x:c r="T119" t="str">
        <x:v>NJ</x:v>
      </x:c>
      <x:c r="U119" t="str">
        <x:v>NEW BRUNSWICK</x:v>
      </x:c>
      <x:c r="V119" t="str">
        <x:v>已匹配</x:v>
      </x:c>
      <x:c r="W119" s="16" t="n">
        <x:v>7.711</x:v>
      </x:c>
      <x:c r="X119" s="17" t="str">
        <x:v>AC70：7.711</x:v>
      </x:c>
    </x:row>
    <x:row r="120" ht="18">
      <x:c r="A120" s="12" t="str">
        <x:v>873416411900</x:v>
      </x:c>
      <x:c r="B120" s="3" t="n">
        <x:v>19.95</x:v>
      </x:c>
      <x:c r="C120" s="5" t="n">
        <x:v>27.456</x:v>
      </x:c>
      <x:c r="D120" s="5" t="n">
        <x:f>C120-B120</x:f>
        <x:v>7.506</x:v>
      </x:c>
      <x:c r="E120" t="str">
        <x:v>CHANGER2</x:v>
      </x:c>
      <x:c r="F120" t="str">
        <x:v>已匹配</x:v>
      </x:c>
      <x:c r="G120" t="str">
        <x:v>CHARGER 22544115581684</x:v>
      </x:c>
      <x:c r="H120" t="str">
        <x:v>LOG-SRN26062425</x:v>
      </x:c>
      <x:c r="I120" s="16" t="n">
        <x:v>19</x:v>
      </x:c>
      <x:c r="J120" s="16" t="n">
        <x:v>18</x:v>
      </x:c>
      <x:c r="K120" s="16" t="n">
        <x:v>13</x:v>
      </x:c>
      <x:c r="L120" s="19" t="n">
        <x:v>20.7</x:v>
      </x:c>
      <x:c r="M120" t="str">
        <x:v>lb</x:v>
      </x:c>
      <x:c r="N120" s="19" t="n">
        <x:v>27</x:v>
      </x:c>
      <x:c r="O120" t="str">
        <x:v>lb</x:v>
      </x:c>
      <x:c r="P120" s="19" t="n">
        <x:v>13.227735731092654</x:v>
      </x:c>
      <x:c r="Q120" t="str">
        <x:v>lb</x:v>
      </x:c>
      <x:c r="R120" t="str">
        <x:v>MN</x:v>
      </x:c>
      <x:c r="S120" t="str">
        <x:v>CLOQUET</x:v>
      </x:c>
      <x:c r="T120" t="str">
        <x:v>NJ</x:v>
      </x:c>
      <x:c r="U120" t="str">
        <x:v>NEW BRUNSWICK</x:v>
      </x:c>
      <x:c r="V120" t="str">
        <x:v>已匹配</x:v>
      </x:c>
      <x:c r="W120" s="16" t="n">
        <x:v>6</x:v>
      </x:c>
      <x:c r="X120" s="17" t="str">
        <x:v>charger2：6</x:v>
      </x:c>
    </x:row>
    <x:row r="121" ht="18">
      <x:c r="A121" s="12" t="str">
        <x:v>873109427196</x:v>
      </x:c>
      <x:c r="B121" s="3" t="n">
        <x:v>44.41</x:v>
      </x:c>
      <x:c r="C121" s="5" t="n">
        <x:v>51.864</x:v>
      </x:c>
      <x:c r="D121" s="5" t="n">
        <x:f>C121-B121</x:f>
        <x:v>7.454000000000001</x:v>
      </x:c>
      <x:c r="E121"/>
      <x:c r="F121" t="str">
        <x:v>未匹配</x:v>
      </x:c>
      <x:c r="G121"/>
      <x:c r="H121"/>
      <x:c r="I121" s="16" t="n">
        <x:v>33</x:v>
      </x:c>
      <x:c r="J121" s="16" t="n">
        <x:v>30</x:v>
      </x:c>
      <x:c r="K121" s="16" t="n">
        <x:v>25</x:v>
      </x:c>
      <x:c r="L121" s="19" t="n">
        <x:v>13.2</x:v>
      </x:c>
      <x:c r="M121" t="str">
        <x:v>lb</x:v>
      </x:c>
      <x:c r="N121" s="19" t="n">
        <x:v>14</x:v>
      </x:c>
      <x:c r="O121" t="str">
        <x:v>lb</x:v>
      </x:c>
      <x:c r="P121" s="19" t="n">
        <x:v>6.988653711260619</x:v>
      </x:c>
      <x:c r="Q121" t="str">
        <x:v>lb</x:v>
      </x:c>
      <x:c r="R121" t="str">
        <x:v>NJ</x:v>
      </x:c>
      <x:c r="S121" t="str">
        <x:v>NEW BRUNSWICK</x:v>
      </x:c>
      <x:c r="T121" t="str">
        <x:v>CO</x:v>
      </x:c>
      <x:c r="U121" t="str">
        <x:v>DRAKE</x:v>
      </x:c>
      <x:c r="V121" t="str">
        <x:v>已匹配</x:v>
      </x:c>
      <x:c r="W121" s="16"/>
      <x:c r="X121" s="17"/>
    </x:row>
    <x:row r="122" ht="18">
      <x:c r="A122" s="12" t="str">
        <x:v>873363411682</x:v>
      </x:c>
      <x:c r="B122" s="3" t="n">
        <x:v>43.04</x:v>
      </x:c>
      <x:c r="C122" s="5" t="n">
        <x:v>50.435</x:v>
      </x:c>
      <x:c r="D122" s="5" t="n">
        <x:f>C122-B122</x:f>
        <x:v>7.395000000000003</x:v>
      </x:c>
      <x:c r="E122"/>
      <x:c r="F122" t="str">
        <x:v>未匹配</x:v>
      </x:c>
      <x:c r="G122"/>
      <x:c r="H122"/>
      <x:c r="I122" s="16" t="n">
        <x:v>24</x:v>
      </x:c>
      <x:c r="J122" s="16" t="n">
        <x:v>14</x:v>
      </x:c>
      <x:c r="K122" s="16" t="n">
        <x:v>14</x:v>
      </x:c>
      <x:c r="L122" s="19" t="n">
        <x:v>8.3</x:v>
      </x:c>
      <x:c r="M122" t="str">
        <x:v>lb</x:v>
      </x:c>
      <x:c r="N122" s="19" t="n">
        <x:v>29</x:v>
      </x:c>
      <x:c r="O122" t="str">
        <x:v>lb</x:v>
      </x:c>
      <x:c r="P122" s="19" t="n">
        <x:v>46.29707505882429</x:v>
      </x:c>
      <x:c r="Q122" t="str">
        <x:v>lb</x:v>
      </x:c>
      <x:c r="R122" t="str">
        <x:v>FL</x:v>
      </x:c>
      <x:c r="S122" t="str">
        <x:v>DELAND</x:v>
      </x:c>
      <x:c r="T122" t="str">
        <x:v>NJ</x:v>
      </x:c>
      <x:c r="U122" t="str">
        <x:v>NEW BRUNSWICK</x:v>
      </x:c>
      <x:c r="V122" t="str">
        <x:v>已匹配</x:v>
      </x:c>
      <x:c r="W122" s="16" t="n">
        <x:v>9</x:v>
      </x:c>
      <x:c r="X122" s="17" t="str">
        <x:v>backpack：9</x:v>
      </x:c>
    </x:row>
    <x:row r="123" ht="18">
      <x:c r="A123" s="12" t="str">
        <x:v>875083140676</x:v>
      </x:c>
      <x:c r="B123" s="3" t="n">
        <x:v>72.08</x:v>
      </x:c>
      <x:c r="C123" s="5" t="n">
        <x:v>79.189</x:v>
      </x:c>
      <x:c r="D123" s="5" t="n">
        <x:f>C123-B123</x:f>
        <x:v>7.108999999999995</x:v>
      </x:c>
      <x:c r="E123" t="str">
        <x:v>AC200L</x:v>
      </x:c>
      <x:c r="F123" t="str">
        <x:v>已匹配</x:v>
      </x:c>
      <x:c r="G123" t="str">
        <x:v>AC200L2343920386246</x:v>
      </x:c>
      <x:c r="H123" t="str">
        <x:v>LOG-CRP26074838</x:v>
      </x:c>
      <x:c r="I123" s="16"/>
      <x:c r="J123" s="16"/>
      <x:c r="K123" s="16"/>
      <x:c r="L123" s="19"/>
      <x:c r="M123"/>
      <x:c r="N123" s="19"/>
      <x:c r="O123"/>
      <x:c r="P123" s="19"/>
      <x:c r="Q123"/>
      <x:c r="R123"/>
      <x:c r="S123"/>
      <x:c r="T123"/>
      <x:c r="U123"/>
      <x:c r="V123" t="str">
        <x:v>未匹配</x:v>
      </x:c>
      <x:c r="W123" s="16" t="n">
        <x:v>25.401</x:v>
      </x:c>
      <x:c r="X123" s="17" t="str">
        <x:v>AC200L：25.401</x:v>
      </x:c>
    </x:row>
    <x:row r="124" ht="18">
      <x:c r="A124" s="12" t="str">
        <x:v>874085323892</x:v>
      </x:c>
      <x:c r="B124" s="3" t="n">
        <x:v>34.8</x:v>
      </x:c>
      <x:c r="C124" s="5" t="n">
        <x:v>41.844</x:v>
      </x:c>
      <x:c r="D124" s="5" t="n">
        <x:f>C124-B124</x:f>
        <x:v>7.044000000000004</x:v>
      </x:c>
      <x:c r="E124" t="str">
        <x:v>AC180</x:v>
      </x:c>
      <x:c r="F124" t="str">
        <x:v>已匹配</x:v>
      </x:c>
      <x:c r="G124" t="str">
        <x:v>AC1802436006185857</x:v>
      </x:c>
      <x:c r="H124" t="str">
        <x:v>LOG-SRL26070963</x:v>
      </x:c>
      <x:c r="I124" s="16" t="n">
        <x:v>18</x:v>
      </x:c>
      <x:c r="J124" s="16" t="n">
        <x:v>17</x:v>
      </x:c>
      <x:c r="K124" s="16" t="n">
        <x:v>16</x:v>
      </x:c>
      <x:c r="L124" s="19" t="n">
        <x:v>43.1</x:v>
      </x:c>
      <x:c r="M124" t="str">
        <x:v>lb</x:v>
      </x:c>
      <x:c r="N124" s="19" t="n">
        <x:v>44</x:v>
      </x:c>
      <x:c r="O124" t="str">
        <x:v>lb</x:v>
      </x:c>
      <x:c r="P124" s="19" t="n">
        <x:v>35.27396194958041</x:v>
      </x:c>
      <x:c r="Q124" t="str">
        <x:v>lb</x:v>
      </x:c>
      <x:c r="R124" t="str">
        <x:v>IL</x:v>
      </x:c>
      <x:c r="S124" t="str">
        <x:v>NAPERVILLE</x:v>
      </x:c>
      <x:c r="T124" t="str">
        <x:v>NJ</x:v>
      </x:c>
      <x:c r="U124" t="str">
        <x:v>NEW BRUNSWICK</x:v>
      </x:c>
      <x:c r="V124" t="str">
        <x:v>已匹配</x:v>
      </x:c>
      <x:c r="W124" s="16" t="n">
        <x:v>1</x:v>
      </x:c>
      <x:c r="X124" s="17" t="str">
        <x:v>AC180：1</x:v>
      </x:c>
    </x:row>
    <x:row r="125" ht="18">
      <x:c r="A125" s="12" t="str">
        <x:v>873963892087</x:v>
      </x:c>
      <x:c r="B125" s="3" t="n">
        <x:v>65.37</x:v>
      </x:c>
      <x:c r="C125" s="5" t="n">
        <x:v>72.028</x:v>
      </x:c>
      <x:c r="D125" s="5" t="n">
        <x:f>C125-B125</x:f>
        <x:v>6.658000000000001</x:v>
      </x:c>
      <x:c r="E125" t="str">
        <x:v>AC200L</x:v>
      </x:c>
      <x:c r="F125" t="str">
        <x:v>已匹配</x:v>
      </x:c>
      <x:c r="G125" t="str">
        <x:v>AC200L2449000953954</x:v>
      </x:c>
      <x:c r="H125" t="str">
        <x:v>LOG-SRL26070622</x:v>
      </x:c>
      <x:c r="I125" s="16" t="n">
        <x:v>23</x:v>
      </x:c>
      <x:c r="J125" s="16" t="n">
        <x:v>22</x:v>
      </x:c>
      <x:c r="K125" s="16" t="n">
        <x:v>17</x:v>
      </x:c>
      <x:c r="L125" s="19" t="n">
        <x:v>71.4</x:v>
      </x:c>
      <x:c r="M125" t="str">
        <x:v>lb</x:v>
      </x:c>
      <x:c r="N125" s="19" t="n">
        <x:v>72</x:v>
      </x:c>
      <x:c r="O125" t="str">
        <x:v>lb</x:v>
      </x:c>
      <x:c r="P125" s="19" t="n">
        <x:v>55.9974145949589</x:v>
      </x:c>
      <x:c r="Q125" t="str">
        <x:v>lb</x:v>
      </x:c>
      <x:c r="R125" t="str">
        <x:v>MA</x:v>
      </x:c>
      <x:c r="S125" t="str">
        <x:v>ATTLEBORO</x:v>
      </x:c>
      <x:c r="T125" t="str">
        <x:v>NJ</x:v>
      </x:c>
      <x:c r="U125" t="str">
        <x:v>NEW BRUNSWICK</x:v>
      </x:c>
      <x:c r="V125" t="str">
        <x:v>已匹配</x:v>
      </x:c>
      <x:c r="W125" s="16" t="n">
        <x:v>25.401</x:v>
      </x:c>
      <x:c r="X125" s="17" t="str">
        <x:v>AC200L：25.401</x:v>
      </x:c>
    </x:row>
    <x:row r="126" ht="18">
      <x:c r="A126" s="12" t="str">
        <x:v>875130496183</x:v>
      </x:c>
      <x:c r="B126" s="3" t="n">
        <x:v>75.05</x:v>
      </x:c>
      <x:c r="C126" s="5" t="n">
        <x:v>81.675</x:v>
      </x:c>
      <x:c r="D126" s="5" t="n">
        <x:f>C126-B126</x:f>
        <x:v>6.625</x:v>
      </x:c>
      <x:c r="E126" t="str">
        <x:v>B300K2</x:v>
      </x:c>
      <x:c r="F126" t="str">
        <x:v>已匹配</x:v>
      </x:c>
      <x:c r="G126" t="str">
        <x:v>B300K2541003502035</x:v>
      </x:c>
      <x:c r="H126" t="str">
        <x:v>LOG-SRL26074970</x:v>
      </x:c>
      <x:c r="I126" s="16"/>
      <x:c r="J126" s="16"/>
      <x:c r="K126" s="16"/>
      <x:c r="L126" s="19"/>
      <x:c r="M126"/>
      <x:c r="N126" s="19"/>
      <x:c r="O126"/>
      <x:c r="P126" s="19"/>
      <x:c r="Q126"/>
      <x:c r="R126"/>
      <x:c r="S126"/>
      <x:c r="T126"/>
      <x:c r="U126"/>
      <x:c r="V126" t="str">
        <x:v>未匹配</x:v>
      </x:c>
      <x:c r="W126" s="16" t="n">
        <x:v>0</x:v>
      </x:c>
      <x:c r="X126" s="17" t="str">
        <x:v>B300K：0</x:v>
      </x:c>
    </x:row>
    <x:row r="127" ht="18">
      <x:c r="A127" s="12" t="str">
        <x:v>873970977872</x:v>
      </x:c>
      <x:c r="B127" s="3" t="n">
        <x:v>23.72</x:v>
      </x:c>
      <x:c r="C127" s="5" t="n">
        <x:v>30.228</x:v>
      </x:c>
      <x:c r="D127" s="5" t="n">
        <x:f>C127-B127</x:f>
        <x:v>6.508000000000003</x:v>
      </x:c>
      <x:c r="E127" t="str">
        <x:v>EL100V2</x:v>
      </x:c>
      <x:c r="F127" t="str">
        <x:v>已匹配</x:v>
      </x:c>
      <x:c r="G127" t="str">
        <x:v>EL100V22541000391554</x:v>
      </x:c>
      <x:c r="H127" t="str">
        <x:v>LOG-SRL26070882</x:v>
      </x:c>
      <x:c r="I127" s="16" t="n">
        <x:v>16</x:v>
      </x:c>
      <x:c r="J127" s="16" t="n">
        <x:v>16</x:v>
      </x:c>
      <x:c r="K127" s="16" t="n">
        <x:v>12</x:v>
      </x:c>
      <x:c r="L127" s="19" t="n">
        <x:v>30</x:v>
      </x:c>
      <x:c r="M127" t="str">
        <x:v>lb</x:v>
      </x:c>
      <x:c r="N127" s="19" t="n">
        <x:v>30</x:v>
      </x:c>
      <x:c r="O127" t="str">
        <x:v>lb</x:v>
      </x:c>
      <x:c r="P127" s="19" t="n">
        <x:v>21.781671503865905</x:v>
      </x:c>
      <x:c r="Q127" t="str">
        <x:v>lb</x:v>
      </x:c>
      <x:c r="R127" t="str">
        <x:v>FL</x:v>
      </x:c>
      <x:c r="S127" t="str">
        <x:v>TAMPA</x:v>
      </x:c>
      <x:c r="T127" t="str">
        <x:v>NJ</x:v>
      </x:c>
      <x:c r="U127" t="str">
        <x:v>NEW BRUNSWICK</x:v>
      </x:c>
      <x:c r="V127" t="str">
        <x:v>已匹配</x:v>
      </x:c>
      <x:c r="W127" s="16" t="n">
        <x:v>9.888</x:v>
      </x:c>
      <x:c r="X127" s="17" t="str">
        <x:v>BLUETTI Elite 100 V2：9.888</x:v>
      </x:c>
    </x:row>
    <x:row r="128" ht="18">
      <x:c r="A128" s="12" t="str">
        <x:v>874095894992</x:v>
      </x:c>
      <x:c r="B128" s="3" t="n">
        <x:v>88.7</x:v>
      </x:c>
      <x:c r="C128" s="5" t="n">
        <x:v>95.183</x:v>
      </x:c>
      <x:c r="D128" s="5" t="n">
        <x:f>C128-B128</x:f>
        <x:v>6.483000000000004</x:v>
      </x:c>
      <x:c r="E128" t="str">
        <x:v>B300K</x:v>
      </x:c>
      <x:c r="F128" t="str">
        <x:v>已匹配</x:v>
      </x:c>
      <x:c r="G128" t="str">
        <x:v>B300K2541003524321</x:v>
      </x:c>
      <x:c r="H128"/>
      <x:c r="I128" s="16" t="n">
        <x:v>27</x:v>
      </x:c>
      <x:c r="J128" s="16" t="n">
        <x:v>20</x:v>
      </x:c>
      <x:c r="K128" s="16" t="n">
        <x:v>15</x:v>
      </x:c>
      <x:c r="L128" s="19" t="n">
        <x:v>76.7</x:v>
      </x:c>
      <x:c r="M128" t="str">
        <x:v>lb</x:v>
      </x:c>
      <x:c r="N128" s="19" t="n">
        <x:v>77</x:v>
      </x:c>
      <x:c r="O128" t="str">
        <x:v>lb</x:v>
      </x:c>
      <x:c r="P128" s="19" t="n">
        <x:v>65.03636734453889</x:v>
      </x:c>
      <x:c r="Q128" t="str">
        <x:v>lb</x:v>
      </x:c>
      <x:c r="R128" t="str">
        <x:v>MI</x:v>
      </x:c>
      <x:c r="S128" t="str">
        <x:v>PETOSKEY</x:v>
      </x:c>
      <x:c r="T128" t="str">
        <x:v>NJ</x:v>
      </x:c>
      <x:c r="U128" t="str">
        <x:v>NEW BRUNSWICK</x:v>
      </x:c>
      <x:c r="V128" t="str">
        <x:v>已匹配</x:v>
      </x:c>
      <x:c r="W128" s="16" t="n">
        <x:v>1</x:v>
      </x:c>
      <x:c r="X128" s="17" t="str">
        <x:v>b300K：1</x:v>
      </x:c>
    </x:row>
    <x:row r="129" ht="18">
      <x:c r="A129" s="12" t="str">
        <x:v>874095731138</x:v>
      </x:c>
      <x:c r="B129" s="3" t="n">
        <x:v>88.7</x:v>
      </x:c>
      <x:c r="C129" s="5" t="n">
        <x:v>95.183</x:v>
      </x:c>
      <x:c r="D129" s="5" t="n">
        <x:f>C129-B129</x:f>
        <x:v>6.483000000000004</x:v>
      </x:c>
      <x:c r="E129" t="str">
        <x:v>B300K</x:v>
      </x:c>
      <x:c r="F129" t="str">
        <x:v>已匹配</x:v>
      </x:c>
      <x:c r="G129" t="str">
        <x:v>B300K2541003517353</x:v>
      </x:c>
      <x:c r="H129" t="str">
        <x:v>LOG-SRD26071110</x:v>
      </x:c>
      <x:c r="I129" s="16" t="n">
        <x:v>27</x:v>
      </x:c>
      <x:c r="J129" s="16" t="n">
        <x:v>20</x:v>
      </x:c>
      <x:c r="K129" s="16" t="n">
        <x:v>15</x:v>
      </x:c>
      <x:c r="L129" s="19" t="n">
        <x:v>76.9</x:v>
      </x:c>
      <x:c r="M129" t="str">
        <x:v>lb</x:v>
      </x:c>
      <x:c r="N129" s="19" t="n">
        <x:v>77</x:v>
      </x:c>
      <x:c r="O129" t="str">
        <x:v>lb</x:v>
      </x:c>
      <x:c r="P129" s="19" t="n">
        <x:v>65.03636734453889</x:v>
      </x:c>
      <x:c r="Q129" t="str">
        <x:v>lb</x:v>
      </x:c>
      <x:c r="R129" t="str">
        <x:v>MI</x:v>
      </x:c>
      <x:c r="S129" t="str">
        <x:v>PETOSKEY</x:v>
      </x:c>
      <x:c r="T129" t="str">
        <x:v>NJ</x:v>
      </x:c>
      <x:c r="U129" t="str">
        <x:v>NEW BRUNSWICK</x:v>
      </x:c>
      <x:c r="V129" t="str">
        <x:v>已匹配</x:v>
      </x:c>
      <x:c r="W129" s="16" t="n">
        <x:v>1</x:v>
      </x:c>
      <x:c r="X129" s="17" t="str">
        <x:v>B300K：1</x:v>
      </x:c>
    </x:row>
    <x:row r="130" ht="18">
      <x:c r="A130" s="12" t="str">
        <x:v>874095660326</x:v>
      </x:c>
      <x:c r="B130" s="3" t="n">
        <x:v>88.7</x:v>
      </x:c>
      <x:c r="C130" s="5" t="n">
        <x:v>95.183</x:v>
      </x:c>
      <x:c r="D130" s="5" t="n">
        <x:f>C130-B130</x:f>
        <x:v>6.483000000000004</x:v>
      </x:c>
      <x:c r="E130" t="str">
        <x:v>B300K</x:v>
      </x:c>
      <x:c r="F130" t="str">
        <x:v>已匹配</x:v>
      </x:c>
      <x:c r="G130" t="str">
        <x:v>B300K2541004046266</x:v>
      </x:c>
      <x:c r="H130"/>
      <x:c r="I130" s="16" t="n">
        <x:v>27</x:v>
      </x:c>
      <x:c r="J130" s="16" t="n">
        <x:v>20</x:v>
      </x:c>
      <x:c r="K130" s="16" t="n">
        <x:v>15</x:v>
      </x:c>
      <x:c r="L130" s="19" t="n">
        <x:v>76.9</x:v>
      </x:c>
      <x:c r="M130" t="str">
        <x:v>lb</x:v>
      </x:c>
      <x:c r="N130" s="19" t="n">
        <x:v>77</x:v>
      </x:c>
      <x:c r="O130" t="str">
        <x:v>lb</x:v>
      </x:c>
      <x:c r="P130" s="19" t="n">
        <x:v>65.03636734453889</x:v>
      </x:c>
      <x:c r="Q130" t="str">
        <x:v>lb</x:v>
      </x:c>
      <x:c r="R130" t="str">
        <x:v>MI</x:v>
      </x:c>
      <x:c r="S130" t="str">
        <x:v>PETOSKEY</x:v>
      </x:c>
      <x:c r="T130" t="str">
        <x:v>NJ</x:v>
      </x:c>
      <x:c r="U130" t="str">
        <x:v>NEW BRUNSWICK</x:v>
      </x:c>
      <x:c r="V130" t="str">
        <x:v>已匹配</x:v>
      </x:c>
      <x:c r="W130" s="16" t="n">
        <x:v>1</x:v>
      </x:c>
      <x:c r="X130" s="17" t="str">
        <x:v>B300K：1</x:v>
      </x:c>
    </x:row>
    <x:row r="131" ht="18">
      <x:c r="A131" s="12" t="str">
        <x:v>873180402870</x:v>
      </x:c>
      <x:c r="B131" s="3" t="n">
        <x:v>98.83</x:v>
      </x:c>
      <x:c r="C131" s="5" t="n">
        <x:v>105.27</x:v>
      </x:c>
      <x:c r="D131" s="5" t="n">
        <x:f>C131-B131</x:f>
        <x:v>6.439999999999998</x:v>
      </x:c>
      <x:c r="E131" t="str">
        <x:v>B300</x:v>
      </x:c>
      <x:c r="F131" t="str">
        <x:v>已匹配</x:v>
      </x:c>
      <x:c r="G131" t="str">
        <x:v>80446Z22350481</x:v>
      </x:c>
      <x:c r="H131" t="str">
        <x:v>LOG-CRP26061779</x:v>
      </x:c>
      <x:c r="I131" s="16" t="n">
        <x:v>26</x:v>
      </x:c>
      <x:c r="J131" s="16" t="n">
        <x:v>23</x:v>
      </x:c>
      <x:c r="K131" s="16" t="n">
        <x:v>17</x:v>
      </x:c>
      <x:c r="L131" s="19" t="n">
        <x:v>88.1</x:v>
      </x:c>
      <x:c r="M131" t="str">
        <x:v>lb</x:v>
      </x:c>
      <x:c r="N131" s="19" t="n">
        <x:v>89</x:v>
      </x:c>
      <x:c r="O131" t="str">
        <x:v>lb</x:v>
      </x:c>
      <x:c r="P131" s="19" t="n">
        <x:v>79.58687664874081</x:v>
      </x:c>
      <x:c r="Q131" t="str">
        <x:v>lb</x:v>
      </x:c>
      <x:c r="R131" t="str">
        <x:v>AL</x:v>
      </x:c>
      <x:c r="S131" t="str">
        <x:v>ALTOONA</x:v>
      </x:c>
      <x:c r="T131" t="str">
        <x:v>NJ</x:v>
      </x:c>
      <x:c r="U131" t="str">
        <x:v>NEW BRUNSWICK</x:v>
      </x:c>
      <x:c r="V131" t="str">
        <x:v>已匹配</x:v>
      </x:c>
      <x:c r="W131" s="16" t="n">
        <x:v>1</x:v>
      </x:c>
      <x:c r="X131" s="17" t="str">
        <x:v>B300：1</x:v>
      </x:c>
    </x:row>
    <x:row r="132" ht="18">
      <x:c r="A132" s="12" t="str">
        <x:v>874350386169</x:v>
      </x:c>
      <x:c r="B132" s="3" t="n">
        <x:v>62.65</x:v>
      </x:c>
      <x:c r="C132" s="5" t="n">
        <x:v>68.915</x:v>
      </x:c>
      <x:c r="D132" s="5" t="n">
        <x:f>C132-B132</x:f>
        <x:v>6.265000000000008</x:v>
      </x:c>
      <x:c r="E132" t="str">
        <x:v>AC180</x:v>
      </x:c>
      <x:c r="F132" t="str">
        <x:v>已匹配</x:v>
      </x:c>
      <x:c r="G132" t="str">
        <x:v>AC1802442002355773</x:v>
      </x:c>
      <x:c r="H132" t="str">
        <x:v>LOG-SRL26072053</x:v>
      </x:c>
      <x:c r="I132" s="16"/>
      <x:c r="J132" s="16"/>
      <x:c r="K132" s="16"/>
      <x:c r="L132" s="19"/>
      <x:c r="M132"/>
      <x:c r="N132" s="19"/>
      <x:c r="O132"/>
      <x:c r="P132" s="19"/>
      <x:c r="Q132"/>
      <x:c r="R132"/>
      <x:c r="S132"/>
      <x:c r="T132"/>
      <x:c r="U132"/>
      <x:c r="V132" t="str">
        <x:v>未匹配</x:v>
      </x:c>
      <x:c r="W132" s="16" t="n">
        <x:v>17.237</x:v>
      </x:c>
      <x:c r="X132" s="17" t="str">
        <x:v>AC180：17.237</x:v>
      </x:c>
    </x:row>
    <x:row r="133" ht="18">
      <x:c r="A133" s="12" t="str">
        <x:v>874517506130</x:v>
      </x:c>
      <x:c r="B133" s="3" t="n">
        <x:v>28.69</x:v>
      </x:c>
      <x:c r="C133" s="5" t="n">
        <x:v>34.87</x:v>
      </x:c>
      <x:c r="D133" s="5" t="n">
        <x:f>C133-B133</x:f>
        <x:v>6.179999999999996</x:v>
      </x:c>
      <x:c r="E133" t="str">
        <x:v>RV5</x:v>
      </x:c>
      <x:c r="F133" t="str">
        <x:v>已匹配</x:v>
      </x:c>
      <x:c r="G133" t="str">
        <x:v>RV52534020183909</x:v>
      </x:c>
      <x:c r="H133" t="str">
        <x:v>LOG-SRL26072828</x:v>
      </x:c>
      <x:c r="I133" s="16"/>
      <x:c r="J133" s="16"/>
      <x:c r="K133" s="16"/>
      <x:c r="L133" s="19"/>
      <x:c r="M133"/>
      <x:c r="N133" s="19"/>
      <x:c r="O133"/>
      <x:c r="P133" s="19"/>
      <x:c r="Q133"/>
      <x:c r="R133"/>
      <x:c r="S133"/>
      <x:c r="T133"/>
      <x:c r="U133"/>
      <x:c r="V133" t="str">
        <x:v>未匹配</x:v>
      </x:c>
      <x:c r="W133" s="16" t="n">
        <x:v>1</x:v>
      </x:c>
      <x:c r="X133" s="17" t="str">
        <x:v>RV5：1</x:v>
      </x:c>
    </x:row>
    <x:row r="134" ht="18">
      <x:c r="A134" s="12" t="str">
        <x:v>873857070792</x:v>
      </x:c>
      <x:c r="B134" s="3" t="n">
        <x:v>74.74</x:v>
      </x:c>
      <x:c r="C134" s="5" t="n">
        <x:v>80.861</x:v>
      </x:c>
      <x:c r="D134" s="5" t="n">
        <x:f>C134-B134</x:f>
        <x:v>6.121000000000009</x:v>
      </x:c>
      <x:c r="E134" t="str">
        <x:v>B300K</x:v>
      </x:c>
      <x:c r="F134" t="str">
        <x:v>已匹配</x:v>
      </x:c>
      <x:c r="G134" t="str">
        <x:v>B300K2541004272622</x:v>
      </x:c>
      <x:c r="H134" t="str">
        <x:v>LOG-SRD26070227</x:v>
      </x:c>
      <x:c r="I134" s="16" t="n">
        <x:v>27</x:v>
      </x:c>
      <x:c r="J134" s="16" t="n">
        <x:v>20</x:v>
      </x:c>
      <x:c r="K134" s="16" t="n">
        <x:v>15</x:v>
      </x:c>
      <x:c r="L134" s="19" t="n">
        <x:v>76.5</x:v>
      </x:c>
      <x:c r="M134" t="str">
        <x:v>lb</x:v>
      </x:c>
      <x:c r="N134" s="19" t="n">
        <x:v>77</x:v>
      </x:c>
      <x:c r="O134" t="str">
        <x:v>lb</x:v>
      </x:c>
      <x:c r="P134" s="19" t="n">
        <x:v>65.03636734453889</x:v>
      </x:c>
      <x:c r="Q134" t="str">
        <x:v>lb</x:v>
      </x:c>
      <x:c r="R134" t="str">
        <x:v>OH</x:v>
      </x:c>
      <x:c r="S134" t="str">
        <x:v>TOLEDO</x:v>
      </x:c>
      <x:c r="T134" t="str">
        <x:v>NJ</x:v>
      </x:c>
      <x:c r="U134" t="str">
        <x:v>NEW BRUNSWICK</x:v>
      </x:c>
      <x:c r="V134" t="str">
        <x:v>已匹配</x:v>
      </x:c>
      <x:c r="W134" s="16" t="n">
        <x:v>1</x:v>
      </x:c>
      <x:c r="X134" s="17" t="str">
        <x:v>B300K：1</x:v>
      </x:c>
    </x:row>
    <x:row r="135" ht="18">
      <x:c r="A135" s="12" t="str">
        <x:v>875025668912</x:v>
      </x:c>
      <x:c r="B135" s="3" t="n">
        <x:v>32.4</x:v>
      </x:c>
      <x:c r="C135" s="5" t="n">
        <x:v>38.302</x:v>
      </x:c>
      <x:c r="D135" s="5" t="n">
        <x:f>C135-B135</x:f>
        <x:v>5.902000000000001</x:v>
      </x:c>
      <x:c r="E135" t="str">
        <x:v>EL100V2</x:v>
      </x:c>
      <x:c r="F135" t="str">
        <x:v>已匹配</x:v>
      </x:c>
      <x:c r="G135" t="str">
        <x:v>EL100V22542000642131</x:v>
      </x:c>
      <x:c r="H135" t="str">
        <x:v>LOG-SRL26074615</x:v>
      </x:c>
      <x:c r="I135" s="16"/>
      <x:c r="J135" s="16"/>
      <x:c r="K135" s="16"/>
      <x:c r="L135" s="19"/>
      <x:c r="M135"/>
      <x:c r="N135" s="19"/>
      <x:c r="O135"/>
      <x:c r="P135" s="19"/>
      <x:c r="Q135"/>
      <x:c r="R135"/>
      <x:c r="S135"/>
      <x:c r="T135"/>
      <x:c r="U135"/>
      <x:c r="V135" t="str">
        <x:v>未匹配</x:v>
      </x:c>
      <x:c r="W135" s="16" t="n">
        <x:v>11.34</x:v>
      </x:c>
      <x:c r="X135" s="17" t="str">
        <x:v>EL100V2：11.34</x:v>
      </x:c>
    </x:row>
    <x:row r="136" ht="18">
      <x:c r="A136" s="12" t="str">
        <x:v>874150247998</x:v>
      </x:c>
      <x:c r="B136" s="3" t="n">
        <x:v>32.22</x:v>
      </x:c>
      <x:c r="C136" s="5" t="n">
        <x:v>38.071</x:v>
      </x:c>
      <x:c r="D136" s="5" t="n">
        <x:f>C136-B136</x:f>
        <x:v>5.850999999999999</x:v>
      </x:c>
      <x:c r="E136" t="str">
        <x:v>EL100V2</x:v>
      </x:c>
      <x:c r="F136" t="str">
        <x:v>已匹配</x:v>
      </x:c>
      <x:c r="G136" t="str">
        <x:v>EL100V22532030940566</x:v>
      </x:c>
      <x:c r="H136" t="str">
        <x:v>LOG-SRL26071323</x:v>
      </x:c>
      <x:c r="I136" s="16" t="n">
        <x:v>16</x:v>
      </x:c>
      <x:c r="J136" s="16" t="n">
        <x:v>16</x:v>
      </x:c>
      <x:c r="K136" s="16" t="n">
        <x:v>12</x:v>
      </x:c>
      <x:c r="L136" s="19" t="n">
        <x:v>29.6</x:v>
      </x:c>
      <x:c r="M136" t="str">
        <x:v>lb</x:v>
      </x:c>
      <x:c r="N136" s="19" t="n">
        <x:v>30</x:v>
      </x:c>
      <x:c r="O136" t="str">
        <x:v>lb</x:v>
      </x:c>
      <x:c r="P136" s="19" t="n">
        <x:v>25.000420531765116</x:v>
      </x:c>
      <x:c r="Q136" t="str">
        <x:v>lb</x:v>
      </x:c>
      <x:c r="R136" t="str">
        <x:v>TX</x:v>
      </x:c>
      <x:c r="S136" t="str">
        <x:v>LITTLE ELM</x:v>
      </x:c>
      <x:c r="T136" t="str">
        <x:v>NJ</x:v>
      </x:c>
      <x:c r="U136" t="str">
        <x:v>NEW BRUNSWICK</x:v>
      </x:c>
      <x:c r="V136" t="str">
        <x:v>已匹配</x:v>
      </x:c>
      <x:c r="W136" s="16" t="n">
        <x:v>11.34</x:v>
      </x:c>
      <x:c r="X136" s="17" t="str">
        <x:v>EL100V2：11.34</x:v>
      </x:c>
    </x:row>
    <x:row r="137" ht="18">
      <x:c r="A137" s="12" t="str">
        <x:v>873968966408</x:v>
      </x:c>
      <x:c r="B137" s="3" t="n">
        <x:v>32.22</x:v>
      </x:c>
      <x:c r="C137" s="5" t="n">
        <x:v>38.071</x:v>
      </x:c>
      <x:c r="D137" s="5" t="n">
        <x:f>C137-B137</x:f>
        <x:v>5.850999999999999</x:v>
      </x:c>
      <x:c r="E137" t="str">
        <x:v>EL100V2</x:v>
      </x:c>
      <x:c r="F137" t="str">
        <x:v>已匹配</x:v>
      </x:c>
      <x:c r="G137" t="str">
        <x:v>EL100V22525510790109</x:v>
      </x:c>
      <x:c r="H137" t="str">
        <x:v>LOG-SRL26070668</x:v>
      </x:c>
      <x:c r="I137" s="16" t="n">
        <x:v>20</x:v>
      </x:c>
      <x:c r="J137" s="16" t="n">
        <x:v>16</x:v>
      </x:c>
      <x:c r="K137" s="16" t="n">
        <x:v>15</x:v>
      </x:c>
      <x:c r="L137" s="19" t="n">
        <x:v>29.3</x:v>
      </x:c>
      <x:c r="M137" t="str">
        <x:v>lb</x:v>
      </x:c>
      <x:c r="N137" s="19" t="n">
        <x:v>30</x:v>
      </x:c>
      <x:c r="O137" t="str">
        <x:v>lb</x:v>
      </x:c>
      <x:c r="P137" s="19" t="n">
        <x:v>25.000420531765116</x:v>
      </x:c>
      <x:c r="Q137" t="str">
        <x:v>lb</x:v>
      </x:c>
      <x:c r="R137" t="str">
        <x:v>OK</x:v>
      </x:c>
      <x:c r="S137" t="str">
        <x:v>CHICKASHA</x:v>
      </x:c>
      <x:c r="T137" t="str">
        <x:v>NJ</x:v>
      </x:c>
      <x:c r="U137" t="str">
        <x:v>NEW BRUNSWICK</x:v>
      </x:c>
      <x:c r="V137" t="str">
        <x:v>已匹配</x:v>
      </x:c>
      <x:c r="W137" s="16" t="n">
        <x:v>11.34</x:v>
      </x:c>
      <x:c r="X137" s="17" t="str">
        <x:v>EL100V2：11.34</x:v>
      </x:c>
    </x:row>
    <x:row r="138" ht="18">
      <x:c r="A138" s="12" t="str">
        <x:v>873423033354</x:v>
      </x:c>
      <x:c r="B138" s="3" t="n">
        <x:v>24.48</x:v>
      </x:c>
      <x:c r="C138" s="5" t="n">
        <x:v>30.228</x:v>
      </x:c>
      <x:c r="D138" s="5" t="n">
        <x:f>C138-B138</x:f>
        <x:v>5.748000000000001</x:v>
      </x:c>
      <x:c r="E138"/>
      <x:c r="F138" t="str">
        <x:v>未匹配</x:v>
      </x:c>
      <x:c r="G138"/>
      <x:c r="H138"/>
      <x:c r="I138" s="16" t="n">
        <x:v>16</x:v>
      </x:c>
      <x:c r="J138" s="16" t="n">
        <x:v>16</x:v>
      </x:c>
      <x:c r="K138" s="16" t="n">
        <x:v>12</x:v>
      </x:c>
      <x:c r="L138" s="19" t="n">
        <x:v>29.6</x:v>
      </x:c>
      <x:c r="M138" t="str">
        <x:v>lb</x:v>
      </x:c>
      <x:c r="N138" s="19" t="n">
        <x:v>30</x:v>
      </x:c>
      <x:c r="O138" t="str">
        <x:v>lb</x:v>
      </x:c>
      <x:c r="P138" s="19" t="n">
        <x:v>22.99421394588273</x:v>
      </x:c>
      <x:c r="Q138" t="str">
        <x:v>lb</x:v>
      </x:c>
      <x:c r="R138" t="str">
        <x:v>IL</x:v>
      </x:c>
      <x:c r="S138" t="str">
        <x:v>CHICAGO</x:v>
      </x:c>
      <x:c r="T138" t="str">
        <x:v>NJ</x:v>
      </x:c>
      <x:c r="U138" t="str">
        <x:v>NEW BRUNSWICK</x:v>
      </x:c>
      <x:c r="V138" t="str">
        <x:v>已匹配</x:v>
      </x:c>
      <x:c r="W138" s="16" t="n">
        <x:v>10.433</x:v>
      </x:c>
      <x:c r="X138" s="17" t="str">
        <x:v>ELITE100V2：10.433</x:v>
      </x:c>
    </x:row>
    <x:row r="139" ht="18">
      <x:c r="A139" s="12" t="str">
        <x:v>874710843270</x:v>
      </x:c>
      <x:c r="B139" s="3" t="n">
        <x:v>30.19</x:v>
      </x:c>
      <x:c r="C139" s="5" t="n">
        <x:v>35.838</x:v>
      </x:c>
      <x:c r="D139" s="5" t="n">
        <x:f>C139-B139</x:f>
        <x:v>5.648</x:v>
      </x:c>
      <x:c r="E139" t="str">
        <x:v>AC180</x:v>
      </x:c>
      <x:c r="F139" t="str">
        <x:v>已匹配</x:v>
      </x:c>
      <x:c r="G139" t="str">
        <x:v>AC1802411002101493</x:v>
      </x:c>
      <x:c r="H139" t="str">
        <x:v>LOG-CRP26073543</x:v>
      </x:c>
      <x:c r="I139" s="16"/>
      <x:c r="J139" s="16"/>
      <x:c r="K139" s="16"/>
      <x:c r="L139" s="19"/>
      <x:c r="M139"/>
      <x:c r="N139" s="19"/>
      <x:c r="O139"/>
      <x:c r="P139" s="19"/>
      <x:c r="Q139"/>
      <x:c r="R139"/>
      <x:c r="S139"/>
      <x:c r="T139"/>
      <x:c r="U139"/>
      <x:c r="V139" t="str">
        <x:v>未匹配</x:v>
      </x:c>
      <x:c r="W139" s="16" t="n">
        <x:v>17.237</x:v>
      </x:c>
      <x:c r="X139" s="17" t="str">
        <x:v>AC180：17.237</x:v>
      </x:c>
    </x:row>
    <x:row r="140" ht="18">
      <x:c r="A140" s="12" t="str">
        <x:v>874766473687</x:v>
      </x:c>
      <x:c r="B140" s="3" t="n">
        <x:v>23.66</x:v>
      </x:c>
      <x:c r="C140" s="5" t="n">
        <x:v>29.238</x:v>
      </x:c>
      <x:c r="D140" s="5" t="n">
        <x:f>C140-B140</x:f>
        <x:v>5.577999999999999</x:v>
      </x:c>
      <x:c r="E140" t="str">
        <x:v>AC70</x:v>
      </x:c>
      <x:c r="F140" t="str">
        <x:v>已匹配</x:v>
      </x:c>
      <x:c r="G140" t="str">
        <x:v>AC702434000348875</x:v>
      </x:c>
      <x:c r="H140" t="str">
        <x:v>LOG-SRD26073900</x:v>
      </x:c>
      <x:c r="I140" s="16"/>
      <x:c r="J140" s="16"/>
      <x:c r="K140" s="16"/>
      <x:c r="L140" s="19"/>
      <x:c r="M140"/>
      <x:c r="N140" s="19"/>
      <x:c r="O140"/>
      <x:c r="P140" s="19"/>
      <x:c r="Q140"/>
      <x:c r="R140"/>
      <x:c r="S140"/>
      <x:c r="T140"/>
      <x:c r="U140"/>
      <x:c r="V140" t="str">
        <x:v>未匹配</x:v>
      </x:c>
      <x:c r="W140" s="16" t="n">
        <x:v>8.165</x:v>
      </x:c>
      <x:c r="X140" s="17" t="str">
        <x:v>AC70：8.165</x:v>
      </x:c>
    </x:row>
    <x:row r="141" ht="18">
      <x:c r="A141" s="12" t="str">
        <x:v>873425039388</x:v>
      </x:c>
      <x:c r="B141" s="3" t="n">
        <x:v>39.16</x:v>
      </x:c>
      <x:c r="C141" s="5" t="n">
        <x:v>44.605</x:v>
      </x:c>
      <x:c r="D141" s="5" t="n">
        <x:f>C141-B141</x:f>
        <x:v>5.445</x:v>
      </x:c>
      <x:c r="E141" t="str">
        <x:v>EL100V2</x:v>
      </x:c>
      <x:c r="F141" t="str">
        <x:v>已匹配</x:v>
      </x:c>
      <x:c r="G141" t="str">
        <x:v>EL100V22539003697873</x:v>
      </x:c>
      <x:c r="H141" t="str">
        <x:v>LOG-SRD26062319</x:v>
      </x:c>
      <x:c r="I141" s="16" t="n">
        <x:v>16</x:v>
      </x:c>
      <x:c r="J141" s="16" t="n">
        <x:v>16</x:v>
      </x:c>
      <x:c r="K141" s="16" t="n">
        <x:v>12</x:v>
      </x:c>
      <x:c r="L141" s="19" t="n">
        <x:v>29.4</x:v>
      </x:c>
      <x:c r="M141" t="str">
        <x:v>lb</x:v>
      </x:c>
      <x:c r="N141" s="19" t="n">
        <x:v>30</x:v>
      </x:c>
      <x:c r="O141" t="str">
        <x:v>lb</x:v>
      </x:c>
      <x:c r="P141" s="19" t="n">
        <x:v>25.000420531765116</x:v>
      </x:c>
      <x:c r="Q141" t="str">
        <x:v>lb</x:v>
      </x:c>
      <x:c r="R141" t="str">
        <x:v>SD</x:v>
      </x:c>
      <x:c r="S141" t="str">
        <x:v>BOX ELDER</x:v>
      </x:c>
      <x:c r="T141" t="str">
        <x:v>NJ</x:v>
      </x:c>
      <x:c r="U141" t="str">
        <x:v>NEW BRUNSWICK</x:v>
      </x:c>
      <x:c r="V141" t="str">
        <x:v>已匹配</x:v>
      </x:c>
      <x:c r="W141" s="16" t="n">
        <x:v>11.34</x:v>
      </x:c>
      <x:c r="X141" s="17" t="str">
        <x:v>EL100V2：11.34</x:v>
      </x:c>
    </x:row>
    <x:row r="142" ht="18">
      <x:c r="A142" s="12" t="str">
        <x:v>874399921537</x:v>
      </x:c>
      <x:c r="B142" s="3" t="n">
        <x:v>33.39</x:v>
      </x:c>
      <x:c r="C142" s="5" t="n">
        <x:v>38.819</x:v>
      </x:c>
      <x:c r="D142" s="5" t="n">
        <x:f>C142-B142</x:f>
        <x:v>5.429000000000002</x:v>
      </x:c>
      <x:c r="E142" t="str">
        <x:v>EL100V2</x:v>
      </x:c>
      <x:c r="F142" t="str">
        <x:v>已匹配</x:v>
      </x:c>
      <x:c r="G142" t="str">
        <x:v>EL100V22532011038355</x:v>
      </x:c>
      <x:c r="H142" t="str">
        <x:v>LOG-SRD26073332</x:v>
      </x:c>
      <x:c r="I142" s="16" t="n">
        <x:v>16</x:v>
      </x:c>
      <x:c r="J142" s="16" t="n">
        <x:v>16</x:v>
      </x:c>
      <x:c r="K142" s="16" t="n">
        <x:v>12</x:v>
      </x:c>
      <x:c r="L142" s="19" t="n">
        <x:v>30.1</x:v>
      </x:c>
      <x:c r="M142" t="str">
        <x:v>lb</x:v>
      </x:c>
      <x:c r="N142" s="19" t="n">
        <x:v>31</x:v>
      </x:c>
      <x:c r="O142" t="str">
        <x:v>lb</x:v>
      </x:c>
      <x:c r="P142" s="19" t="n">
        <x:v>25.992500711597064</x:v>
      </x:c>
      <x:c r="Q142" t="str">
        <x:v>lb</x:v>
      </x:c>
      <x:c r="R142" t="str">
        <x:v>FL</x:v>
      </x:c>
      <x:c r="S142" t="str">
        <x:v>HIALEAH</x:v>
      </x:c>
      <x:c r="T142" t="str">
        <x:v>NJ</x:v>
      </x:c>
      <x:c r="U142" t="str">
        <x:v>NEW BRUNSWICK</x:v>
      </x:c>
      <x:c r="V142" t="str">
        <x:v>已匹配</x:v>
      </x:c>
      <x:c r="W142" s="16" t="n">
        <x:v>0</x:v>
      </x:c>
      <x:c r="X142" s="17" t="str">
        <x:v>Elite 100 V2：0</x:v>
      </x:c>
    </x:row>
    <x:row r="143" ht="18">
      <x:c r="A143" s="12" t="str">
        <x:v>873856906303</x:v>
      </x:c>
      <x:c r="B143" s="3" t="n">
        <x:v>39.09</x:v>
      </x:c>
      <x:c r="C143" s="5" t="n">
        <x:v>44.517</x:v>
      </x:c>
      <x:c r="D143" s="5" t="n">
        <x:f>C143-B143</x:f>
        <x:v>5.427</x:v>
      </x:c>
      <x:c r="E143" t="str">
        <x:v>EL100V2</x:v>
      </x:c>
      <x:c r="F143" t="str">
        <x:v>已匹配</x:v>
      </x:c>
      <x:c r="G143" t="str">
        <x:v>EL100V22532070070024</x:v>
      </x:c>
      <x:c r="H143" t="str">
        <x:v>LOG-SRL26070408</x:v>
      </x:c>
      <x:c r="I143" s="16" t="n">
        <x:v>16</x:v>
      </x:c>
      <x:c r="J143" s="16" t="n">
        <x:v>16</x:v>
      </x:c>
      <x:c r="K143" s="16" t="n">
        <x:v>12</x:v>
      </x:c>
      <x:c r="L143" s="19" t="n">
        <x:v>29.7</x:v>
      </x:c>
      <x:c r="M143" t="str">
        <x:v>lb</x:v>
      </x:c>
      <x:c r="N143" s="19" t="n">
        <x:v>30</x:v>
      </x:c>
      <x:c r="O143" t="str">
        <x:v>lb</x:v>
      </x:c>
      <x:c r="P143" s="19" t="n">
        <x:v>25.000420531765116</x:v>
      </x:c>
      <x:c r="Q143" t="str">
        <x:v>lb</x:v>
      </x:c>
      <x:c r="R143" t="str">
        <x:v>SD</x:v>
      </x:c>
      <x:c r="S143" t="str">
        <x:v>SPEARFISH</x:v>
      </x:c>
      <x:c r="T143" t="str">
        <x:v>NJ</x:v>
      </x:c>
      <x:c r="U143" t="str">
        <x:v>NEW BRUNSWICK</x:v>
      </x:c>
      <x:c r="V143" t="str">
        <x:v>已匹配</x:v>
      </x:c>
      <x:c r="W143" s="16" t="n">
        <x:v>11.34</x:v>
      </x:c>
      <x:c r="X143" s="17" t="str">
        <x:v>EL100V2：11.34</x:v>
      </x:c>
    </x:row>
    <x:row r="144" ht="18">
      <x:c r="A144" s="12" t="str">
        <x:v>873915271930</x:v>
      </x:c>
      <x:c r="B144" s="3" t="n">
        <x:v>23.66</x:v>
      </x:c>
      <x:c r="C144" s="5" t="n">
        <x:v>29.073</x:v>
      </x:c>
      <x:c r="D144" s="5" t="n">
        <x:f>C144-B144</x:f>
        <x:v>5.413</x:v>
      </x:c>
      <x:c r="E144" t="str">
        <x:v>AC70</x:v>
      </x:c>
      <x:c r="F144" t="str">
        <x:v>已匹配</x:v>
      </x:c>
      <x:c r="G144" t="str">
        <x:v>AC702540000453560</x:v>
      </x:c>
      <x:c r="H144" t="str">
        <x:v>LOG-SRD26070567</x:v>
      </x:c>
      <x:c r="I144" s="16" t="n">
        <x:v>16</x:v>
      </x:c>
      <x:c r="J144" s="16" t="n">
        <x:v>16</x:v>
      </x:c>
      <x:c r="K144" s="16" t="n">
        <x:v>12</x:v>
      </x:c>
      <x:c r="L144" s="19" t="n">
        <x:v>27.2</x:v>
      </x:c>
      <x:c r="M144" t="str">
        <x:v>lb</x:v>
      </x:c>
      <x:c r="N144" s="19" t="n">
        <x:v>28</x:v>
      </x:c>
      <x:c r="O144" t="str">
        <x:v>lb</x:v>
      </x:c>
      <x:c r="P144" s="19" t="n">
        <x:v>17.98972059428601</x:v>
      </x:c>
      <x:c r="Q144" t="str">
        <x:v>lb</x:v>
      </x:c>
      <x:c r="R144" t="str">
        <x:v>AL</x:v>
      </x:c>
      <x:c r="S144" t="str">
        <x:v>CULLMAN</x:v>
      </x:c>
      <x:c r="T144" t="str">
        <x:v>NJ</x:v>
      </x:c>
      <x:c r="U144" t="str">
        <x:v>NEW BRUNSWICK</x:v>
      </x:c>
      <x:c r="V144" t="str">
        <x:v>已匹配</x:v>
      </x:c>
      <x:c r="W144" s="16" t="n">
        <x:v>8.165</x:v>
      </x:c>
      <x:c r="X144" s="17" t="str">
        <x:v>AC70：8.165</x:v>
      </x:c>
    </x:row>
    <x:row r="145" ht="18">
      <x:c r="A145" s="12" t="str">
        <x:v>873109425609</x:v>
      </x:c>
      <x:c r="B145" s="3" t="n">
        <x:v>39.03</x:v>
      </x:c>
      <x:c r="C145" s="5" t="n">
        <x:v>44.376</x:v>
      </x:c>
      <x:c r="D145" s="5" t="n">
        <x:f>C145-B145</x:f>
        <x:v>5.3459999999999965</x:v>
      </x:c>
      <x:c r="E145"/>
      <x:c r="F145" t="str">
        <x:v>未匹配</x:v>
      </x:c>
      <x:c r="G145"/>
      <x:c r="H145"/>
      <x:c r="I145" s="16" t="n">
        <x:v>33</x:v>
      </x:c>
      <x:c r="J145" s="16" t="n">
        <x:v>30</x:v>
      </x:c>
      <x:c r="K145" s="16" t="n">
        <x:v>25</x:v>
      </x:c>
      <x:c r="L145" s="19" t="n">
        <x:v>12.6</x:v>
      </x:c>
      <x:c r="M145" t="str">
        <x:v>lb</x:v>
      </x:c>
      <x:c r="N145" s="19" t="n">
        <x:v>13</x:v>
      </x:c>
      <x:c r="O145" t="str">
        <x:v>lb</x:v>
      </x:c>
      <x:c r="P145" s="19" t="n">
        <x:v>6.988653711260619</x:v>
      </x:c>
      <x:c r="Q145" t="str">
        <x:v>lb</x:v>
      </x:c>
      <x:c r="R145" t="str">
        <x:v>NJ</x:v>
      </x:c>
      <x:c r="S145" t="str">
        <x:v>NEW BRUNSWICK</x:v>
      </x:c>
      <x:c r="T145" t="str">
        <x:v>CA</x:v>
      </x:c>
      <x:c r="U145" t="str">
        <x:v>TULARE</x:v>
      </x:c>
      <x:c r="V145" t="str">
        <x:v>已匹配</x:v>
      </x:c>
      <x:c r="W145" s="16"/>
      <x:c r="X145" s="17"/>
    </x:row>
    <x:row r="146" ht="18">
      <x:c r="A146" s="12" t="str">
        <x:v>873109427428</x:v>
      </x:c>
      <x:c r="B146" s="3" t="n">
        <x:v>39.03</x:v>
      </x:c>
      <x:c r="C146" s="5" t="n">
        <x:v>44.376</x:v>
      </x:c>
      <x:c r="D146" s="5" t="n">
        <x:f>C146-B146</x:f>
        <x:v>5.3459999999999965</x:v>
      </x:c>
      <x:c r="E146"/>
      <x:c r="F146" t="str">
        <x:v>未匹配</x:v>
      </x:c>
      <x:c r="G146"/>
      <x:c r="H146"/>
      <x:c r="I146" s="16" t="n">
        <x:v>33</x:v>
      </x:c>
      <x:c r="J146" s="16" t="n">
        <x:v>30</x:v>
      </x:c>
      <x:c r="K146" s="16" t="n">
        <x:v>25</x:v>
      </x:c>
      <x:c r="L146" s="19" t="n">
        <x:v>12.6</x:v>
      </x:c>
      <x:c r="M146" t="str">
        <x:v>lb</x:v>
      </x:c>
      <x:c r="N146" s="19" t="n">
        <x:v>13</x:v>
      </x:c>
      <x:c r="O146" t="str">
        <x:v>lb</x:v>
      </x:c>
      <x:c r="P146" s="19" t="n">
        <x:v>6.988653711260619</x:v>
      </x:c>
      <x:c r="Q146" t="str">
        <x:v>lb</x:v>
      </x:c>
      <x:c r="R146" t="str">
        <x:v>NJ</x:v>
      </x:c>
      <x:c r="S146" t="str">
        <x:v>NEW BRUNSWICK</x:v>
      </x:c>
      <x:c r="T146" t="str">
        <x:v>OR</x:v>
      </x:c>
      <x:c r="U146" t="str">
        <x:v>SPRINGFIELD</x:v>
      </x:c>
      <x:c r="V146" t="str">
        <x:v>已匹配</x:v>
      </x:c>
      <x:c r="W146" s="16"/>
      <x:c r="X146" s="17"/>
    </x:row>
    <x:row r="147" ht="18">
      <x:c r="A147" s="12" t="str">
        <x:v>873109426101</x:v>
      </x:c>
      <x:c r="B147" s="3" t="n">
        <x:v>40.7</x:v>
      </x:c>
      <x:c r="C147" s="5" t="n">
        <x:v>46.044</x:v>
      </x:c>
      <x:c r="D147" s="5" t="n">
        <x:f>C147-B147</x:f>
        <x:v>5.343999999999994</x:v>
      </x:c>
      <x:c r="E147"/>
      <x:c r="F147" t="str">
        <x:v>未匹配</x:v>
      </x:c>
      <x:c r="G147"/>
      <x:c r="H147"/>
      <x:c r="I147" s="16" t="n">
        <x:v>33</x:v>
      </x:c>
      <x:c r="J147" s="16" t="n">
        <x:v>30</x:v>
      </x:c>
      <x:c r="K147" s="16" t="n">
        <x:v>25</x:v>
      </x:c>
      <x:c r="L147" s="19" t="n">
        <x:v>12.6</x:v>
      </x:c>
      <x:c r="M147" t="str">
        <x:v>lb</x:v>
      </x:c>
      <x:c r="N147" s="19" t="n">
        <x:v>13</x:v>
      </x:c>
      <x:c r="O147" t="str">
        <x:v>lb</x:v>
      </x:c>
      <x:c r="P147" s="19" t="n">
        <x:v>6.988653711260619</x:v>
      </x:c>
      <x:c r="Q147" t="str">
        <x:v>lb</x:v>
      </x:c>
      <x:c r="R147" t="str">
        <x:v>NJ</x:v>
      </x:c>
      <x:c r="S147" t="str">
        <x:v>NEW BRUNSWICK</x:v>
      </x:c>
      <x:c r="T147" t="str">
        <x:v>OR</x:v>
      </x:c>
      <x:c r="U147" t="str">
        <x:v>ESTACADA</x:v>
      </x:c>
      <x:c r="V147" t="str">
        <x:v>已匹配</x:v>
      </x:c>
      <x:c r="W147" s="16"/>
      <x:c r="X147" s="17"/>
    </x:row>
    <x:row r="148" ht="18">
      <x:c r="A148" s="12" t="str">
        <x:v>873109426156</x:v>
      </x:c>
      <x:c r="B148" s="3" t="n">
        <x:v>40.7</x:v>
      </x:c>
      <x:c r="C148" s="5" t="n">
        <x:v>46.044</x:v>
      </x:c>
      <x:c r="D148" s="5" t="n">
        <x:f>C148-B148</x:f>
        <x:v>5.343999999999994</x:v>
      </x:c>
      <x:c r="E148"/>
      <x:c r="F148" t="str">
        <x:v>未匹配</x:v>
      </x:c>
      <x:c r="G148"/>
      <x:c r="H148"/>
      <x:c r="I148" s="16" t="n">
        <x:v>33</x:v>
      </x:c>
      <x:c r="J148" s="16" t="n">
        <x:v>30</x:v>
      </x:c>
      <x:c r="K148" s="16" t="n">
        <x:v>25</x:v>
      </x:c>
      <x:c r="L148" s="19" t="n">
        <x:v>12.4</x:v>
      </x:c>
      <x:c r="M148" t="str">
        <x:v>lb</x:v>
      </x:c>
      <x:c r="N148" s="19" t="n">
        <x:v>13</x:v>
      </x:c>
      <x:c r="O148" t="str">
        <x:v>lb</x:v>
      </x:c>
      <x:c r="P148" s="19" t="n">
        <x:v>6.988653711260619</x:v>
      </x:c>
      <x:c r="Q148" t="str">
        <x:v>lb</x:v>
      </x:c>
      <x:c r="R148" t="str">
        <x:v>NJ</x:v>
      </x:c>
      <x:c r="S148" t="str">
        <x:v>NEW BRUNSWICK</x:v>
      </x:c>
      <x:c r="T148" t="str">
        <x:v>UT</x:v>
      </x:c>
      <x:c r="U148" t="str">
        <x:v>ENTERPRISE</x:v>
      </x:c>
      <x:c r="V148" t="str">
        <x:v>已匹配</x:v>
      </x:c>
      <x:c r="W148" s="16"/>
      <x:c r="X148" s="17"/>
    </x:row>
    <x:row r="149" ht="18">
      <x:c r="A149" s="12" t="str">
        <x:v>873109426329</x:v>
      </x:c>
      <x:c r="B149" s="3" t="n">
        <x:v>40.7</x:v>
      </x:c>
      <x:c r="C149" s="5" t="n">
        <x:v>46.044</x:v>
      </x:c>
      <x:c r="D149" s="5" t="n">
        <x:f>C149-B149</x:f>
        <x:v>5.343999999999994</x:v>
      </x:c>
      <x:c r="E149"/>
      <x:c r="F149" t="str">
        <x:v>未匹配</x:v>
      </x:c>
      <x:c r="G149"/>
      <x:c r="H149"/>
      <x:c r="I149" s="16" t="n">
        <x:v>33</x:v>
      </x:c>
      <x:c r="J149" s="16" t="n">
        <x:v>30</x:v>
      </x:c>
      <x:c r="K149" s="16" t="n">
        <x:v>25</x:v>
      </x:c>
      <x:c r="L149" s="19" t="n">
        <x:v>12.2</x:v>
      </x:c>
      <x:c r="M149" t="str">
        <x:v>lb</x:v>
      </x:c>
      <x:c r="N149" s="19" t="n">
        <x:v>13</x:v>
      </x:c>
      <x:c r="O149" t="str">
        <x:v>lb</x:v>
      </x:c>
      <x:c r="P149" s="19" t="n">
        <x:v>6.988653711260619</x:v>
      </x:c>
      <x:c r="Q149" t="str">
        <x:v>lb</x:v>
      </x:c>
      <x:c r="R149" t="str">
        <x:v>NJ</x:v>
      </x:c>
      <x:c r="S149" t="str">
        <x:v>NEW BRUNSWICK</x:v>
      </x:c>
      <x:c r="T149" t="str">
        <x:v>OR</x:v>
      </x:c>
      <x:c r="U149" t="str">
        <x:v>JOHN DAY</x:v>
      </x:c>
      <x:c r="V149" t="str">
        <x:v>已匹配</x:v>
      </x:c>
      <x:c r="W149" s="16"/>
      <x:c r="X149" s="17"/>
    </x:row>
    <x:row r="150" ht="18">
      <x:c r="A150" s="12" t="str">
        <x:v>873109426178</x:v>
      </x:c>
      <x:c r="B150" s="3" t="n">
        <x:v>34.05</x:v>
      </x:c>
      <x:c r="C150" s="5" t="n">
        <x:v>39.384</x:v>
      </x:c>
      <x:c r="D150" s="5" t="n">
        <x:f>C150-B150</x:f>
        <x:v>5.334000000000003</x:v>
      </x:c>
      <x:c r="E150"/>
      <x:c r="F150" t="str">
        <x:v>未匹配</x:v>
      </x:c>
      <x:c r="G150"/>
      <x:c r="H150"/>
      <x:c r="I150" s="16" t="n">
        <x:v>33</x:v>
      </x:c>
      <x:c r="J150" s="16" t="n">
        <x:v>30</x:v>
      </x:c>
      <x:c r="K150" s="16" t="n">
        <x:v>25</x:v>
      </x:c>
      <x:c r="L150" s="19" t="n">
        <x:v>12.5</x:v>
      </x:c>
      <x:c r="M150" t="str">
        <x:v>lb</x:v>
      </x:c>
      <x:c r="N150" s="19" t="n">
        <x:v>13</x:v>
      </x:c>
      <x:c r="O150" t="str">
        <x:v>lb</x:v>
      </x:c>
      <x:c r="P150" s="19" t="n">
        <x:v>6.988653711260619</x:v>
      </x:c>
      <x:c r="Q150" t="str">
        <x:v>lb</x:v>
      </x:c>
      <x:c r="R150" t="str">
        <x:v>NJ</x:v>
      </x:c>
      <x:c r="S150" t="str">
        <x:v>NEW BRUNSWICK</x:v>
      </x:c>
      <x:c r="T150" t="str">
        <x:v>CA</x:v>
      </x:c>
      <x:c r="U150" t="str">
        <x:v>ARCADIA</x:v>
      </x:c>
      <x:c r="V150" t="str">
        <x:v>已匹配</x:v>
      </x:c>
      <x:c r="W150" s="16"/>
      <x:c r="X150" s="17"/>
    </x:row>
    <x:row r="151" ht="18">
      <x:c r="A151" s="12" t="str">
        <x:v>873109425778</x:v>
      </x:c>
      <x:c r="B151" s="3" t="n">
        <x:v>34.05</x:v>
      </x:c>
      <x:c r="C151" s="5" t="n">
        <x:v>39.384</x:v>
      </x:c>
      <x:c r="D151" s="5" t="n">
        <x:f>C151-B151</x:f>
        <x:v>5.334000000000003</x:v>
      </x:c>
      <x:c r="E151"/>
      <x:c r="F151" t="str">
        <x:v>未匹配</x:v>
      </x:c>
      <x:c r="G151"/>
      <x:c r="H151"/>
      <x:c r="I151" s="16" t="n">
        <x:v>33</x:v>
      </x:c>
      <x:c r="J151" s="16" t="n">
        <x:v>30</x:v>
      </x:c>
      <x:c r="K151" s="16" t="n">
        <x:v>25</x:v>
      </x:c>
      <x:c r="L151" s="19" t="n">
        <x:v>12.3</x:v>
      </x:c>
      <x:c r="M151" t="str">
        <x:v>lb</x:v>
      </x:c>
      <x:c r="N151" s="19" t="n">
        <x:v>13</x:v>
      </x:c>
      <x:c r="O151" t="str">
        <x:v>lb</x:v>
      </x:c>
      <x:c r="P151" s="19" t="n">
        <x:v>6.988653711260619</x:v>
      </x:c>
      <x:c r="Q151" t="str">
        <x:v>lb</x:v>
      </x:c>
      <x:c r="R151" t="str">
        <x:v>NJ</x:v>
      </x:c>
      <x:c r="S151" t="str">
        <x:v>NEW BRUNSWICK</x:v>
      </x:c>
      <x:c r="T151" t="str">
        <x:v>CA</x:v>
      </x:c>
      <x:c r="U151" t="str">
        <x:v>SAN BERNARDINO</x:v>
      </x:c>
      <x:c r="V151" t="str">
        <x:v>已匹配</x:v>
      </x:c>
      <x:c r="W151" s="16"/>
      <x:c r="X151" s="17"/>
    </x:row>
    <x:row r="152" ht="18">
      <x:c r="A152" s="12" t="str">
        <x:v>873109427862</x:v>
      </x:c>
      <x:c r="B152" s="3" t="n">
        <x:v>34.05</x:v>
      </x:c>
      <x:c r="C152" s="5" t="n">
        <x:v>39.384</x:v>
      </x:c>
      <x:c r="D152" s="5" t="n">
        <x:f>C152-B152</x:f>
        <x:v>5.334000000000003</x:v>
      </x:c>
      <x:c r="E152"/>
      <x:c r="F152" t="str">
        <x:v>未匹配</x:v>
      </x:c>
      <x:c r="G152"/>
      <x:c r="H152"/>
      <x:c r="I152" s="16" t="n">
        <x:v>33</x:v>
      </x:c>
      <x:c r="J152" s="16" t="n">
        <x:v>30</x:v>
      </x:c>
      <x:c r="K152" s="16" t="n">
        <x:v>25</x:v>
      </x:c>
      <x:c r="L152" s="19" t="n">
        <x:v>12.5</x:v>
      </x:c>
      <x:c r="M152" t="str">
        <x:v>lb</x:v>
      </x:c>
      <x:c r="N152" s="19" t="n">
        <x:v>13</x:v>
      </x:c>
      <x:c r="O152" t="str">
        <x:v>lb</x:v>
      </x:c>
      <x:c r="P152" s="19" t="n">
        <x:v>6.988653711260619</x:v>
      </x:c>
      <x:c r="Q152" t="str">
        <x:v>lb</x:v>
      </x:c>
      <x:c r="R152" t="str">
        <x:v>NJ</x:v>
      </x:c>
      <x:c r="S152" t="str">
        <x:v>NEW BRUNSWICK</x:v>
      </x:c>
      <x:c r="T152" t="str">
        <x:v>WA</x:v>
      </x:c>
      <x:c r="U152" t="str">
        <x:v>SEATTLE</x:v>
      </x:c>
      <x:c r="V152" t="str">
        <x:v>已匹配</x:v>
      </x:c>
      <x:c r="W152" s="16"/>
      <x:c r="X152" s="17"/>
    </x:row>
    <x:row r="153" ht="18">
      <x:c r="A153" s="12" t="str">
        <x:v>873109425403</x:v>
      </x:c>
      <x:c r="B153" s="3" t="n">
        <x:v>34.05</x:v>
      </x:c>
      <x:c r="C153" s="5" t="n">
        <x:v>39.384</x:v>
      </x:c>
      <x:c r="D153" s="5" t="n">
        <x:f>C153-B153</x:f>
        <x:v>5.334000000000003</x:v>
      </x:c>
      <x:c r="E153"/>
      <x:c r="F153" t="str">
        <x:v>未匹配</x:v>
      </x:c>
      <x:c r="G153"/>
      <x:c r="H153"/>
      <x:c r="I153" s="16" t="n">
        <x:v>33</x:v>
      </x:c>
      <x:c r="J153" s="16" t="n">
        <x:v>30</x:v>
      </x:c>
      <x:c r="K153" s="16" t="n">
        <x:v>25</x:v>
      </x:c>
      <x:c r="L153" s="19" t="n">
        <x:v>12.5</x:v>
      </x:c>
      <x:c r="M153" t="str">
        <x:v>lb</x:v>
      </x:c>
      <x:c r="N153" s="19" t="n">
        <x:v>13</x:v>
      </x:c>
      <x:c r="O153" t="str">
        <x:v>lb</x:v>
      </x:c>
      <x:c r="P153" s="19" t="n">
        <x:v>6.988653711260619</x:v>
      </x:c>
      <x:c r="Q153" t="str">
        <x:v>lb</x:v>
      </x:c>
      <x:c r="R153" t="str">
        <x:v>NJ</x:v>
      </x:c>
      <x:c r="S153" t="str">
        <x:v>NEW BRUNSWICK</x:v>
      </x:c>
      <x:c r="T153" t="str">
        <x:v>WA</x:v>
      </x:c>
      <x:c r="U153" t="str">
        <x:v>LAKE STEVENS</x:v>
      </x:c>
      <x:c r="V153" t="str">
        <x:v>已匹配</x:v>
      </x:c>
      <x:c r="W153" s="16"/>
      <x:c r="X153" s="17"/>
    </x:row>
    <x:row r="154" ht="18">
      <x:c r="A154" s="12" t="str">
        <x:v>873109426362</x:v>
      </x:c>
      <x:c r="B154" s="3" t="n">
        <x:v>34.05</x:v>
      </x:c>
      <x:c r="C154" s="5" t="n">
        <x:v>39.384</x:v>
      </x:c>
      <x:c r="D154" s="5" t="n">
        <x:f>C154-B154</x:f>
        <x:v>5.334000000000003</x:v>
      </x:c>
      <x:c r="E154"/>
      <x:c r="F154" t="str">
        <x:v>未匹配</x:v>
      </x:c>
      <x:c r="G154"/>
      <x:c r="H154"/>
      <x:c r="I154" s="16" t="n">
        <x:v>33</x:v>
      </x:c>
      <x:c r="J154" s="16" t="n">
        <x:v>30</x:v>
      </x:c>
      <x:c r="K154" s="16" t="n">
        <x:v>25</x:v>
      </x:c>
      <x:c r="L154" s="19" t="n">
        <x:v>12.5</x:v>
      </x:c>
      <x:c r="M154" t="str">
        <x:v>lb</x:v>
      </x:c>
      <x:c r="N154" s="19" t="n">
        <x:v>13</x:v>
      </x:c>
      <x:c r="O154" t="str">
        <x:v>lb</x:v>
      </x:c>
      <x:c r="P154" s="19" t="n">
        <x:v>6.988653711260619</x:v>
      </x:c>
      <x:c r="Q154" t="str">
        <x:v>lb</x:v>
      </x:c>
      <x:c r="R154" t="str">
        <x:v>NJ</x:v>
      </x:c>
      <x:c r="S154" t="str">
        <x:v>NEW BRUNSWICK</x:v>
      </x:c>
      <x:c r="T154" t="str">
        <x:v>CA</x:v>
      </x:c>
      <x:c r="U154" t="str">
        <x:v>DAVIS</x:v>
      </x:c>
      <x:c r="V154" t="str">
        <x:v>已匹配</x:v>
      </x:c>
      <x:c r="W154" s="16"/>
      <x:c r="X154" s="17"/>
    </x:row>
    <x:row r="155" ht="18">
      <x:c r="A155" s="12" t="str">
        <x:v>873109426866</x:v>
      </x:c>
      <x:c r="B155" s="3" t="n">
        <x:v>34.05</x:v>
      </x:c>
      <x:c r="C155" s="5" t="n">
        <x:v>39.384</x:v>
      </x:c>
      <x:c r="D155" s="5" t="n">
        <x:f>C155-B155</x:f>
        <x:v>5.334000000000003</x:v>
      </x:c>
      <x:c r="E155"/>
      <x:c r="F155" t="str">
        <x:v>未匹配</x:v>
      </x:c>
      <x:c r="G155"/>
      <x:c r="H155"/>
      <x:c r="I155" s="16" t="n">
        <x:v>33</x:v>
      </x:c>
      <x:c r="J155" s="16" t="n">
        <x:v>30</x:v>
      </x:c>
      <x:c r="K155" s="16" t="n">
        <x:v>25</x:v>
      </x:c>
      <x:c r="L155" s="19" t="n">
        <x:v>12.6</x:v>
      </x:c>
      <x:c r="M155" t="str">
        <x:v>lb</x:v>
      </x:c>
      <x:c r="N155" s="19" t="n">
        <x:v>13</x:v>
      </x:c>
      <x:c r="O155" t="str">
        <x:v>lb</x:v>
      </x:c>
      <x:c r="P155" s="19" t="n">
        <x:v>6.988653711260619</x:v>
      </x:c>
      <x:c r="Q155" t="str">
        <x:v>lb</x:v>
      </x:c>
      <x:c r="R155" t="str">
        <x:v>NJ</x:v>
      </x:c>
      <x:c r="S155" t="str">
        <x:v>NEW BRUNSWICK</x:v>
      </x:c>
      <x:c r="T155" t="str">
        <x:v>NV</x:v>
      </x:c>
      <x:c r="U155" t="str">
        <x:v>HENDERSON</x:v>
      </x:c>
      <x:c r="V155" t="str">
        <x:v>已匹配</x:v>
      </x:c>
      <x:c r="W155" s="16"/>
      <x:c r="X155" s="17"/>
    </x:row>
    <x:row r="156" ht="18">
      <x:c r="A156" s="12" t="str">
        <x:v>873109425701</x:v>
      </x:c>
      <x:c r="B156" s="3" t="n">
        <x:v>34.05</x:v>
      </x:c>
      <x:c r="C156" s="5" t="n">
        <x:v>39.384</x:v>
      </x:c>
      <x:c r="D156" s="5" t="n">
        <x:f>C156-B156</x:f>
        <x:v>5.334000000000003</x:v>
      </x:c>
      <x:c r="E156"/>
      <x:c r="F156" t="str">
        <x:v>未匹配</x:v>
      </x:c>
      <x:c r="G156"/>
      <x:c r="H156"/>
      <x:c r="I156" s="16" t="n">
        <x:v>33</x:v>
      </x:c>
      <x:c r="J156" s="16" t="n">
        <x:v>30</x:v>
      </x:c>
      <x:c r="K156" s="16" t="n">
        <x:v>25</x:v>
      </x:c>
      <x:c r="L156" s="19" t="n">
        <x:v>12.2</x:v>
      </x:c>
      <x:c r="M156" t="str">
        <x:v>lb</x:v>
      </x:c>
      <x:c r="N156" s="19" t="n">
        <x:v>13</x:v>
      </x:c>
      <x:c r="O156" t="str">
        <x:v>lb</x:v>
      </x:c>
      <x:c r="P156" s="19" t="n">
        <x:v>6.988653711260619</x:v>
      </x:c>
      <x:c r="Q156" t="str">
        <x:v>lb</x:v>
      </x:c>
      <x:c r="R156" t="str">
        <x:v>NJ</x:v>
      </x:c>
      <x:c r="S156" t="str">
        <x:v>NEW BRUNSWICK</x:v>
      </x:c>
      <x:c r="T156" t="str">
        <x:v>ID</x:v>
      </x:c>
      <x:c r="U156" t="str">
        <x:v>BOISE</x:v>
      </x:c>
      <x:c r="V156" t="str">
        <x:v>已匹配</x:v>
      </x:c>
      <x:c r="W156" s="16"/>
      <x:c r="X156" s="17"/>
    </x:row>
    <x:row r="157" ht="18">
      <x:c r="A157" s="12" t="str">
        <x:v>874399527902</x:v>
      </x:c>
      <x:c r="B157" s="3" t="n">
        <x:v>56.27</x:v>
      </x:c>
      <x:c r="C157" s="5" t="n">
        <x:v>61.6</x:v>
      </x:c>
      <x:c r="D157" s="5" t="n">
        <x:f>C157-B157</x:f>
        <x:v>5.329999999999998</x:v>
      </x:c>
      <x:c r="E157" t="str">
        <x:v>AC300</x:v>
      </x:c>
      <x:c r="F157" t="str">
        <x:v>已匹配</x:v>
      </x:c>
      <x:c r="G157" t="str">
        <x:v>AC3002140000807295</x:v>
      </x:c>
      <x:c r="H157" t="str">
        <x:v>LOG-CRP26072236</x:v>
      </x:c>
      <x:c r="I157" s="16" t="n">
        <x:v>27</x:v>
      </x:c>
      <x:c r="J157" s="16" t="n">
        <x:v>21</x:v>
      </x:c>
      <x:c r="K157" s="16" t="n">
        <x:v>21</x:v>
      </x:c>
      <x:c r="L157" s="19" t="n">
        <x:v>53.9</x:v>
      </x:c>
      <x:c r="M157" t="str">
        <x:v>lb</x:v>
      </x:c>
      <x:c r="N157" s="19" t="n">
        <x:v>72</x:v>
      </x:c>
      <x:c r="O157" t="str">
        <x:v>lb</x:v>
      </x:c>
      <x:c r="P157" s="19" t="n">
        <x:v>55.11556554621939</x:v>
      </x:c>
      <x:c r="Q157" t="str">
        <x:v>lb</x:v>
      </x:c>
      <x:c r="R157" t="str">
        <x:v>MD</x:v>
      </x:c>
      <x:c r="S157" t="str">
        <x:v>CALLAWAY</x:v>
      </x:c>
      <x:c r="T157" t="str">
        <x:v>NJ</x:v>
      </x:c>
      <x:c r="U157" t="str">
        <x:v>NEW BRUNSWICK</x:v>
      </x:c>
      <x:c r="V157" t="str">
        <x:v>已匹配</x:v>
      </x:c>
      <x:c r="W157" s="16" t="n">
        <x:v>25</x:v>
      </x:c>
      <x:c r="X157" s="17" t="str">
        <x:v>AC300：25</x:v>
      </x:c>
    </x:row>
    <x:row r="158" ht="18">
      <x:c r="A158" s="12" t="str">
        <x:v>873243819966</x:v>
      </x:c>
      <x:c r="B158" s="3" t="n">
        <x:v>32.47</x:v>
      </x:c>
      <x:c r="C158" s="5" t="n">
        <x:v>37.774</x:v>
      </x:c>
      <x:c r="D158" s="5" t="n">
        <x:f>C158-B158</x:f>
        <x:v>5.304000000000002</x:v>
      </x:c>
      <x:c r="E158" t="str">
        <x:v>EL100V2</x:v>
      </x:c>
      <x:c r="F158" t="str">
        <x:v>已匹配</x:v>
      </x:c>
      <x:c r="G158" t="str">
        <x:v>EL100V22540001070868</x:v>
      </x:c>
      <x:c r="H158" t="str">
        <x:v>LOG-SRL26062005</x:v>
      </x:c>
      <x:c r="I158" s="16" t="n">
        <x:v>16</x:v>
      </x:c>
      <x:c r="J158" s="16" t="n">
        <x:v>16</x:v>
      </x:c>
      <x:c r="K158" s="16" t="n">
        <x:v>12</x:v>
      </x:c>
      <x:c r="L158" s="19" t="n">
        <x:v>28.7</x:v>
      </x:c>
      <x:c r="M158" t="str">
        <x:v>lb</x:v>
      </x:c>
      <x:c r="N158" s="19" t="n">
        <x:v>29</x:v>
      </x:c>
      <x:c r="O158" t="str">
        <x:v>lb</x:v>
      </x:c>
      <x:c r="P158" s="19" t="n">
        <x:v>25.000420531765116</x:v>
      </x:c>
      <x:c r="Q158" t="str">
        <x:v>lb</x:v>
      </x:c>
      <x:c r="R158" t="str">
        <x:v>MS</x:v>
      </x:c>
      <x:c r="S158" t="str">
        <x:v>LAUREL</x:v>
      </x:c>
      <x:c r="T158" t="str">
        <x:v>NJ</x:v>
      </x:c>
      <x:c r="U158" t="str">
        <x:v>NEW BRUNSWICK</x:v>
      </x:c>
      <x:c r="V158" t="str">
        <x:v>已匹配</x:v>
      </x:c>
      <x:c r="W158" s="16" t="n">
        <x:v>11.34</x:v>
      </x:c>
      <x:c r="X158" s="17" t="str">
        <x:v>EL100V2：11.34</x:v>
      </x:c>
    </x:row>
    <x:row r="159" ht="18">
      <x:c r="A159" s="12" t="str">
        <x:v>873185263260</x:v>
      </x:c>
      <x:c r="B159" s="3" t="n">
        <x:v>18.28</x:v>
      </x:c>
      <x:c r="C159" s="5" t="n">
        <x:v>23.551</x:v>
      </x:c>
      <x:c r="D159" s="5" t="n">
        <x:f>C159-B159</x:f>
        <x:v>5.270999999999997</x:v>
      </x:c>
      <x:c r="E159" t="str">
        <x:v>EL100V2</x:v>
      </x:c>
      <x:c r="F159" t="str">
        <x:v>已匹配</x:v>
      </x:c>
      <x:c r="G159" t="str">
        <x:v>EL100V22542001679458</x:v>
      </x:c>
      <x:c r="H159" t="str">
        <x:v>LOG-SRL26070320</x:v>
      </x:c>
      <x:c r="I159" s="16" t="n">
        <x:v>16</x:v>
      </x:c>
      <x:c r="J159" s="16" t="n">
        <x:v>16</x:v>
      </x:c>
      <x:c r="K159" s="16" t="n">
        <x:v>12</x:v>
      </x:c>
      <x:c r="L159" s="19" t="n">
        <x:v>30.1</x:v>
      </x:c>
      <x:c r="M159" t="str">
        <x:v>lb</x:v>
      </x:c>
      <x:c r="N159" s="19" t="n">
        <x:v>31</x:v>
      </x:c>
      <x:c r="O159" t="str">
        <x:v>lb</x:v>
      </x:c>
      <x:c r="P159" s="19" t="n">
        <x:v>25.35316015126092</x:v>
      </x:c>
      <x:c r="Q159" t="str">
        <x:v>lb</x:v>
      </x:c>
      <x:c r="R159" t="str">
        <x:v>PA</x:v>
      </x:c>
      <x:c r="S159" t="str">
        <x:v>CHAMBERSBURG</x:v>
      </x:c>
      <x:c r="T159" t="str">
        <x:v>NJ</x:v>
      </x:c>
      <x:c r="U159" t="str">
        <x:v>NEW BRUNSWICK</x:v>
      </x:c>
      <x:c r="V159" t="str">
        <x:v>已匹配</x:v>
      </x:c>
      <x:c r="W159" s="16" t="n">
        <x:v>1</x:v>
      </x:c>
      <x:c r="X159" s="17" t="str">
        <x:v>Elite 100 V2：1</x:v>
      </x:c>
    </x:row>
    <x:row r="160" ht="18">
      <x:c r="A160" s="12" t="str">
        <x:v>874871743570</x:v>
      </x:c>
      <x:c r="B160" s="3" t="n">
        <x:v>65.68</x:v>
      </x:c>
      <x:c r="C160" s="5" t="n">
        <x:v>70.906</x:v>
      </x:c>
      <x:c r="D160" s="5" t="n">
        <x:f>C160-B160</x:f>
        <x:v>5.225999999999999</x:v>
      </x:c>
      <x:c r="E160" t="str">
        <x:v>EL300</x:v>
      </x:c>
      <x:c r="F160" t="str">
        <x:v>已匹配</x:v>
      </x:c>
      <x:c r="G160" t="str">
        <x:v>EL3002609134370408</x:v>
      </x:c>
      <x:c r="H160" t="str">
        <x:v>LOG-SRL26074251</x:v>
      </x:c>
      <x:c r="I160" s="16" t="n">
        <x:v>20</x:v>
      </x:c>
      <x:c r="J160" s="16" t="n">
        <x:v>16</x:v>
      </x:c>
      <x:c r="K160" s="16" t="n">
        <x:v>16</x:v>
      </x:c>
      <x:c r="L160" s="19" t="n">
        <x:v>66.5</x:v>
      </x:c>
      <x:c r="M160" t="str">
        <x:v>lb</x:v>
      </x:c>
      <x:c r="N160" s="19" t="n">
        <x:v>67</x:v>
      </x:c>
      <x:c r="O160" t="str">
        <x:v>lb</x:v>
      </x:c>
      <x:c r="P160" s="19" t="n">
        <x:v>57.9815749546228</x:v>
      </x:c>
      <x:c r="Q160" t="str">
        <x:v>lb</x:v>
      </x:c>
      <x:c r="R160" t="str">
        <x:v>NY</x:v>
      </x:c>
      <x:c r="S160" t="str">
        <x:v>SARATOGA SPRINGS</x:v>
      </x:c>
      <x:c r="T160" t="str">
        <x:v>NJ</x:v>
      </x:c>
      <x:c r="U160" t="str">
        <x:v>NEW BRUNSWICK</x:v>
      </x:c>
      <x:c r="V160" t="str">
        <x:v>已匹配</x:v>
      </x:c>
      <x:c r="W160" s="16" t="n">
        <x:v>26.308</x:v>
      </x:c>
      <x:c r="X160" s="17" t="str">
        <x:v>ELITE300：26.308</x:v>
      </x:c>
    </x:row>
    <x:row r="161" ht="18">
      <x:c r="A161" s="12" t="str">
        <x:v>875023902513</x:v>
      </x:c>
      <x:c r="B161" s="3" t="n">
        <x:v>25.39</x:v>
      </x:c>
      <x:c r="C161" s="5" t="n">
        <x:v>30.404</x:v>
      </x:c>
      <x:c r="D161" s="5" t="n">
        <x:f>C161-B161</x:f>
        <x:v>5.013999999999999</x:v>
      </x:c>
      <x:c r="E161" t="str">
        <x:v>EL100V2</x:v>
      </x:c>
      <x:c r="F161" t="str">
        <x:v>已匹配</x:v>
      </x:c>
      <x:c r="G161" t="str">
        <x:v>EL100V22537000934596</x:v>
      </x:c>
      <x:c r="H161" t="str">
        <x:v>LOG-SRD26075055</x:v>
      </x:c>
      <x:c r="I161" s="16"/>
      <x:c r="J161" s="16"/>
      <x:c r="K161" s="16"/>
      <x:c r="L161" s="19"/>
      <x:c r="M161"/>
      <x:c r="N161" s="19"/>
      <x:c r="O161"/>
      <x:c r="P161" s="19"/>
      <x:c r="Q161"/>
      <x:c r="R161"/>
      <x:c r="S161"/>
      <x:c r="T161"/>
      <x:c r="U161"/>
      <x:c r="V161" t="str">
        <x:v>未匹配</x:v>
      </x:c>
      <x:c r="W161" s="16" t="n">
        <x:v>13.608</x:v>
      </x:c>
      <x:c r="X161" s="17" t="str">
        <x:v>BLUETTI Elite 100 V2：13.608</x:v>
      </x:c>
    </x:row>
    <x:row r="162" ht="18">
      <x:c r="A162" s="12" t="str">
        <x:v>873109428001</x:v>
      </x:c>
      <x:c r="B162" s="3" t="n">
        <x:v>27.91</x:v>
      </x:c>
      <x:c r="C162" s="5" t="n">
        <x:v>32.892</x:v>
      </x:c>
      <x:c r="D162" s="5" t="n">
        <x:f>C162-B162</x:f>
        <x:v>4.982000000000003</x:v>
      </x:c>
      <x:c r="E162"/>
      <x:c r="F162" t="str">
        <x:v>未匹配</x:v>
      </x:c>
      <x:c r="G162"/>
      <x:c r="H162"/>
      <x:c r="I162" s="16" t="n">
        <x:v>41</x:v>
      </x:c>
      <x:c r="J162" s="16" t="n">
        <x:v>41</x:v>
      </x:c>
      <x:c r="K162" s="16" t="n">
        <x:v>30</x:v>
      </x:c>
      <x:c r="L162" s="19" t="n">
        <x:v>29.5</x:v>
      </x:c>
      <x:c r="M162" t="str">
        <x:v>lb</x:v>
      </x:c>
      <x:c r="N162" s="19" t="n">
        <x:v>30</x:v>
      </x:c>
      <x:c r="O162" t="str">
        <x:v>lb</x:v>
      </x:c>
      <x:c r="P162" s="19" t="n">
        <x:v>20.988007360000342</x:v>
      </x:c>
      <x:c r="Q162" t="str">
        <x:v>lb</x:v>
      </x:c>
      <x:c r="R162" t="str">
        <x:v>NJ</x:v>
      </x:c>
      <x:c r="S162" t="str">
        <x:v>NEW BRUNSWICK</x:v>
      </x:c>
      <x:c r="T162" t="str">
        <x:v>VA</x:v>
      </x:c>
      <x:c r="U162" t="str">
        <x:v>CHANTILLY</x:v>
      </x:c>
      <x:c r="V162" t="str">
        <x:v>已匹配</x:v>
      </x:c>
      <x:c r="W162" s="16"/>
      <x:c r="X162" s="17"/>
    </x:row>
    <x:row r="163" ht="18">
      <x:c r="A163" s="12" t="str">
        <x:v>873595316833</x:v>
      </x:c>
      <x:c r="B163" s="3" t="n">
        <x:v>20.78</x:v>
      </x:c>
      <x:c r="C163" s="5" t="n">
        <x:v>25.751</x:v>
      </x:c>
      <x:c r="D163" s="5" t="n">
        <x:f>C163-B163</x:f>
        <x:v>4.971</x:v>
      </x:c>
      <x:c r="E163" t="str">
        <x:v>AC70</x:v>
      </x:c>
      <x:c r="F163" t="str">
        <x:v>已匹配</x:v>
      </x:c>
      <x:c r="G163" t="str">
        <x:v>AC702549233082734</x:v>
      </x:c>
      <x:c r="H163" t="str">
        <x:v>LOG-SRD26062823</x:v>
      </x:c>
      <x:c r="I163" s="16" t="n">
        <x:v>23</x:v>
      </x:c>
      <x:c r="J163" s="16" t="n">
        <x:v>16</x:v>
      </x:c>
      <x:c r="K163" s="16" t="n">
        <x:v>14</x:v>
      </x:c>
      <x:c r="L163" s="19" t="n">
        <x:v>26.1</x:v>
      </x:c>
      <x:c r="M163" t="str">
        <x:v>lb</x:v>
      </x:c>
      <x:c r="N163" s="19" t="n">
        <x:v>32</x:v>
      </x:c>
      <x:c r="O163" t="str">
        <x:v>lb</x:v>
      </x:c>
      <x:c r="P163" s="19" t="n">
        <x:v>22.99421394588273</x:v>
      </x:c>
      <x:c r="Q163" t="str">
        <x:v>lb</x:v>
      </x:c>
      <x:c r="R163" t="str">
        <x:v>NC</x:v>
      </x:c>
      <x:c r="S163" t="str">
        <x:v>ROSEBORO</x:v>
      </x:c>
      <x:c r="T163" t="str">
        <x:v>NJ</x:v>
      </x:c>
      <x:c r="U163" t="str">
        <x:v>NEW BRUNSWICK</x:v>
      </x:c>
      <x:c r="V163" t="str">
        <x:v>已匹配</x:v>
      </x:c>
      <x:c r="W163" s="16" t="n">
        <x:v>10.433</x:v>
      </x:c>
      <x:c r="X163" s="17" t="str">
        <x:v>AC70：10.433</x:v>
      </x:c>
    </x:row>
    <x:row r="164" ht="18">
      <x:c r="A164" s="12" t="str">
        <x:v>874202849656</x:v>
      </x:c>
      <x:c r="B164" s="3" t="n">
        <x:v>24.39</x:v>
      </x:c>
      <x:c r="C164" s="5" t="n">
        <x:v>29.348</x:v>
      </x:c>
      <x:c r="D164" s="5" t="n">
        <x:f>C164-B164</x:f>
        <x:v>4.957999999999998</x:v>
      </x:c>
      <x:c r="E164" t="str">
        <x:v>EL100V2</x:v>
      </x:c>
      <x:c r="F164" t="str">
        <x:v>已匹配</x:v>
      </x:c>
      <x:c r="G164" t="str">
        <x:v>EL100V22542003581853</x:v>
      </x:c>
      <x:c r="H164" t="str">
        <x:v>LOG-SRL26071997</x:v>
      </x:c>
      <x:c r="I164" s="16" t="n">
        <x:v>15</x:v>
      </x:c>
      <x:c r="J164" s="16" t="n">
        <x:v>12</x:v>
      </x:c>
      <x:c r="K164" s="16" t="n">
        <x:v>11</x:v>
      </x:c>
      <x:c r="L164" s="19" t="n">
        <x:v>28.7</x:v>
      </x:c>
      <x:c r="M164" t="str">
        <x:v>lb</x:v>
      </x:c>
      <x:c r="N164" s="19" t="n">
        <x:v>29</x:v>
      </x:c>
      <x:c r="O164" t="str">
        <x:v>lb</x:v>
      </x:c>
      <x:c r="P164" s="19" t="n">
        <x:v>22.99421394588273</x:v>
      </x:c>
      <x:c r="Q164" t="str">
        <x:v>lb</x:v>
      </x:c>
      <x:c r="R164" t="str">
        <x:v>GA</x:v>
      </x:c>
      <x:c r="S164" t="str">
        <x:v>ATLANTA</x:v>
      </x:c>
      <x:c r="T164" t="str">
        <x:v>NJ</x:v>
      </x:c>
      <x:c r="U164" t="str">
        <x:v>NEW BRUNSWICK</x:v>
      </x:c>
      <x:c r="V164" t="str">
        <x:v>已匹配</x:v>
      </x:c>
      <x:c r="W164" s="16" t="n">
        <x:v>10.433</x:v>
      </x:c>
      <x:c r="X164" s="17" t="str">
        <x:v>ELITE100V2：10.433</x:v>
      </x:c>
    </x:row>
    <x:row r="165" ht="18">
      <x:c r="A165" s="12" t="str">
        <x:v>874026150582</x:v>
      </x:c>
      <x:c r="B165" s="3" t="n">
        <x:v>65.55</x:v>
      </x:c>
      <x:c r="C165" s="5" t="n">
        <x:v>70.488</x:v>
      </x:c>
      <x:c r="D165" s="5" t="n">
        <x:f>C165-B165</x:f>
        <x:v>4.938000000000002</x:v>
      </x:c>
      <x:c r="E165" t="str">
        <x:v>EL300</x:v>
      </x:c>
      <x:c r="F165" t="str">
        <x:v>已匹配</x:v>
      </x:c>
      <x:c r="G165" t="str">
        <x:v>EL3002609134369156</x:v>
      </x:c>
      <x:c r="H165" t="str">
        <x:v>LOG-SRL26070756</x:v>
      </x:c>
      <x:c r="I165" s="16" t="n">
        <x:v>20</x:v>
      </x:c>
      <x:c r="J165" s="16" t="n">
        <x:v>16</x:v>
      </x:c>
      <x:c r="K165" s="16" t="n">
        <x:v>16</x:v>
      </x:c>
      <x:c r="L165" s="19" t="n">
        <x:v>66.6</x:v>
      </x:c>
      <x:c r="M165" t="str">
        <x:v>lb</x:v>
      </x:c>
      <x:c r="N165" s="19" t="n">
        <x:v>67</x:v>
      </x:c>
      <x:c r="O165" t="str">
        <x:v>lb</x:v>
      </x:c>
      <x:c r="P165" s="19" t="n">
        <x:v>57.9815749546228</x:v>
      </x:c>
      <x:c r="Q165" t="str">
        <x:v>lb</x:v>
      </x:c>
      <x:c r="R165" t="str">
        <x:v>NY</x:v>
      </x:c>
      <x:c r="S165" t="str">
        <x:v>GREENVILLE</x:v>
      </x:c>
      <x:c r="T165" t="str">
        <x:v>NJ</x:v>
      </x:c>
      <x:c r="U165" t="str">
        <x:v>NEW BRUNSWICK</x:v>
      </x:c>
      <x:c r="V165" t="str">
        <x:v>已匹配</x:v>
      </x:c>
      <x:c r="W165" s="16" t="n">
        <x:v>26.308</x:v>
      </x:c>
      <x:c r="X165" s="17" t="str">
        <x:v>EL300：26.308</x:v>
      </x:c>
    </x:row>
    <x:row r="166" ht="18">
      <x:c r="A166" s="12" t="str">
        <x:v>873097759126</x:v>
      </x:c>
      <x:c r="B166" s="3" t="n">
        <x:v>52.3</x:v>
      </x:c>
      <x:c r="C166" s="5" t="n">
        <x:v>57.178</x:v>
      </x:c>
      <x:c r="D166" s="5" t="n">
        <x:f>C166-B166</x:f>
        <x:v>4.878</x:v>
      </x:c>
      <x:c r="E166" t="str">
        <x:v>AC180</x:v>
      </x:c>
      <x:c r="F166" t="str">
        <x:v>已匹配</x:v>
      </x:c>
      <x:c r="G166" t="str">
        <x:v>AC1802452001026857</x:v>
      </x:c>
      <x:c r="H166" t="str">
        <x:v>LOG-CRP26061565</x:v>
      </x:c>
      <x:c r="I166" s="16" t="n">
        <x:v>25</x:v>
      </x:c>
      <x:c r="J166" s="16" t="n">
        <x:v>25</x:v>
      </x:c>
      <x:c r="K166" s="16" t="n">
        <x:v>15</x:v>
      </x:c>
      <x:c r="L166" s="19" t="n">
        <x:v>45.4</x:v>
      </x:c>
      <x:c r="M166" t="str">
        <x:v>lb</x:v>
      </x:c>
      <x:c r="N166" s="19" t="n">
        <x:v>57</x:v>
      </x:c>
      <x:c r="O166" t="str">
        <x:v>lb</x:v>
      </x:c>
      <x:c r="P166" s="19" t="n">
        <x:v>41.99806094621918</x:v>
      </x:c>
      <x:c r="Q166" t="str">
        <x:v>lb</x:v>
      </x:c>
      <x:c r="R166" t="str">
        <x:v>MS</x:v>
      </x:c>
      <x:c r="S166" t="str">
        <x:v>HATTIESBURG</x:v>
      </x:c>
      <x:c r="T166" t="str">
        <x:v>NJ</x:v>
      </x:c>
      <x:c r="U166" t="str">
        <x:v>NEW BRUNSWICK</x:v>
      </x:c>
      <x:c r="V166" t="str">
        <x:v>已匹配</x:v>
      </x:c>
      <x:c r="W166" s="16" t="n">
        <x:v>0</x:v>
      </x:c>
      <x:c r="X166" s="17" t="str">
        <x:v>商品名称为空：0</x:v>
      </x:c>
    </x:row>
    <x:row r="167" ht="18">
      <x:c r="A167" s="12" t="str">
        <x:v>873750602294</x:v>
      </x:c>
      <x:c r="B167" s="3" t="n">
        <x:v>24.44</x:v>
      </x:c>
      <x:c r="C167" s="5" t="n">
        <x:v>29.128</x:v>
      </x:c>
      <x:c r="D167" s="5" t="n">
        <x:f>C167-B167</x:f>
        <x:v>4.687999999999999</x:v>
      </x:c>
      <x:c r="E167" t="str">
        <x:v>AC70</x:v>
      </x:c>
      <x:c r="F167" t="str">
        <x:v>已匹配</x:v>
      </x:c>
      <x:c r="G167" t="str">
        <x:v>AC702540001750146</x:v>
      </x:c>
      <x:c r="H167" t="str">
        <x:v>LOG-SRD26063322</x:v>
      </x:c>
      <x:c r="I167" s="16" t="n">
        <x:v>16</x:v>
      </x:c>
      <x:c r="J167" s="16" t="n">
        <x:v>16</x:v>
      </x:c>
      <x:c r="K167" s="16" t="n">
        <x:v>12</x:v>
      </x:c>
      <x:c r="L167" s="19" t="n">
        <x:v>27.5</x:v>
      </x:c>
      <x:c r="M167" t="str">
        <x:v>lb</x:v>
      </x:c>
      <x:c r="N167" s="19" t="n">
        <x:v>28</x:v>
      </x:c>
      <x:c r="O167" t="str">
        <x:v>lb</x:v>
      </x:c>
      <x:c r="P167" s="19" t="n">
        <x:v>22.487150742857512</x:v>
      </x:c>
      <x:c r="Q167" t="str">
        <x:v>lb</x:v>
      </x:c>
      <x:c r="R167" t="str">
        <x:v>AL</x:v>
      </x:c>
      <x:c r="S167" t="str">
        <x:v>MAYLENE</x:v>
      </x:c>
      <x:c r="T167" t="str">
        <x:v>NJ</x:v>
      </x:c>
      <x:c r="U167" t="str">
        <x:v>NEW BRUNSWICK</x:v>
      </x:c>
      <x:c r="V167" t="str">
        <x:v>已匹配</x:v>
      </x:c>
      <x:c r="W167" s="16" t="n">
        <x:v>0</x:v>
      </x:c>
      <x:c r="X167" s="17" t="str">
        <x:v>商品名称为空：0</x:v>
      </x:c>
    </x:row>
    <x:row r="168" ht="18">
      <x:c r="A168" s="12" t="str">
        <x:v>875031214446</x:v>
      </x:c>
      <x:c r="B168" s="3" t="n">
        <x:v>20.83</x:v>
      </x:c>
      <x:c r="C168" s="5" t="n">
        <x:v>25.487</x:v>
      </x:c>
      <x:c r="D168" s="5" t="n">
        <x:f>C168-B168</x:f>
        <x:v>4.657</x:v>
      </x:c>
      <x:c r="E168" t="str">
        <x:v>EL100V2</x:v>
      </x:c>
      <x:c r="F168" t="str">
        <x:v>已匹配</x:v>
      </x:c>
      <x:c r="G168" t="str">
        <x:v>EL100V22532011413915</x:v>
      </x:c>
      <x:c r="H168" t="str">
        <x:v>LOG-SRD26074727</x:v>
      </x:c>
      <x:c r="I168" s="16"/>
      <x:c r="J168" s="16"/>
      <x:c r="K168" s="16"/>
      <x:c r="L168" s="19"/>
      <x:c r="M168"/>
      <x:c r="N168" s="19"/>
      <x:c r="O168"/>
      <x:c r="P168" s="19"/>
      <x:c r="Q168"/>
      <x:c r="R168"/>
      <x:c r="S168"/>
      <x:c r="T168"/>
      <x:c r="U168"/>
      <x:c r="V168" t="str">
        <x:v>未匹配</x:v>
      </x:c>
      <x:c r="W168" s="16" t="n">
        <x:v>10.433</x:v>
      </x:c>
      <x:c r="X168" s="17" t="str">
        <x:v>ELITE100V2：10.433</x:v>
      </x:c>
    </x:row>
    <x:row r="169" ht="18">
      <x:c r="A169" s="12" t="str">
        <x:v>874871197059</x:v>
      </x:c>
      <x:c r="B169" s="3" t="n">
        <x:v>19.58</x:v>
      </x:c>
      <x:c r="C169" s="5" t="n">
        <x:v>24.233</x:v>
      </x:c>
      <x:c r="D169" s="5" t="n">
        <x:f>C169-B169</x:f>
        <x:v>4.653000000000002</x:v>
      </x:c>
      <x:c r="E169" t="str">
        <x:v>AC70</x:v>
      </x:c>
      <x:c r="F169" t="str">
        <x:v>已匹配</x:v>
      </x:c>
      <x:c r="G169" t="str">
        <x:v>AC702452000303662</x:v>
      </x:c>
      <x:c r="H169" t="str">
        <x:v>LOG-SRD26074114</x:v>
      </x:c>
      <x:c r="I169" s="16"/>
      <x:c r="J169" s="16"/>
      <x:c r="K169" s="16"/>
      <x:c r="L169" s="19"/>
      <x:c r="M169"/>
      <x:c r="N169" s="19"/>
      <x:c r="O169"/>
      <x:c r="P169" s="19"/>
      <x:c r="Q169"/>
      <x:c r="R169"/>
      <x:c r="S169"/>
      <x:c r="T169"/>
      <x:c r="U169"/>
      <x:c r="V169" t="str">
        <x:v>未匹配</x:v>
      </x:c>
      <x:c r="W169" s="16" t="n">
        <x:v>9.072</x:v>
      </x:c>
      <x:c r="X169" s="17" t="str">
        <x:v>AC70P：9.072</x:v>
      </x:c>
    </x:row>
    <x:row r="170" ht="18">
      <x:c r="A170" s="12" t="str">
        <x:v>873755731950</x:v>
      </x:c>
      <x:c r="B170" s="3" t="n">
        <x:v>24.44</x:v>
      </x:c>
      <x:c r="C170" s="5" t="n">
        <x:v>29.073</x:v>
      </x:c>
      <x:c r="D170" s="5" t="n">
        <x:f>C170-B170</x:f>
        <x:v>4.632999999999999</x:v>
      </x:c>
      <x:c r="E170" t="str">
        <x:v>AC70</x:v>
      </x:c>
      <x:c r="F170" t="str">
        <x:v>已匹配</x:v>
      </x:c>
      <x:c r="G170" t="str">
        <x:v>AC702540000234211</x:v>
      </x:c>
      <x:c r="H170" t="str">
        <x:v>LOG-SRD26070862</x:v>
      </x:c>
      <x:c r="I170" s="16" t="n">
        <x:v>38</x:v>
      </x:c>
      <x:c r="J170" s="16" t="n">
        <x:v>38</x:v>
      </x:c>
      <x:c r="K170" s="16" t="n">
        <x:v>30</x:v>
      </x:c>
      <x:c r="L170" s="19" t="n">
        <x:v>27.4</x:v>
      </x:c>
      <x:c r="M170" t="str">
        <x:v>lb</x:v>
      </x:c>
      <x:c r="N170" s="19" t="n">
        <x:v>28</x:v>
      </x:c>
      <x:c r="O170" t="str">
        <x:v>lb</x:v>
      </x:c>
      <x:c r="P170" s="19" t="n">
        <x:v>22.99421394588273</x:v>
      </x:c>
      <x:c r="Q170" t="str">
        <x:v>lb</x:v>
      </x:c>
      <x:c r="R170" t="str">
        <x:v>FL</x:v>
      </x:c>
      <x:c r="S170" t="str">
        <x:v>LAKE WORTH</x:v>
      </x:c>
      <x:c r="T170" t="str">
        <x:v>NJ</x:v>
      </x:c>
      <x:c r="U170" t="str">
        <x:v>NEW BRUNSWICK</x:v>
      </x:c>
      <x:c r="V170" t="str">
        <x:v>已匹配</x:v>
      </x:c>
      <x:c r="W170" s="16" t="n">
        <x:v>10.433</x:v>
      </x:c>
      <x:c r="X170" s="17" t="str">
        <x:v>AC70：10.433</x:v>
      </x:c>
    </x:row>
    <x:row r="171" ht="18">
      <x:c r="A171" s="12" t="str">
        <x:v>873910736860</x:v>
      </x:c>
      <x:c r="B171" s="3" t="n">
        <x:v>24.44</x:v>
      </x:c>
      <x:c r="C171" s="5" t="n">
        <x:v>29.073</x:v>
      </x:c>
      <x:c r="D171" s="5" t="n">
        <x:f>C171-B171</x:f>
        <x:v>4.632999999999999</x:v>
      </x:c>
      <x:c r="E171" t="str">
        <x:v>EL100V2</x:v>
      </x:c>
      <x:c r="F171" t="str">
        <x:v>已匹配</x:v>
      </x:c>
      <x:c r="G171" t="str">
        <x:v>EL100V22542003624397</x:v>
      </x:c>
      <x:c r="H171" t="str">
        <x:v>无源头退货已入库</x:v>
      </x:c>
      <x:c r="I171" s="16" t="n">
        <x:v>16</x:v>
      </x:c>
      <x:c r="J171" s="16" t="n">
        <x:v>16</x:v>
      </x:c>
      <x:c r="K171" s="16" t="n">
        <x:v>12</x:v>
      </x:c>
      <x:c r="L171" s="19" t="n">
        <x:v>28.1</x:v>
      </x:c>
      <x:c r="M171" t="str">
        <x:v>lb</x:v>
      </x:c>
      <x:c r="N171" s="19" t="n">
        <x:v>28</x:v>
      </x:c>
      <x:c r="O171" t="str">
        <x:v>lb</x:v>
      </x:c>
      <x:c r="P171" s="19" t="n">
        <x:v>22.99421394588273</x:v>
      </x:c>
      <x:c r="Q171" t="str">
        <x:v>lb</x:v>
      </x:c>
      <x:c r="R171" t="str">
        <x:v>GA</x:v>
      </x:c>
      <x:c r="S171" t="str">
        <x:v>ALPHARETTA</x:v>
      </x:c>
      <x:c r="T171" t="str">
        <x:v>NJ</x:v>
      </x:c>
      <x:c r="U171" t="str">
        <x:v>NEW BRUNSWICK</x:v>
      </x:c>
      <x:c r="V171" t="str">
        <x:v>已匹配</x:v>
      </x:c>
      <x:c r="W171" s="16" t="n">
        <x:v>10.433</x:v>
      </x:c>
      <x:c r="X171" s="17" t="str">
        <x:v>ELITE100V2：10.433</x:v>
      </x:c>
    </x:row>
    <x:row r="172" ht="18">
      <x:c r="A172" s="12" t="str">
        <x:v>873747342683</x:v>
      </x:c>
      <x:c r="B172" s="3" t="n">
        <x:v>36.51</x:v>
      </x:c>
      <x:c r="C172" s="5" t="n">
        <x:v>41.107</x:v>
      </x:c>
      <x:c r="D172" s="5" t="n">
        <x:f>C172-B172</x:f>
        <x:v>4.597000000000001</x:v>
      </x:c>
      <x:c r="E172" t="str">
        <x:v>AC180</x:v>
      </x:c>
      <x:c r="F172" t="str">
        <x:v>已匹配</x:v>
      </x:c>
      <x:c r="G172" t="str">
        <x:v>AC1802451000794146</x:v>
      </x:c>
      <x:c r="H172" t="str">
        <x:v>LOG-SRL26063282</x:v>
      </x:c>
      <x:c r="I172" s="16" t="n">
        <x:v>19</x:v>
      </x:c>
      <x:c r="J172" s="16" t="n">
        <x:v>17</x:v>
      </x:c>
      <x:c r="K172" s="16" t="n">
        <x:v>13</x:v>
      </x:c>
      <x:c r="L172" s="19" t="n">
        <x:v>42.3</x:v>
      </x:c>
      <x:c r="M172" t="str">
        <x:v>lb</x:v>
      </x:c>
      <x:c r="N172" s="19" t="n">
        <x:v>43</x:v>
      </x:c>
      <x:c r="O172" t="str">
        <x:v>lb</x:v>
      </x:c>
      <x:c r="P172" s="19" t="n">
        <x:v>37.98564777445441</x:v>
      </x:c>
      <x:c r="Q172" t="str">
        <x:v>lb</x:v>
      </x:c>
      <x:c r="R172" t="str">
        <x:v>AR</x:v>
      </x:c>
      <x:c r="S172" t="str">
        <x:v>FRANKLIN</x:v>
      </x:c>
      <x:c r="T172" t="str">
        <x:v>NJ</x:v>
      </x:c>
      <x:c r="U172" t="str">
        <x:v>NEW BRUNSWICK</x:v>
      </x:c>
      <x:c r="V172" t="str">
        <x:v>已匹配</x:v>
      </x:c>
      <x:c r="W172" s="16" t="n">
        <x:v>17.237</x:v>
      </x:c>
      <x:c r="X172" s="17" t="str">
        <x:v>AC180：17.237</x:v>
      </x:c>
    </x:row>
    <x:row r="173" ht="18">
      <x:c r="A173" s="12" t="str">
        <x:v>874402086860</x:v>
      </x:c>
      <x:c r="B173" s="3" t="n">
        <x:v>20.7</x:v>
      </x:c>
      <x:c r="C173" s="5" t="n">
        <x:v>25.234</x:v>
      </x:c>
      <x:c r="D173" s="5" t="n">
        <x:f>C173-B173</x:f>
        <x:v>4.5340000000000025</x:v>
      </x:c>
      <x:c r="E173" t="str">
        <x:v>EL00V2</x:v>
      </x:c>
      <x:c r="F173" t="str">
        <x:v>已匹配</x:v>
      </x:c>
      <x:c r="G173" t="str">
        <x:v>EL100V22537005659923</x:v>
      </x:c>
      <x:c r="H173" t="str">
        <x:v>LOG-SRD26072404</x:v>
      </x:c>
      <x:c r="I173" s="16" t="n">
        <x:v>16</x:v>
      </x:c>
      <x:c r="J173" s="16" t="n">
        <x:v>16</x:v>
      </x:c>
      <x:c r="K173" s="16" t="n">
        <x:v>12</x:v>
      </x:c>
      <x:c r="L173" s="19" t="n">
        <x:v>29.7</x:v>
      </x:c>
      <x:c r="M173" t="str">
        <x:v>lb</x:v>
      </x:c>
      <x:c r="N173" s="19" t="n">
        <x:v>30</x:v>
      </x:c>
      <x:c r="O173" t="str">
        <x:v>lb</x:v>
      </x:c>
      <x:c r="P173" s="19" t="n">
        <x:v>22.99421394588273</x:v>
      </x:c>
      <x:c r="Q173" t="str">
        <x:v>lb</x:v>
      </x:c>
      <x:c r="R173" t="str">
        <x:v>NC</x:v>
      </x:c>
      <x:c r="S173" t="str">
        <x:v>WAYNESVILLE</x:v>
      </x:c>
      <x:c r="T173" t="str">
        <x:v>NJ</x:v>
      </x:c>
      <x:c r="U173" t="str">
        <x:v>NEW BRUNSWICK</x:v>
      </x:c>
      <x:c r="V173" t="str">
        <x:v>已匹配</x:v>
      </x:c>
      <x:c r="W173" s="16" t="n">
        <x:v>10.433</x:v>
      </x:c>
      <x:c r="X173" s="17" t="str">
        <x:v>ELITE100V2：10.433</x:v>
      </x:c>
    </x:row>
    <x:row r="174" ht="18">
      <x:c r="A174" s="12" t="str">
        <x:v>874031007832</x:v>
      </x:c>
      <x:c r="B174" s="3" t="n">
        <x:v>84.13</x:v>
      </x:c>
      <x:c r="C174" s="5" t="n">
        <x:v>88.66</x:v>
      </x:c>
      <x:c r="D174" s="5" t="n">
        <x:f>C174-B174</x:f>
        <x:v>4.530000000000001</x:v>
      </x:c>
      <x:c r="E174" t="str">
        <x:v>EL200</x:v>
      </x:c>
      <x:c r="F174" t="str">
        <x:v>已匹配</x:v>
      </x:c>
      <x:c r="G174" t="str">
        <x:v>Elite 200 V22522001840521</x:v>
      </x:c>
      <x:c r="H174" t="str">
        <x:v>LOG-SRL26070825</x:v>
      </x:c>
      <x:c r="I174" s="16" t="n">
        <x:v>19</x:v>
      </x:c>
      <x:c r="J174" s="16" t="n">
        <x:v>19</x:v>
      </x:c>
      <x:c r="K174" s="16" t="n">
        <x:v>15</x:v>
      </x:c>
      <x:c r="L174" s="19" t="n">
        <x:v>61.2</x:v>
      </x:c>
      <x:c r="M174" t="str">
        <x:v>lb</x:v>
      </x:c>
      <x:c r="N174" s="19" t="n">
        <x:v>62</x:v>
      </x:c>
      <x:c r="O174" t="str">
        <x:v>lb</x:v>
      </x:c>
      <x:c r="P174" s="19" t="n">
        <x:v>55.9974145949589</x:v>
      </x:c>
      <x:c r="Q174" t="str">
        <x:v>lb</x:v>
      </x:c>
      <x:c r="R174" t="str">
        <x:v>MN</x:v>
      </x:c>
      <x:c r="S174" t="str">
        <x:v>MINNEAPOLIS</x:v>
      </x:c>
      <x:c r="T174" t="str">
        <x:v>NJ</x:v>
      </x:c>
      <x:c r="U174" t="str">
        <x:v>NEW BRUNSWICK</x:v>
      </x:c>
      <x:c r="V174" t="str">
        <x:v>已匹配</x:v>
      </x:c>
      <x:c r="W174" s="16" t="n">
        <x:v>25.401</x:v>
      </x:c>
      <x:c r="X174" s="17" t="str">
        <x:v>EL200V2：25.401</x:v>
      </x:c>
    </x:row>
    <x:row r="175" ht="18">
      <x:c r="A175" s="12" t="str">
        <x:v>873109423812</x:v>
      </x:c>
      <x:c r="B175" s="3" t="n">
        <x:v>27.46</x:v>
      </x:c>
      <x:c r="C175" s="5" t="n">
        <x:v>31.908</x:v>
      </x:c>
      <x:c r="D175" s="5" t="n">
        <x:f>C175-B175</x:f>
        <x:v>4.448</x:v>
      </x:c>
      <x:c r="E175"/>
      <x:c r="F175" t="str">
        <x:v>未匹配</x:v>
      </x:c>
      <x:c r="G175"/>
      <x:c r="H175"/>
      <x:c r="I175" s="16" t="n">
        <x:v>33</x:v>
      </x:c>
      <x:c r="J175" s="16" t="n">
        <x:v>30</x:v>
      </x:c>
      <x:c r="K175" s="16" t="n">
        <x:v>25</x:v>
      </x:c>
      <x:c r="L175" s="19" t="n">
        <x:v>12.2</x:v>
      </x:c>
      <x:c r="M175" t="str">
        <x:v>lb</x:v>
      </x:c>
      <x:c r="N175" s="19" t="n">
        <x:v>13</x:v>
      </x:c>
      <x:c r="O175" t="str">
        <x:v>lb</x:v>
      </x:c>
      <x:c r="P175" s="19" t="n">
        <x:v>6.988653711260619</x:v>
      </x:c>
      <x:c r="Q175" t="str">
        <x:v>lb</x:v>
      </x:c>
      <x:c r="R175" t="str">
        <x:v>NJ</x:v>
      </x:c>
      <x:c r="S175" t="str">
        <x:v>NEW BRUNSWICK</x:v>
      </x:c>
      <x:c r="T175" t="str">
        <x:v>CO</x:v>
      </x:c>
      <x:c r="U175" t="str">
        <x:v>CORTEZ</x:v>
      </x:c>
      <x:c r="V175" t="str">
        <x:v>已匹配</x:v>
      </x:c>
      <x:c r="W175" s="16"/>
      <x:c r="X175" s="17"/>
    </x:row>
    <x:row r="176" ht="18">
      <x:c r="A176" s="12" t="str">
        <x:v>873109423503</x:v>
      </x:c>
      <x:c r="B176" s="3" t="n">
        <x:v>28.3</x:v>
      </x:c>
      <x:c r="C176" s="5" t="n">
        <x:v>32.736</x:v>
      </x:c>
      <x:c r="D176" s="5" t="n">
        <x:f>C176-B176</x:f>
        <x:v>4.435999999999996</x:v>
      </x:c>
      <x:c r="E176"/>
      <x:c r="F176" t="str">
        <x:v>未匹配</x:v>
      </x:c>
      <x:c r="G176"/>
      <x:c r="H176"/>
      <x:c r="I176" s="16" t="n">
        <x:v>33</x:v>
      </x:c>
      <x:c r="J176" s="16" t="n">
        <x:v>30</x:v>
      </x:c>
      <x:c r="K176" s="16" t="n">
        <x:v>25</x:v>
      </x:c>
      <x:c r="L176" s="19" t="n">
        <x:v>12.5</x:v>
      </x:c>
      <x:c r="M176" t="str">
        <x:v>lb</x:v>
      </x:c>
      <x:c r="N176" s="19" t="n">
        <x:v>13</x:v>
      </x:c>
      <x:c r="O176" t="str">
        <x:v>lb</x:v>
      </x:c>
      <x:c r="P176" s="19" t="n">
        <x:v>6.988653711260619</x:v>
      </x:c>
      <x:c r="Q176" t="str">
        <x:v>lb</x:v>
      </x:c>
      <x:c r="R176" t="str">
        <x:v>NJ</x:v>
      </x:c>
      <x:c r="S176" t="str">
        <x:v>NEW BRUNSWICK</x:v>
      </x:c>
      <x:c r="T176" t="str">
        <x:v>NM</x:v>
      </x:c>
      <x:c r="U176" t="str">
        <x:v>TAOS</x:v>
      </x:c>
      <x:c r="V176" t="str">
        <x:v>已匹配</x:v>
      </x:c>
      <x:c r="W176" s="16"/>
      <x:c r="X176" s="17"/>
    </x:row>
    <x:row r="177" ht="18">
      <x:c r="A177" s="12" t="str">
        <x:v>873109424418</x:v>
      </x:c>
      <x:c r="B177" s="3" t="n">
        <x:v>28.3</x:v>
      </x:c>
      <x:c r="C177" s="5" t="n">
        <x:v>32.736</x:v>
      </x:c>
      <x:c r="D177" s="5" t="n">
        <x:f>C177-B177</x:f>
        <x:v>4.435999999999996</x:v>
      </x:c>
      <x:c r="E177"/>
      <x:c r="F177" t="str">
        <x:v>未匹配</x:v>
      </x:c>
      <x:c r="G177"/>
      <x:c r="H177"/>
      <x:c r="I177" s="16" t="n">
        <x:v>33</x:v>
      </x:c>
      <x:c r="J177" s="16" t="n">
        <x:v>30</x:v>
      </x:c>
      <x:c r="K177" s="16" t="n">
        <x:v>25</x:v>
      </x:c>
      <x:c r="L177" s="19" t="n">
        <x:v>12.5</x:v>
      </x:c>
      <x:c r="M177" t="str">
        <x:v>lb</x:v>
      </x:c>
      <x:c r="N177" s="19" t="n">
        <x:v>13</x:v>
      </x:c>
      <x:c r="O177" t="str">
        <x:v>lb</x:v>
      </x:c>
      <x:c r="P177" s="19" t="n">
        <x:v>6.988653711260619</x:v>
      </x:c>
      <x:c r="Q177" t="str">
        <x:v>lb</x:v>
      </x:c>
      <x:c r="R177" t="str">
        <x:v>NJ</x:v>
      </x:c>
      <x:c r="S177" t="str">
        <x:v>NEW BRUNSWICK</x:v>
      </x:c>
      <x:c r="T177" t="str">
        <x:v>NM</x:v>
      </x:c>
      <x:c r="U177" t="str">
        <x:v>TAOS</x:v>
      </x:c>
      <x:c r="V177" t="str">
        <x:v>已匹配</x:v>
      </x:c>
      <x:c r="W177" s="16"/>
      <x:c r="X177" s="17"/>
    </x:row>
    <x:row r="178" ht="18">
      <x:c r="A178" s="12" t="str">
        <x:v>873424570680</x:v>
      </x:c>
      <x:c r="B178" s="3" t="n">
        <x:v>26.31</x:v>
      </x:c>
      <x:c r="C178" s="5" t="n">
        <x:v>30.734</x:v>
      </x:c>
      <x:c r="D178" s="5" t="n">
        <x:f>C178-B178</x:f>
        <x:v>4.424000000000003</x:v>
      </x:c>
      <x:c r="E178" t="str">
        <x:v>EL100V2</x:v>
      </x:c>
      <x:c r="F178" t="str">
        <x:v>已匹配</x:v>
      </x:c>
      <x:c r="G178" t="str">
        <x:v>EL100V22541000465267</x:v>
      </x:c>
      <x:c r="H178" t="str">
        <x:v>LOG-SRL26062316</x:v>
      </x:c>
      <x:c r="I178" s="16" t="n">
        <x:v>17</x:v>
      </x:c>
      <x:c r="J178" s="16" t="n">
        <x:v>17</x:v>
      </x:c>
      <x:c r="K178" s="16" t="n">
        <x:v>17</x:v>
      </x:c>
      <x:c r="L178" s="19" t="n">
        <x:v>30.6</x:v>
      </x:c>
      <x:c r="M178" t="str">
        <x:v>lb</x:v>
      </x:c>
      <x:c r="N178" s="19" t="n">
        <x:v>31</x:v>
      </x:c>
      <x:c r="O178" t="str">
        <x:v>lb</x:v>
      </x:c>
      <x:c r="P178" s="19" t="n">
        <x:v>25.000420531765116</x:v>
      </x:c>
      <x:c r="Q178" t="str">
        <x:v>lb</x:v>
      </x:c>
      <x:c r="R178" t="str">
        <x:v>KY</x:v>
      </x:c>
      <x:c r="S178" t="str">
        <x:v>LOUISVILLE</x:v>
      </x:c>
      <x:c r="T178" t="str">
        <x:v>NJ</x:v>
      </x:c>
      <x:c r="U178" t="str">
        <x:v>NEW BRUNSWICK</x:v>
      </x:c>
      <x:c r="V178" t="str">
        <x:v>已匹配</x:v>
      </x:c>
      <x:c r="W178" s="16" t="n">
        <x:v>11.34</x:v>
      </x:c>
      <x:c r="X178" s="17" t="str">
        <x:v>EL100V2：11.34</x:v>
      </x:c>
    </x:row>
    <x:row r="179" ht="18">
      <x:c r="A179" s="12" t="str">
        <x:v>873133287628</x:v>
      </x:c>
      <x:c r="B179" s="3" t="n">
        <x:v>45.3</x:v>
      </x:c>
      <x:c r="C179" s="5" t="n">
        <x:v>49.61</x:v>
      </x:c>
      <x:c r="D179" s="5" t="n">
        <x:f>C179-B179</x:f>
        <x:v>4.310000000000002</x:v>
      </x:c>
      <x:c r="E179" t="str">
        <x:v>AC180</x:v>
      </x:c>
      <x:c r="F179" t="str">
        <x:v>已匹配</x:v>
      </x:c>
      <x:c r="G179" t="str">
        <x:v>AC1802535000107167</x:v>
      </x:c>
      <x:c r="H179" t="str">
        <x:v>LOG-SRL26061703</x:v>
      </x:c>
      <x:c r="I179" s="16" t="n">
        <x:v>19</x:v>
      </x:c>
      <x:c r="J179" s="16" t="n">
        <x:v>17</x:v>
      </x:c>
      <x:c r="K179" s="16" t="n">
        <x:v>13</x:v>
      </x:c>
      <x:c r="L179" s="19" t="n">
        <x:v>41.9</x:v>
      </x:c>
      <x:c r="M179" t="str">
        <x:v>lb</x:v>
      </x:c>
      <x:c r="N179" s="19" t="n">
        <x:v>42</x:v>
      </x:c>
      <x:c r="O179" t="str">
        <x:v>lb</x:v>
      </x:c>
      <x:c r="P179" s="19" t="n">
        <x:v>37.98564777445441</x:v>
      </x:c>
      <x:c r="Q179" t="str">
        <x:v>lb</x:v>
      </x:c>
      <x:c r="R179" t="str">
        <x:v>FL</x:v>
      </x:c>
      <x:c r="S179" t="str">
        <x:v>HIALEAH</x:v>
      </x:c>
      <x:c r="T179" t="str">
        <x:v>NJ</x:v>
      </x:c>
      <x:c r="U179" t="str">
        <x:v>NEW BRUNSWICK</x:v>
      </x:c>
      <x:c r="V179" t="str">
        <x:v>已匹配</x:v>
      </x:c>
      <x:c r="W179" s="16" t="n">
        <x:v>17.237</x:v>
      </x:c>
      <x:c r="X179" s="17" t="str">
        <x:v>AC180：17.237</x:v>
      </x:c>
    </x:row>
    <x:row r="180" ht="18">
      <x:c r="A180" s="12" t="str">
        <x:v>875028256192</x:v>
      </x:c>
      <x:c r="B180" s="3" t="n">
        <x:v>45.21</x:v>
      </x:c>
      <x:c r="C180" s="5" t="n">
        <x:v>49.511</x:v>
      </x:c>
      <x:c r="D180" s="5" t="n">
        <x:f>C180-B180</x:f>
        <x:v>4.301000000000002</x:v>
      </x:c>
      <x:c r="E180" t="str">
        <x:v>AC180</x:v>
      </x:c>
      <x:c r="F180" t="str">
        <x:v>已匹配</x:v>
      </x:c>
      <x:c r="G180" t="str">
        <x:v>AC1802411002562652</x:v>
      </x:c>
      <x:c r="H180" t="str">
        <x:v>LOG-CRP26075056</x:v>
      </x:c>
      <x:c r="I180" s="16"/>
      <x:c r="J180" s="16"/>
      <x:c r="K180" s="16"/>
      <x:c r="L180" s="19"/>
      <x:c r="M180"/>
      <x:c r="N180" s="19"/>
      <x:c r="O180"/>
      <x:c r="P180" s="19"/>
      <x:c r="Q180"/>
      <x:c r="R180"/>
      <x:c r="S180"/>
      <x:c r="T180"/>
      <x:c r="U180"/>
      <x:c r="V180" t="str">
        <x:v>未匹配</x:v>
      </x:c>
      <x:c r="W180" s="16" t="n">
        <x:v>17.237</x:v>
      </x:c>
      <x:c r="X180" s="17" t="str">
        <x:v>AC180：17.237</x:v>
      </x:c>
    </x:row>
    <x:row r="181" ht="18">
      <x:c r="A181" s="12" t="str">
        <x:v>873749424392</x:v>
      </x:c>
      <x:c r="B181" s="3" t="n">
        <x:v>45.03</x:v>
      </x:c>
      <x:c r="C181" s="5" t="n">
        <x:v>49.313</x:v>
      </x:c>
      <x:c r="D181" s="5" t="n">
        <x:f>C181-B181</x:f>
        <x:v>4.283000000000001</x:v>
      </x:c>
      <x:c r="E181" t="str">
        <x:v>AC180</x:v>
      </x:c>
      <x:c r="F181" t="str">
        <x:v>已匹配</x:v>
      </x:c>
      <x:c r="G181" t="str">
        <x:v>AC1802521100705900</x:v>
      </x:c>
      <x:c r="H181" t="str">
        <x:v>LOG-SRL26063308</x:v>
      </x:c>
      <x:c r="I181" s="16" t="n">
        <x:v>19</x:v>
      </x:c>
      <x:c r="J181" s="16" t="n">
        <x:v>16</x:v>
      </x:c>
      <x:c r="K181" s="16" t="n">
        <x:v>13</x:v>
      </x:c>
      <x:c r="L181" s="19" t="n">
        <x:v>41.3</x:v>
      </x:c>
      <x:c r="M181" t="str">
        <x:v>lb</x:v>
      </x:c>
      <x:c r="N181" s="19" t="n">
        <x:v>42</x:v>
      </x:c>
      <x:c r="O181" t="str">
        <x:v>lb</x:v>
      </x:c>
      <x:c r="P181" s="19" t="n">
        <x:v>37.98564777445441</x:v>
      </x:c>
      <x:c r="Q181" t="str">
        <x:v>lb</x:v>
      </x:c>
      <x:c r="R181" t="str">
        <x:v>LA</x:v>
      </x:c>
      <x:c r="S181" t="str">
        <x:v>PRAIRIEVILLE</x:v>
      </x:c>
      <x:c r="T181" t="str">
        <x:v>NJ</x:v>
      </x:c>
      <x:c r="U181" t="str">
        <x:v>NEW BRUNSWICK</x:v>
      </x:c>
      <x:c r="V181" t="str">
        <x:v>已匹配</x:v>
      </x:c>
      <x:c r="W181" s="16" t="n">
        <x:v>17.237</x:v>
      </x:c>
      <x:c r="X181" s="17" t="str">
        <x:v>AC180：17.237</x:v>
      </x:c>
    </x:row>
    <x:row r="182" ht="18">
      <x:c r="A182" s="12" t="str">
        <x:v>874088892027</x:v>
      </x:c>
      <x:c r="B182" s="3" t="n">
        <x:v>95.71</x:v>
      </x:c>
      <x:c r="C182" s="5" t="n">
        <x:v>99.99</x:v>
      </x:c>
      <x:c r="D182" s="5" t="n">
        <x:f>C182-B182</x:f>
        <x:v>4.280000000000001</x:v>
      </x:c>
      <x:c r="E182" t="str">
        <x:v>EL300</x:v>
      </x:c>
      <x:c r="F182" t="str">
        <x:v>已匹配</x:v>
      </x:c>
      <x:c r="G182" t="str">
        <x:v>EL3002610133089791</x:v>
      </x:c>
      <x:c r="H182" t="str">
        <x:v>LOG-SRL26071019</x:v>
      </x:c>
      <x:c r="I182" s="16" t="n">
        <x:v>20</x:v>
      </x:c>
      <x:c r="J182" s="16" t="n">
        <x:v>16</x:v>
      </x:c>
      <x:c r="K182" s="16" t="n">
        <x:v>16</x:v>
      </x:c>
      <x:c r="L182" s="19" t="n">
        <x:v>66.2</x:v>
      </x:c>
      <x:c r="M182" t="str">
        <x:v>lb</x:v>
      </x:c>
      <x:c r="N182" s="19" t="n">
        <x:v>67</x:v>
      </x:c>
      <x:c r="O182" t="str">
        <x:v>lb</x:v>
      </x:c>
      <x:c r="P182" s="19" t="n">
        <x:v>55.9974145949589</x:v>
      </x:c>
      <x:c r="Q182" t="str">
        <x:v>lb</x:v>
      </x:c>
      <x:c r="R182" t="str">
        <x:v>OK</x:v>
      </x:c>
      <x:c r="S182" t="str">
        <x:v>BETHANY</x:v>
      </x:c>
      <x:c r="T182" t="str">
        <x:v>NJ</x:v>
      </x:c>
      <x:c r="U182" t="str">
        <x:v>NEW BRUNSWICK</x:v>
      </x:c>
      <x:c r="V182" t="str">
        <x:v>已匹配</x:v>
      </x:c>
      <x:c r="W182" s="16" t="n">
        <x:v>25.401</x:v>
      </x:c>
      <x:c r="X182" s="17" t="str">
        <x:v>EL300：25.401</x:v>
      </x:c>
    </x:row>
    <x:row r="183" ht="18">
      <x:c r="A183" s="12" t="str">
        <x:v>873188705179</x:v>
      </x:c>
      <x:c r="B183" s="3" t="n">
        <x:v>32.47</x:v>
      </x:c>
      <x:c r="C183" s="5" t="n">
        <x:v>36.729</x:v>
      </x:c>
      <x:c r="D183" s="5" t="n">
        <x:f>C183-B183</x:f>
        <x:v>4.259</x:v>
      </x:c>
      <x:c r="E183" t="str">
        <x:v>EL100</x:v>
      </x:c>
      <x:c r="F183" t="str">
        <x:v>已匹配</x:v>
      </x:c>
      <x:c r="G183" t="str">
        <x:v>EL100V22542000453127</x:v>
      </x:c>
      <x:c r="H183" t="str">
        <x:v>LOG-SRL26061868</x:v>
      </x:c>
      <x:c r="I183" s="16" t="n">
        <x:v>17</x:v>
      </x:c>
      <x:c r="J183" s="16" t="n">
        <x:v>13</x:v>
      </x:c>
      <x:c r="K183" s="16" t="n">
        <x:v>12</x:v>
      </x:c>
      <x:c r="L183" s="19" t="n">
        <x:v>27.9</x:v>
      </x:c>
      <x:c r="M183" t="str">
        <x:v>lb</x:v>
      </x:c>
      <x:c r="N183" s="19" t="n">
        <x:v>28</x:v>
      </x:c>
      <x:c r="O183" t="str">
        <x:v>lb</x:v>
      </x:c>
      <x:c r="P183" s="19" t="n">
        <x:v>25.000420531765116</x:v>
      </x:c>
      <x:c r="Q183" t="str">
        <x:v>lb</x:v>
      </x:c>
      <x:c r="R183" t="str">
        <x:v>LA</x:v>
      </x:c>
      <x:c r="S183" t="str">
        <x:v>NEW ORLEANS</x:v>
      </x:c>
      <x:c r="T183" t="str">
        <x:v>NJ</x:v>
      </x:c>
      <x:c r="U183" t="str">
        <x:v>NEW BRUNSWICK</x:v>
      </x:c>
      <x:c r="V183" t="str">
        <x:v>已匹配</x:v>
      </x:c>
      <x:c r="W183" s="16" t="n">
        <x:v>11.34</x:v>
      </x:c>
      <x:c r="X183" s="17" t="str">
        <x:v>EL100V2：11.34</x:v>
      </x:c>
    </x:row>
    <x:row r="184" ht="18">
      <x:c r="A184" s="12" t="str">
        <x:v>874148614747</x:v>
      </x:c>
      <x:c r="B184" s="3" t="n">
        <x:v>31.44</x:v>
      </x:c>
      <x:c r="C184" s="5" t="n">
        <x:v>35.695</x:v>
      </x:c>
      <x:c r="D184" s="5" t="n">
        <x:f>C184-B184</x:f>
        <x:v>4.254999999999999</x:v>
      </x:c>
      <x:c r="E184" t="str">
        <x:v>BC200</x:v>
      </x:c>
      <x:c r="F184" t="str">
        <x:v>已匹配</x:v>
      </x:c>
      <x:c r="G184" t="str">
        <x:v>BC2002603133775644</x:v>
      </x:c>
      <x:c r="H184" t="str">
        <x:v>LOG-SRD26071299</x:v>
      </x:c>
      <x:c r="I184" s="16" t="n">
        <x:v>29</x:v>
      </x:c>
      <x:c r="J184" s="16" t="n">
        <x:v>19</x:v>
      </x:c>
      <x:c r="K184" s="16" t="n">
        <x:v>7</x:v>
      </x:c>
      <x:c r="L184" s="19" t="n">
        <x:v>45.9</x:v>
      </x:c>
      <x:c r="M184" t="str">
        <x:v>lb</x:v>
      </x:c>
      <x:c r="N184" s="19" t="n">
        <x:v>46</x:v>
      </x:c>
      <x:c r="O184" t="str">
        <x:v>lb</x:v>
      </x:c>
      <x:c r="P184" s="19" t="n">
        <x:v>39.683207193277966</x:v>
      </x:c>
      <x:c r="Q184" t="str">
        <x:v>lb</x:v>
      </x:c>
      <x:c r="R184" t="str">
        <x:v>NC</x:v>
      </x:c>
      <x:c r="S184" t="str">
        <x:v>RALEIGH</x:v>
      </x:c>
      <x:c r="T184" t="str">
        <x:v>NJ</x:v>
      </x:c>
      <x:c r="U184" t="str">
        <x:v>NEW BRUNSWICK</x:v>
      </x:c>
      <x:c r="V184" t="str">
        <x:v>已匹配</x:v>
      </x:c>
      <x:c r="W184" s="16" t="n">
        <x:v>18</x:v>
      </x:c>
      <x:c r="X184" s="17" t="str">
        <x:v>BlueCell 200：18</x:v>
      </x:c>
    </x:row>
    <x:row r="185" ht="18">
      <x:c r="A185" s="12" t="str">
        <x:v>873747943918</x:v>
      </x:c>
      <x:c r="B185" s="3" t="n">
        <x:v>32.28</x:v>
      </x:c>
      <x:c r="C185" s="5" t="n">
        <x:v>36.509</x:v>
      </x:c>
      <x:c r="D185" s="5" t="n">
        <x:f>C185-B185</x:f>
        <x:v>4.228999999999999</x:v>
      </x:c>
      <x:c r="E185" t="str">
        <x:v>EL100V2</x:v>
      </x:c>
      <x:c r="F185" t="str">
        <x:v>已匹配</x:v>
      </x:c>
      <x:c r="G185" t="str">
        <x:v>EL100V22543331262852</x:v>
      </x:c>
      <x:c r="H185" t="str">
        <x:v>LOG-SRL26063286</x:v>
      </x:c>
      <x:c r="I185" s="16" t="n">
        <x:v>15</x:v>
      </x:c>
      <x:c r="J185" s="16" t="n">
        <x:v>15</x:v>
      </x:c>
      <x:c r="K185" s="16" t="n">
        <x:v>11</x:v>
      </x:c>
      <x:c r="L185" s="19" t="n">
        <x:v>27.6</x:v>
      </x:c>
      <x:c r="M185" t="str">
        <x:v>lb</x:v>
      </x:c>
      <x:c r="N185" s="19" t="n">
        <x:v>28</x:v>
      </x:c>
      <x:c r="O185" t="str">
        <x:v>lb</x:v>
      </x:c>
      <x:c r="P185" s="19" t="n">
        <x:v>25.000420531765116</x:v>
      </x:c>
      <x:c r="Q185" t="str">
        <x:v>lb</x:v>
      </x:c>
      <x:c r="R185" t="str">
        <x:v>TX</x:v>
      </x:c>
      <x:c r="S185" t="str">
        <x:v>HOUSTON</x:v>
      </x:c>
      <x:c r="T185" t="str">
        <x:v>NJ</x:v>
      </x:c>
      <x:c r="U185" t="str">
        <x:v>NEW BRUNSWICK</x:v>
      </x:c>
      <x:c r="V185" t="str">
        <x:v>已匹配</x:v>
      </x:c>
      <x:c r="W185" s="16" t="n">
        <x:v>11.34</x:v>
      </x:c>
      <x:c r="X185" s="17" t="str">
        <x:v>EL100V2：11.34</x:v>
      </x:c>
    </x:row>
    <x:row r="186" ht="18">
      <x:c r="A186" s="12" t="str">
        <x:v>873941715541</x:v>
      </x:c>
      <x:c r="B186" s="3" t="n">
        <x:v>19.43</x:v>
      </x:c>
      <x:c r="C186" s="5" t="n">
        <x:v>23.606</x:v>
      </x:c>
      <x:c r="D186" s="5" t="n">
        <x:f>C186-B186</x:f>
        <x:v>4.176000000000002</x:v>
      </x:c>
      <x:c r="E186" t="str">
        <x:v>AC50B</x:v>
      </x:c>
      <x:c r="F186" t="str">
        <x:v>已匹配</x:v>
      </x:c>
      <x:c r="G186" t="str">
        <x:v>AC50B2547231919958</x:v>
      </x:c>
      <x:c r="H186" t="str">
        <x:v>LOG-SRD26070878</x:v>
      </x:c>
      <x:c r="I186" s="16" t="n">
        <x:v>14</x:v>
      </x:c>
      <x:c r="J186" s="16" t="n">
        <x:v>14</x:v>
      </x:c>
      <x:c r="K186" s="16" t="n">
        <x:v>12</x:v>
      </x:c>
      <x:c r="L186" s="19" t="n">
        <x:v>18.8</x:v>
      </x:c>
      <x:c r="M186" t="str">
        <x:v>lb</x:v>
      </x:c>
      <x:c r="N186" s="19" t="n">
        <x:v>19</x:v>
      </x:c>
      <x:c r="O186" t="str">
        <x:v>lb</x:v>
      </x:c>
      <x:c r="P186" s="19" t="n">
        <x:v>12.985227242689287</x:v>
      </x:c>
      <x:c r="Q186" t="str">
        <x:v>lb</x:v>
      </x:c>
      <x:c r="R186" t="str">
        <x:v>FL</x:v>
      </x:c>
      <x:c r="S186" t="str">
        <x:v>LOXAHATCHEE</x:v>
      </x:c>
      <x:c r="T186" t="str">
        <x:v>NJ</x:v>
      </x:c>
      <x:c r="U186" t="str">
        <x:v>NEW BRUNSWICK</x:v>
      </x:c>
      <x:c r="V186" t="str">
        <x:v>已匹配</x:v>
      </x:c>
      <x:c r="W186" s="16" t="n">
        <x:v>5.897</x:v>
      </x:c>
      <x:c r="X186" s="17" t="str">
        <x:v>AC50B：5.897</x:v>
      </x:c>
    </x:row>
    <x:row r="187" ht="18">
      <x:c r="A187" s="12" t="str">
        <x:v>873424752756</x:v>
      </x:c>
      <x:c r="B187" s="3" t="n">
        <x:v>32.34</x:v>
      </x:c>
      <x:c r="C187" s="5" t="n">
        <x:v>36.509</x:v>
      </x:c>
      <x:c r="D187" s="5" t="n">
        <x:f>C187-B187</x:f>
        <x:v>4.168999999999997</x:v>
      </x:c>
      <x:c r="E187" t="str">
        <x:v>EL100V2</x:v>
      </x:c>
      <x:c r="F187" t="str">
        <x:v>已匹配</x:v>
      </x:c>
      <x:c r="G187" t="str">
        <x:v>EL100V22537006085458</x:v>
      </x:c>
      <x:c r="H187" t="str">
        <x:v>LOG-SRL26062317</x:v>
      </x:c>
      <x:c r="I187" s="16" t="n">
        <x:v>15</x:v>
      </x:c>
      <x:c r="J187" s="16" t="n">
        <x:v>15</x:v>
      </x:c>
      <x:c r="K187" s="16" t="n">
        <x:v>11</x:v>
      </x:c>
      <x:c r="L187" s="19" t="n">
        <x:v>27.7</x:v>
      </x:c>
      <x:c r="M187" t="str">
        <x:v>lb</x:v>
      </x:c>
      <x:c r="N187" s="19" t="n">
        <x:v>28</x:v>
      </x:c>
      <x:c r="O187" t="str">
        <x:v>lb</x:v>
      </x:c>
      <x:c r="P187" s="19" t="n">
        <x:v>25.000420531765116</x:v>
      </x:c>
      <x:c r="Q187" t="str">
        <x:v>lb</x:v>
      </x:c>
      <x:c r="R187" t="str">
        <x:v>TX</x:v>
      </x:c>
      <x:c r="S187" t="str">
        <x:v>CARROLLTON</x:v>
      </x:c>
      <x:c r="T187" t="str">
        <x:v>NJ</x:v>
      </x:c>
      <x:c r="U187" t="str">
        <x:v>NEW BRUNSWICK</x:v>
      </x:c>
      <x:c r="V187" t="str">
        <x:v>已匹配</x:v>
      </x:c>
      <x:c r="W187" s="16" t="n">
        <x:v>11.34</x:v>
      </x:c>
      <x:c r="X187" s="17" t="str">
        <x:v>EL100V2：11.34</x:v>
      </x:c>
    </x:row>
    <x:row r="188" ht="18">
      <x:c r="A188" s="12" t="str">
        <x:v>875082163177</x:v>
      </x:c>
      <x:c r="B188" s="3" t="n">
        <x:v>26.36</x:v>
      </x:c>
      <x:c r="C188" s="5" t="n">
        <x:v>30.525</x:v>
      </x:c>
      <x:c r="D188" s="5" t="n">
        <x:f>C188-B188</x:f>
        <x:v>4.164999999999999</x:v>
      </x:c>
      <x:c r="E188" t="str">
        <x:v>EL100V2</x:v>
      </x:c>
      <x:c r="F188" t="str">
        <x:v>已匹配</x:v>
      </x:c>
      <x:c r="G188" t="str">
        <x:v>EL100V22539005496313</x:v>
      </x:c>
      <x:c r="H188" t="str">
        <x:v>LOG-SRL26074825</x:v>
      </x:c>
      <x:c r="I188" s="16"/>
      <x:c r="J188" s="16"/>
      <x:c r="K188" s="16"/>
      <x:c r="L188" s="19"/>
      <x:c r="M188"/>
      <x:c r="N188" s="19"/>
      <x:c r="O188"/>
      <x:c r="P188" s="19"/>
      <x:c r="Q188"/>
      <x:c r="R188"/>
      <x:c r="S188"/>
      <x:c r="T188"/>
      <x:c r="U188"/>
      <x:c r="V188" t="str">
        <x:v>未匹配</x:v>
      </x:c>
      <x:c r="W188" s="16" t="n">
        <x:v>11.34</x:v>
      </x:c>
      <x:c r="X188" s="17" t="str">
        <x:v>EL100V2：11.34</x:v>
      </x:c>
    </x:row>
    <x:row r="189" ht="18">
      <x:c r="A189" s="12" t="str">
        <x:v>873342102865</x:v>
      </x:c>
      <x:c r="B189" s="3" t="n">
        <x:v>32.47</x:v>
      </x:c>
      <x:c r="C189" s="5" t="n">
        <x:v>36.586</x:v>
      </x:c>
      <x:c r="D189" s="5" t="n">
        <x:f>C189-B189</x:f>
        <x:v>4.116</x:v>
      </x:c>
      <x:c r="E189" t="str">
        <x:v>EL100V2</x:v>
      </x:c>
      <x:c r="F189" t="str">
        <x:v>已匹配</x:v>
      </x:c>
      <x:c r="G189" t="str">
        <x:v>EL100V22542130396164</x:v>
      </x:c>
      <x:c r="H189" t="str">
        <x:v>LOG-SRD26062057</x:v>
      </x:c>
      <x:c r="I189" s="16" t="n">
        <x:v>17</x:v>
      </x:c>
      <x:c r="J189" s="16" t="n">
        <x:v>13</x:v>
      </x:c>
      <x:c r="K189" s="16" t="n">
        <x:v>11</x:v>
      </x:c>
      <x:c r="L189" s="19" t="n">
        <x:v>27.1</x:v>
      </x:c>
      <x:c r="M189" t="str">
        <x:v>lb</x:v>
      </x:c>
      <x:c r="N189" s="19" t="n">
        <x:v>28</x:v>
      </x:c>
      <x:c r="O189" t="str">
        <x:v>lb</x:v>
      </x:c>
      <x:c r="P189" s="19" t="n">
        <x:v>25.000420531765116</x:v>
      </x:c>
      <x:c r="Q189" t="str">
        <x:v>lb</x:v>
      </x:c>
      <x:c r="R189" t="str">
        <x:v>AR</x:v>
      </x:c>
      <x:c r="S189" t="str">
        <x:v>PRAIRIE GROVE</x:v>
      </x:c>
      <x:c r="T189" t="str">
        <x:v>NJ</x:v>
      </x:c>
      <x:c r="U189" t="str">
        <x:v>NEW BRUNSWICK</x:v>
      </x:c>
      <x:c r="V189" t="str">
        <x:v>已匹配</x:v>
      </x:c>
      <x:c r="W189" s="16" t="n">
        <x:v>11.34</x:v>
      </x:c>
      <x:c r="X189" s="17" t="str">
        <x:v>EL100V2：11.34</x:v>
      </x:c>
    </x:row>
    <x:row r="190" ht="18">
      <x:c r="A190" s="12" t="str">
        <x:v>873341905734</x:v>
      </x:c>
      <x:c r="B190" s="3" t="n">
        <x:v>32.47</x:v>
      </x:c>
      <x:c r="C190" s="5" t="n">
        <x:v>36.586</x:v>
      </x:c>
      <x:c r="D190" s="5" t="n">
        <x:f>C190-B190</x:f>
        <x:v>4.116</x:v>
      </x:c>
      <x:c r="E190" t="str">
        <x:v>EL100V2</x:v>
      </x:c>
      <x:c r="F190" t="str">
        <x:v>已匹配</x:v>
      </x:c>
      <x:c r="G190" t="str">
        <x:v>EL100V22528040699658</x:v>
      </x:c>
      <x:c r="H190" t="str">
        <x:v>LOG-SRD26062484</x:v>
      </x:c>
      <x:c r="I190" s="16" t="n">
        <x:v>15</x:v>
      </x:c>
      <x:c r="J190" s="16" t="n">
        <x:v>15</x:v>
      </x:c>
      <x:c r="K190" s="16" t="n">
        <x:v>15</x:v>
      </x:c>
      <x:c r="L190" s="19" t="n">
        <x:v>27.4</x:v>
      </x:c>
      <x:c r="M190" t="str">
        <x:v>lb</x:v>
      </x:c>
      <x:c r="N190" s="19" t="n">
        <x:v>28</x:v>
      </x:c>
      <x:c r="O190" t="str">
        <x:v>lb</x:v>
      </x:c>
      <x:c r="P190" s="19" t="n">
        <x:v>25.000420531765116</x:v>
      </x:c>
      <x:c r="Q190" t="str">
        <x:v>lb</x:v>
      </x:c>
      <x:c r="R190" t="str">
        <x:v>TX</x:v>
      </x:c>
      <x:c r="S190" t="str">
        <x:v>WACO</x:v>
      </x:c>
      <x:c r="T190" t="str">
        <x:v>NJ</x:v>
      </x:c>
      <x:c r="U190" t="str">
        <x:v>NEW BRUNSWICK</x:v>
      </x:c>
      <x:c r="V190" t="str">
        <x:v>已匹配</x:v>
      </x:c>
      <x:c r="W190" s="16" t="n">
        <x:v>11.34</x:v>
      </x:c>
      <x:c r="X190" s="17" t="str">
        <x:v>EL100V2：11.34</x:v>
      </x:c>
    </x:row>
    <x:row r="191" ht="18">
      <x:c r="A191" s="12" t="str">
        <x:v>873062619570</x:v>
      </x:c>
      <x:c r="B191" s="3" t="n">
        <x:v>32.47</x:v>
      </x:c>
      <x:c r="C191" s="5" t="n">
        <x:v>36.586</x:v>
      </x:c>
      <x:c r="D191" s="5" t="n">
        <x:f>C191-B191</x:f>
        <x:v>4.116</x:v>
      </x:c>
      <x:c r="E191" t="str">
        <x:v>EL100V2</x:v>
      </x:c>
      <x:c r="F191" t="str">
        <x:v>已匹配</x:v>
      </x:c>
      <x:c r="G191" t="str">
        <x:v>EL100V22537013898576</x:v>
      </x:c>
      <x:c r="H191" t="str">
        <x:v>LOG-SRL26061457</x:v>
      </x:c>
      <x:c r="I191" s="16" t="n">
        <x:v>16</x:v>
      </x:c>
      <x:c r="J191" s="16" t="n">
        <x:v>12</x:v>
      </x:c>
      <x:c r="K191" s="16" t="n">
        <x:v>9</x:v>
      </x:c>
      <x:c r="L191" s="19" t="n">
        <x:v>27.3</x:v>
      </x:c>
      <x:c r="M191" t="str">
        <x:v>lb</x:v>
      </x:c>
      <x:c r="N191" s="19" t="n">
        <x:v>28</x:v>
      </x:c>
      <x:c r="O191" t="str">
        <x:v>lb</x:v>
      </x:c>
      <x:c r="P191" s="19" t="n">
        <x:v>25.000420531765116</x:v>
      </x:c>
      <x:c r="Q191" t="str">
        <x:v>lb</x:v>
      </x:c>
      <x:c r="R191" t="str">
        <x:v>KS</x:v>
      </x:c>
      <x:c r="S191" t="str">
        <x:v>LAWRENCE</x:v>
      </x:c>
      <x:c r="T191" t="str">
        <x:v>NJ</x:v>
      </x:c>
      <x:c r="U191" t="str">
        <x:v>NEW BRUNSWICK</x:v>
      </x:c>
      <x:c r="V191" t="str">
        <x:v>已匹配</x:v>
      </x:c>
      <x:c r="W191" s="16" t="n">
        <x:v>11.34</x:v>
      </x:c>
      <x:c r="X191" s="17" t="str">
        <x:v>EL100V2：11.34</x:v>
      </x:c>
    </x:row>
    <x:row r="192" ht="18">
      <x:c r="A192" s="12" t="str">
        <x:v>873122402042</x:v>
      </x:c>
      <x:c r="B192" s="3" t="n">
        <x:v>45.3</x:v>
      </x:c>
      <x:c r="C192" s="5" t="n">
        <x:v>49.401</x:v>
      </x:c>
      <x:c r="D192" s="5" t="n">
        <x:f>C192-B192</x:f>
        <x:v>4.101000000000006</x:v>
      </x:c>
      <x:c r="E192" t="str">
        <x:v>AC180</x:v>
      </x:c>
      <x:c r="F192" t="str">
        <x:v>已匹配</x:v>
      </x:c>
      <x:c r="G192" t="str">
        <x:v>AC1802419004125947</x:v>
      </x:c>
      <x:c r="H192" t="str">
        <x:v>LOG-SRL26061598</x:v>
      </x:c>
      <x:c r="I192" s="16" t="n">
        <x:v>19</x:v>
      </x:c>
      <x:c r="J192" s="16" t="n">
        <x:v>18</x:v>
      </x:c>
      <x:c r="K192" s="16" t="n">
        <x:v>17</x:v>
      </x:c>
      <x:c r="L192" s="19" t="n">
        <x:v>41</x:v>
      </x:c>
      <x:c r="M192" t="str">
        <x:v>lb</x:v>
      </x:c>
      <x:c r="N192" s="19" t="n">
        <x:v>41</x:v>
      </x:c>
      <x:c r="O192" t="str">
        <x:v>lb</x:v>
      </x:c>
      <x:c r="P192" s="19" t="n">
        <x:v>37.98564777445441</x:v>
      </x:c>
      <x:c r="Q192" t="str">
        <x:v>lb</x:v>
      </x:c>
      <x:c r="R192" t="str">
        <x:v>AR</x:v>
      </x:c>
      <x:c r="S192" t="str">
        <x:v>CONWAY</x:v>
      </x:c>
      <x:c r="T192" t="str">
        <x:v>NJ</x:v>
      </x:c>
      <x:c r="U192" t="str">
        <x:v>NEW BRUNSWICK</x:v>
      </x:c>
      <x:c r="V192" t="str">
        <x:v>已匹配</x:v>
      </x:c>
      <x:c r="W192" s="16" t="n">
        <x:v>17.237</x:v>
      </x:c>
      <x:c r="X192" s="17" t="str">
        <x:v>AC180：17.237</x:v>
      </x:c>
    </x:row>
    <x:row r="193" ht="18">
      <x:c r="A193" s="12" t="str">
        <x:v>874757565183</x:v>
      </x:c>
      <x:c r="B193" s="3" t="n">
        <x:v>19.04</x:v>
      </x:c>
      <x:c r="C193" s="5" t="n">
        <x:v>23.133</x:v>
      </x:c>
      <x:c r="D193" s="5" t="n">
        <x:f>C193-B193</x:f>
        <x:v>4.093</x:v>
      </x:c>
      <x:c r="E193" t="str">
        <x:v>SolarX 4K</x:v>
      </x:c>
      <x:c r="F193" t="str">
        <x:v>已匹配</x:v>
      </x:c>
      <x:c r="G193" t="str">
        <x:v>SolarX 4K2543111442133</x:v>
      </x:c>
      <x:c r="H193" t="str">
        <x:v>LOG-SRL26073684</x:v>
      </x:c>
      <x:c r="I193" s="16" t="n">
        <x:v>22</x:v>
      </x:c>
      <x:c r="J193" s="16" t="n">
        <x:v>15</x:v>
      </x:c>
      <x:c r="K193" s="16" t="n">
        <x:v>8</x:v>
      </x:c>
      <x:c r="L193" s="19" t="n">
        <x:v>20.2</x:v>
      </x:c>
      <x:c r="M193" t="str">
        <x:v>lb</x:v>
      </x:c>
      <x:c r="N193" s="19" t="n">
        <x:v>21</x:v>
      </x:c>
      <x:c r="O193" t="str">
        <x:v>lb</x:v>
      </x:c>
      <x:c r="P193" s="19" t="n">
        <x:v>5.996573531428671</x:v>
      </x:c>
      <x:c r="Q193" t="str">
        <x:v>lb</x:v>
      </x:c>
      <x:c r="R193" t="str">
        <x:v>FL</x:v>
      </x:c>
      <x:c r="S193" t="str">
        <x:v>VERO BEACH</x:v>
      </x:c>
      <x:c r="T193" t="str">
        <x:v>NJ</x:v>
      </x:c>
      <x:c r="U193" t="str">
        <x:v>NEW BRUNSWICK</x:v>
      </x:c>
      <x:c r="V193" t="str">
        <x:v>已匹配</x:v>
      </x:c>
      <x:c r="W193" s="16" t="n">
        <x:v>0</x:v>
      </x:c>
      <x:c r="X193" s="17" t="str">
        <x:v>商品名称为空：0</x:v>
      </x:c>
    </x:row>
    <x:row r="194" ht="18">
      <x:c r="A194" s="12" t="str">
        <x:v>875028961352</x:v>
      </x:c>
      <x:c r="B194" s="3" t="n">
        <x:v>45.21</x:v>
      </x:c>
      <x:c r="C194" s="5" t="n">
        <x:v>49.302</x:v>
      </x:c>
      <x:c r="D194" s="5" t="n">
        <x:f>C194-B194</x:f>
        <x:v>4.091999999999999</x:v>
      </x:c>
      <x:c r="E194" t="str">
        <x:v>AC180</x:v>
      </x:c>
      <x:c r="F194" t="str">
        <x:v>已匹配</x:v>
      </x:c>
      <x:c r="G194" t="str">
        <x:v>AC1802413002116772</x:v>
      </x:c>
      <x:c r="H194" t="str">
        <x:v>LOG-SRL26074677</x:v>
      </x:c>
      <x:c r="I194" s="16"/>
      <x:c r="J194" s="16"/>
      <x:c r="K194" s="16"/>
      <x:c r="L194" s="19"/>
      <x:c r="M194"/>
      <x:c r="N194" s="19"/>
      <x:c r="O194"/>
      <x:c r="P194" s="19"/>
      <x:c r="Q194"/>
      <x:c r="R194"/>
      <x:c r="S194"/>
      <x:c r="T194"/>
      <x:c r="U194"/>
      <x:c r="V194" t="str">
        <x:v>未匹配</x:v>
      </x:c>
      <x:c r="W194" s="16" t="n">
        <x:v>17.237</x:v>
      </x:c>
      <x:c r="X194" s="17" t="str">
        <x:v>AC180：17.237</x:v>
      </x:c>
    </x:row>
    <x:row r="195" ht="18">
      <x:c r="A195" s="12" t="str">
        <x:v>874764947246</x:v>
      </x:c>
      <x:c r="B195" s="3" t="n">
        <x:v>21.72</x:v>
      </x:c>
      <x:c r="C195" s="5" t="n">
        <x:v>25.795</x:v>
      </x:c>
      <x:c r="D195" s="5" t="n">
        <x:f>C195-B195</x:f>
        <x:v>4.075000000000003</x:v>
      </x:c>
      <x:c r="E195"/>
      <x:c r="F195" t="str">
        <x:v>未匹配</x:v>
      </x:c>
      <x:c r="G195"/>
      <x:c r="H195"/>
      <x:c r="I195" s="16" t="n">
        <x:v>16</x:v>
      </x:c>
      <x:c r="J195" s="16" t="n">
        <x:v>16</x:v>
      </x:c>
      <x:c r="K195" s="16" t="n">
        <x:v>12</x:v>
      </x:c>
      <x:c r="L195" s="19" t="n">
        <x:v>30.1</x:v>
      </x:c>
      <x:c r="M195" t="str">
        <x:v>lb</x:v>
      </x:c>
      <x:c r="N195" s="19" t="n">
        <x:v>31</x:v>
      </x:c>
      <x:c r="O195" t="str">
        <x:v>lb</x:v>
      </x:c>
      <x:c r="P195" s="19" t="n">
        <x:v>25.000420531765116</x:v>
      </x:c>
      <x:c r="Q195" t="str">
        <x:v>lb</x:v>
      </x:c>
      <x:c r="R195" t="str">
        <x:v>NC</x:v>
      </x:c>
      <x:c r="S195" t="str">
        <x:v>FRANKLINTON</x:v>
      </x:c>
      <x:c r="T195" t="str">
        <x:v>NJ</x:v>
      </x:c>
      <x:c r="U195" t="str">
        <x:v>NEW BRUNSWICK</x:v>
      </x:c>
      <x:c r="V195" t="str">
        <x:v>已匹配</x:v>
      </x:c>
      <x:c r="W195" s="16" t="n">
        <x:v>0</x:v>
      </x:c>
      <x:c r="X195" s="17" t="str">
        <x:v>商品名称为空：0</x:v>
      </x:c>
    </x:row>
    <x:row r="196" ht="18">
      <x:c r="A196" s="12" t="str">
        <x:v>873804075069</x:v>
      </x:c>
      <x:c r="B196" s="3" t="n">
        <x:v>45.03</x:v>
      </x:c>
      <x:c r="C196" s="5" t="n">
        <x:v>49.104</x:v>
      </x:c>
      <x:c r="D196" s="5" t="n">
        <x:f>C196-B196</x:f>
        <x:v>4.073999999999998</x:v>
      </x:c>
      <x:c r="E196" t="str">
        <x:v>AC180</x:v>
      </x:c>
      <x:c r="F196" t="str">
        <x:v>已匹配</x:v>
      </x:c>
      <x:c r="G196" t="str">
        <x:v>AC1802420000351549</x:v>
      </x:c>
      <x:c r="H196" t="str">
        <x:v>LOG-SRL26070077</x:v>
      </x:c>
      <x:c r="I196" s="16" t="n">
        <x:v>19</x:v>
      </x:c>
      <x:c r="J196" s="16" t="n">
        <x:v>17</x:v>
      </x:c>
      <x:c r="K196" s="16" t="n">
        <x:v>13</x:v>
      </x:c>
      <x:c r="L196" s="19" t="n">
        <x:v>41.1</x:v>
      </x:c>
      <x:c r="M196" t="str">
        <x:v>lb</x:v>
      </x:c>
      <x:c r="N196" s="19" t="n">
        <x:v>41</x:v>
      </x:c>
      <x:c r="O196" t="str">
        <x:v>lb</x:v>
      </x:c>
      <x:c r="P196" s="19" t="n">
        <x:v>37.98564777445441</x:v>
      </x:c>
      <x:c r="Q196" t="str">
        <x:v>lb</x:v>
      </x:c>
      <x:c r="R196" t="str">
        <x:v>SD</x:v>
      </x:c>
      <x:c r="S196" t="str">
        <x:v>SIOUX FALLS</x:v>
      </x:c>
      <x:c r="T196" t="str">
        <x:v>NJ</x:v>
      </x:c>
      <x:c r="U196" t="str">
        <x:v>NEW BRUNSWICK</x:v>
      </x:c>
      <x:c r="V196" t="str">
        <x:v>已匹配</x:v>
      </x:c>
      <x:c r="W196" s="16" t="n">
        <x:v>17.237</x:v>
      </x:c>
      <x:c r="X196" s="17" t="str">
        <x:v>AC180：17.237</x:v>
      </x:c>
    </x:row>
    <x:row r="197" ht="18">
      <x:c r="A197" s="12" t="str">
        <x:v>873129844982</x:v>
      </x:c>
      <x:c r="B197" s="3" t="n">
        <x:v>26.41</x:v>
      </x:c>
      <x:c r="C197" s="5" t="n">
        <x:v>30.459</x:v>
      </x:c>
      <x:c r="D197" s="5" t="n">
        <x:f>C197-B197</x:f>
        <x:v>4.0489999999999995</x:v>
      </x:c>
      <x:c r="E197" t="str">
        <x:v>EL100V2</x:v>
      </x:c>
      <x:c r="F197" t="str">
        <x:v>已匹配</x:v>
      </x:c>
      <x:c r="G197" t="str">
        <x:v>EL100V22534008916185</x:v>
      </x:c>
      <x:c r="H197" t="str">
        <x:v>LOG-SRD26061668</x:v>
      </x:c>
      <x:c r="I197" s="16" t="n">
        <x:v>16</x:v>
      </x:c>
      <x:c r="J197" s="16" t="n">
        <x:v>16</x:v>
      </x:c>
      <x:c r="K197" s="16" t="n">
        <x:v>12</x:v>
      </x:c>
      <x:c r="L197" s="19" t="n">
        <x:v>30</x:v>
      </x:c>
      <x:c r="M197" t="str">
        <x:v>lb</x:v>
      </x:c>
      <x:c r="N197" s="19" t="n">
        <x:v>30</x:v>
      </x:c>
      <x:c r="O197" t="str">
        <x:v>lb</x:v>
      </x:c>
      <x:c r="P197" s="19" t="n">
        <x:v>25.000420531765116</x:v>
      </x:c>
      <x:c r="Q197" t="str">
        <x:v>lb</x:v>
      </x:c>
      <x:c r="R197" t="str">
        <x:v>FL</x:v>
      </x:c>
      <x:c r="S197" t="str">
        <x:v>SUMMERFIELD</x:v>
      </x:c>
      <x:c r="T197" t="str">
        <x:v>NJ</x:v>
      </x:c>
      <x:c r="U197" t="str">
        <x:v>NEW BRUNSWICK</x:v>
      </x:c>
      <x:c r="V197" t="str">
        <x:v>已匹配</x:v>
      </x:c>
      <x:c r="W197" s="16" t="n">
        <x:v>11.34</x:v>
      </x:c>
      <x:c r="X197" s="17" t="str">
        <x:v>EL100V2：11.34</x:v>
      </x:c>
    </x:row>
    <x:row r="198" ht="18">
      <x:c r="A198" s="12" t="str">
        <x:v>873598300616</x:v>
      </x:c>
      <x:c r="B198" s="3" t="n">
        <x:v>26.31</x:v>
      </x:c>
      <x:c r="C198" s="5" t="n">
        <x:v>30.338</x:v>
      </x:c>
      <x:c r="D198" s="5" t="n">
        <x:f>C198-B198</x:f>
        <x:v>4.028000000000002</x:v>
      </x:c>
      <x:c r="E198" t="str">
        <x:v>EL100V2</x:v>
      </x:c>
      <x:c r="F198" t="str">
        <x:v>已匹配</x:v>
      </x:c>
      <x:c r="G198" t="str">
        <x:v>EL100V22541020872702</x:v>
      </x:c>
      <x:c r="H198" t="str">
        <x:v>LOG-SRL26062855</x:v>
      </x:c>
      <x:c r="I198" s="16" t="n">
        <x:v>16</x:v>
      </x:c>
      <x:c r="J198" s="16" t="n">
        <x:v>16</x:v>
      </x:c>
      <x:c r="K198" s="16" t="n">
        <x:v>12</x:v>
      </x:c>
      <x:c r="L198" s="19" t="n">
        <x:v>29.7</x:v>
      </x:c>
      <x:c r="M198" t="str">
        <x:v>lb</x:v>
      </x:c>
      <x:c r="N198" s="19" t="n">
        <x:v>30</x:v>
      </x:c>
      <x:c r="O198" t="str">
        <x:v>lb</x:v>
      </x:c>
      <x:c r="P198" s="19" t="n">
        <x:v>25.000420531765116</x:v>
      </x:c>
      <x:c r="Q198" t="str">
        <x:v>lb</x:v>
      </x:c>
      <x:c r="R198" t="str">
        <x:v>GA</x:v>
      </x:c>
      <x:c r="S198" t="str">
        <x:v>WAYCROSS</x:v>
      </x:c>
      <x:c r="T198" t="str">
        <x:v>NJ</x:v>
      </x:c>
      <x:c r="U198" t="str">
        <x:v>NEW BRUNSWICK</x:v>
      </x:c>
      <x:c r="V198" t="str">
        <x:v>已匹配</x:v>
      </x:c>
      <x:c r="W198" s="16" t="n">
        <x:v>11.34</x:v>
      </x:c>
      <x:c r="X198" s="17" t="str">
        <x:v>EL100V2：11.34</x:v>
      </x:c>
    </x:row>
    <x:row r="199" ht="18">
      <x:c r="A199" s="12" t="str">
        <x:v>873544383510</x:v>
      </x:c>
      <x:c r="B199" s="3" t="n">
        <x:v>26.31</x:v>
      </x:c>
      <x:c r="C199" s="5" t="n">
        <x:v>30.338</x:v>
      </x:c>
      <x:c r="D199" s="5" t="n">
        <x:f>C199-B199</x:f>
        <x:v>4.028000000000002</x:v>
      </x:c>
      <x:c r="E199" t="str">
        <x:v>EL100V2</x:v>
      </x:c>
      <x:c r="F199" t="str">
        <x:v>已匹配</x:v>
      </x:c>
      <x:c r="G199" t="str">
        <x:v>EL100V22539003607450</x:v>
      </x:c>
      <x:c r="H199" t="str">
        <x:v>LOG-SRL26062687</x:v>
      </x:c>
      <x:c r="I199" s="16" t="n">
        <x:v>16</x:v>
      </x:c>
      <x:c r="J199" s="16" t="n">
        <x:v>16</x:v>
      </x:c>
      <x:c r="K199" s="16" t="n">
        <x:v>12</x:v>
      </x:c>
      <x:c r="L199" s="19" t="n">
        <x:v>29.5</x:v>
      </x:c>
      <x:c r="M199" t="str">
        <x:v>lb</x:v>
      </x:c>
      <x:c r="N199" s="19" t="n">
        <x:v>30</x:v>
      </x:c>
      <x:c r="O199" t="str">
        <x:v>lb</x:v>
      </x:c>
      <x:c r="P199" s="19" t="n">
        <x:v>25.000420531765116</x:v>
      </x:c>
      <x:c r="Q199" t="str">
        <x:v>lb</x:v>
      </x:c>
      <x:c r="R199" t="str">
        <x:v>TN</x:v>
      </x:c>
      <x:c r="S199" t="str">
        <x:v>CAMDEN</x:v>
      </x:c>
      <x:c r="T199" t="str">
        <x:v>NJ</x:v>
      </x:c>
      <x:c r="U199" t="str">
        <x:v>NEW BRUNSWICK</x:v>
      </x:c>
      <x:c r="V199" t="str">
        <x:v>已匹配</x:v>
      </x:c>
      <x:c r="W199" s="16" t="n">
        <x:v>11.34</x:v>
      </x:c>
      <x:c r="X199" s="17" t="str">
        <x:v>EL100V2：11.34</x:v>
      </x:c>
    </x:row>
    <x:row r="200" ht="18">
      <x:c r="A200" s="12" t="str">
        <x:v>874087509761</x:v>
      </x:c>
      <x:c r="B200" s="3" t="n">
        <x:v>26.2</x:v>
      </x:c>
      <x:c r="C200" s="5" t="n">
        <x:v>30.228</x:v>
      </x:c>
      <x:c r="D200" s="5" t="n">
        <x:f>C200-B200</x:f>
        <x:v>4.028000000000002</x:v>
      </x:c>
      <x:c r="E200" t="str">
        <x:v>EL100V2</x:v>
      </x:c>
      <x:c r="F200" t="str">
        <x:v>已匹配</x:v>
      </x:c>
      <x:c r="G200" t="str">
        <x:v>EL100V22532031253432</x:v>
      </x:c>
      <x:c r="H200" t="str">
        <x:v>LOG-SRL26070999</x:v>
      </x:c>
      <x:c r="I200" s="16" t="n">
        <x:v>16</x:v>
      </x:c>
      <x:c r="J200" s="16" t="n">
        <x:v>16</x:v>
      </x:c>
      <x:c r="K200" s="16" t="n">
        <x:v>12</x:v>
      </x:c>
      <x:c r="L200" s="19" t="n">
        <x:v>29.8</x:v>
      </x:c>
      <x:c r="M200" t="str">
        <x:v>lb</x:v>
      </x:c>
      <x:c r="N200" s="19" t="n">
        <x:v>30</x:v>
      </x:c>
      <x:c r="O200" t="str">
        <x:v>lb</x:v>
      </x:c>
      <x:c r="P200" s="19" t="n">
        <x:v>25.000420531765116</x:v>
      </x:c>
      <x:c r="Q200" t="str">
        <x:v>lb</x:v>
      </x:c>
      <x:c r="R200" t="str">
        <x:v>MO</x:v>
      </x:c>
      <x:c r="S200" t="str">
        <x:v>LABADIE</x:v>
      </x:c>
      <x:c r="T200" t="str">
        <x:v>NJ</x:v>
      </x:c>
      <x:c r="U200" t="str">
        <x:v>NEW BRUNSWICK</x:v>
      </x:c>
      <x:c r="V200" t="str">
        <x:v>已匹配</x:v>
      </x:c>
      <x:c r="W200" s="16" t="n">
        <x:v>11.34</x:v>
      </x:c>
      <x:c r="X200" s="17" t="str">
        <x:v>EL100V2：11.34</x:v>
      </x:c>
    </x:row>
    <x:row r="201" ht="18">
      <x:c r="A201" s="12" t="str">
        <x:v>874086007450</x:v>
      </x:c>
      <x:c r="B201" s="3" t="n">
        <x:v>26.2</x:v>
      </x:c>
      <x:c r="C201" s="5" t="n">
        <x:v>30.228</x:v>
      </x:c>
      <x:c r="D201" s="5" t="n">
        <x:f>C201-B201</x:f>
        <x:v>4.028000000000002</x:v>
      </x:c>
      <x:c r="E201" t="str">
        <x:v>EL100V2</x:v>
      </x:c>
      <x:c r="F201" t="str">
        <x:v>已匹配</x:v>
      </x:c>
      <x:c r="G201" t="str">
        <x:v>EL100V22542001313262</x:v>
      </x:c>
      <x:c r="H201" t="str">
        <x:v>LOG-SRL26070971</x:v>
      </x:c>
      <x:c r="I201" s="16" t="n">
        <x:v>16</x:v>
      </x:c>
      <x:c r="J201" s="16" t="n">
        <x:v>16</x:v>
      </x:c>
      <x:c r="K201" s="16" t="n">
        <x:v>12</x:v>
      </x:c>
      <x:c r="L201" s="19" t="n">
        <x:v>29.6</x:v>
      </x:c>
      <x:c r="M201" t="str">
        <x:v>lb</x:v>
      </x:c>
      <x:c r="N201" s="19" t="n">
        <x:v>30</x:v>
      </x:c>
      <x:c r="O201" t="str">
        <x:v>lb</x:v>
      </x:c>
      <x:c r="P201" s="19" t="n">
        <x:v>25.000420531765116</x:v>
      </x:c>
      <x:c r="Q201" t="str">
        <x:v>lb</x:v>
      </x:c>
      <x:c r="R201" t="str">
        <x:v>FL</x:v>
      </x:c>
      <x:c r="S201" t="str">
        <x:v>PALMETTO</x:v>
      </x:c>
      <x:c r="T201" t="str">
        <x:v>NJ</x:v>
      </x:c>
      <x:c r="U201" t="str">
        <x:v>NEW BRUNSWICK</x:v>
      </x:c>
      <x:c r="V201" t="str">
        <x:v>已匹配</x:v>
      </x:c>
      <x:c r="W201" s="16" t="n">
        <x:v>11.34</x:v>
      </x:c>
      <x:c r="X201" s="17" t="str">
        <x:v>EL100V2：11.34</x:v>
      </x:c>
    </x:row>
    <x:row r="202" ht="18">
      <x:c r="A202" s="12" t="str">
        <x:v>874515197234</x:v>
      </x:c>
      <x:c r="B202" s="3" t="n">
        <x:v>95.71</x:v>
      </x:c>
      <x:c r="C202" s="5" t="n">
        <x:v>99.726</x:v>
      </x:c>
      <x:c r="D202" s="5" t="n">
        <x:f>C202-B202</x:f>
        <x:v>4.016000000000005</x:v>
      </x:c>
      <x:c r="E202" t="str">
        <x:v>EL300</x:v>
      </x:c>
      <x:c r="F202" t="str">
        <x:v>已匹配</x:v>
      </x:c>
      <x:c r="G202" t="str">
        <x:v>EL3002613131820918</x:v>
      </x:c>
      <x:c r="H202" t="str">
        <x:v>LOG-SRL26072799</x:v>
      </x:c>
      <x:c r="I202" s="16" t="n">
        <x:v>19</x:v>
      </x:c>
      <x:c r="J202" s="16" t="n">
        <x:v>16</x:v>
      </x:c>
      <x:c r="K202" s="16" t="n">
        <x:v>16</x:v>
      </x:c>
      <x:c r="L202" s="19" t="n">
        <x:v>65.7</x:v>
      </x:c>
      <x:c r="M202" t="str">
        <x:v>lb</x:v>
      </x:c>
      <x:c r="N202" s="19" t="n">
        <x:v>66</x:v>
      </x:c>
      <x:c r="O202" t="str">
        <x:v>lb</x:v>
      </x:c>
      <x:c r="P202" s="19" t="n">
        <x:v>55.9974145949589</x:v>
      </x:c>
      <x:c r="Q202" t="str">
        <x:v>lb</x:v>
      </x:c>
      <x:c r="R202" t="str">
        <x:v>FL</x:v>
      </x:c>
      <x:c r="S202" t="str">
        <x:v>CORAL SPRINGS</x:v>
      </x:c>
      <x:c r="T202" t="str">
        <x:v>NJ</x:v>
      </x:c>
      <x:c r="U202" t="str">
        <x:v>NEW BRUNSWICK</x:v>
      </x:c>
      <x:c r="V202" t="str">
        <x:v>已匹配</x:v>
      </x:c>
      <x:c r="W202" s="16" t="n">
        <x:v>25.401</x:v>
      </x:c>
      <x:c r="X202" s="17" t="str">
        <x:v>EL300：25.401</x:v>
      </x:c>
    </x:row>
    <x:row r="203" ht="18">
      <x:c r="A203" s="12" t="str">
        <x:v>873807141577</x:v>
      </x:c>
      <x:c r="B203" s="3" t="n">
        <x:v>26.25</x:v>
      </x:c>
      <x:c r="C203" s="5" t="n">
        <x:v>30.228</x:v>
      </x:c>
      <x:c r="D203" s="5" t="n">
        <x:f>C203-B203</x:f>
        <x:v>3.9780000000000015</x:v>
      </x:c>
      <x:c r="E203" t="str">
        <x:v>EL100V2</x:v>
      </x:c>
      <x:c r="F203" t="str">
        <x:v>已匹配</x:v>
      </x:c>
      <x:c r="G203" t="str">
        <x:v>EL100V22525511822555</x:v>
      </x:c>
      <x:c r="H203" t="str">
        <x:v>LOG-CRP26070116</x:v>
      </x:c>
      <x:c r="I203" s="16" t="n">
        <x:v>16</x:v>
      </x:c>
      <x:c r="J203" s="16" t="n">
        <x:v>16</x:v>
      </x:c>
      <x:c r="K203" s="16" t="n">
        <x:v>12</x:v>
      </x:c>
      <x:c r="L203" s="19" t="n">
        <x:v>29.8</x:v>
      </x:c>
      <x:c r="M203" t="str">
        <x:v>lb</x:v>
      </x:c>
      <x:c r="N203" s="19" t="n">
        <x:v>30</x:v>
      </x:c>
      <x:c r="O203" t="str">
        <x:v>lb</x:v>
      </x:c>
      <x:c r="P203" s="19" t="n">
        <x:v>25.000420531765116</x:v>
      </x:c>
      <x:c r="Q203" t="str">
        <x:v>lb</x:v>
      </x:c>
      <x:c r="R203" t="str">
        <x:v>FL</x:v>
      </x:c>
      <x:c r="S203" t="str">
        <x:v>DELAND</x:v>
      </x:c>
      <x:c r="T203" t="str">
        <x:v>NJ</x:v>
      </x:c>
      <x:c r="U203" t="str">
        <x:v>NEW BRUNSWICK</x:v>
      </x:c>
      <x:c r="V203" t="str">
        <x:v>已匹配</x:v>
      </x:c>
      <x:c r="W203" s="16" t="n">
        <x:v>0</x:v>
      </x:c>
      <x:c r="X203" s="17" t="str">
        <x:v>Elite 100 V2：0</x:v>
      </x:c>
    </x:row>
    <x:row r="204" ht="18">
      <x:c r="A204" s="12" t="str">
        <x:v>874712418775</x:v>
      </x:c>
      <x:c r="B204" s="3" t="n">
        <x:v>17.5</x:v>
      </x:c>
      <x:c r="C204" s="5" t="n">
        <x:v>21.439</x:v>
      </x:c>
      <x:c r="D204" s="5" t="n">
        <x:f>C204-B204</x:f>
        <x:v>3.939</x:v>
      </x:c>
      <x:c r="E204" t="str">
        <x:v>EL100V</x:v>
      </x:c>
      <x:c r="F204" t="str">
        <x:v>已匹配</x:v>
      </x:c>
      <x:c r="G204" t="str">
        <x:v>EL100V22540000462666</x:v>
      </x:c>
      <x:c r="H204" t="str">
        <x:v>LOG-SRL26073559</x:v>
      </x:c>
      <x:c r="I204" s="16" t="n">
        <x:v>15</x:v>
      </x:c>
      <x:c r="J204" s="16" t="n">
        <x:v>13</x:v>
      </x:c>
      <x:c r="K204" s="16" t="n">
        <x:v>12</x:v>
      </x:c>
      <x:c r="L204" s="19" t="n">
        <x:v>26.9</x:v>
      </x:c>
      <x:c r="M204" t="str">
        <x:v>lb</x:v>
      </x:c>
      <x:c r="N204" s="19" t="n">
        <x:v>27</x:v>
      </x:c>
      <x:c r="O204" t="str">
        <x:v>lb</x:v>
      </x:c>
      <x:c r="P204" s="19" t="n">
        <x:v>25.000420531765116</x:v>
      </x:c>
      <x:c r="Q204" t="str">
        <x:v>lb</x:v>
      </x:c>
      <x:c r="R204" t="str">
        <x:v>PA</x:v>
      </x:c>
      <x:c r="S204" t="str">
        <x:v>MILL CREEK</x:v>
      </x:c>
      <x:c r="T204" t="str">
        <x:v>NJ</x:v>
      </x:c>
      <x:c r="U204" t="str">
        <x:v>NEW BRUNSWICK</x:v>
      </x:c>
      <x:c r="V204" t="str">
        <x:v>已匹配</x:v>
      </x:c>
      <x:c r="W204" s="16" t="n">
        <x:v>11.34</x:v>
      </x:c>
      <x:c r="X204" s="17" t="str">
        <x:v>EL100V2：11.34</x:v>
      </x:c>
    </x:row>
    <x:row r="205" ht="18">
      <x:c r="A205" s="12" t="str">
        <x:v>874647411990</x:v>
      </x:c>
      <x:c r="B205" s="3" t="n">
        <x:v>125.38</x:v>
      </x:c>
      <x:c r="C205" s="5" t="n">
        <x:v>129.294</x:v>
      </x:c>
      <x:c r="D205" s="5" t="n">
        <x:f>C205-B205</x:f>
        <x:v>3.9140000000000157</x:v>
      </x:c>
      <x:c r="E205" t="str">
        <x:v>AC300</x:v>
      </x:c>
      <x:c r="F205" t="str">
        <x:v>已匹配</x:v>
      </x:c>
      <x:c r="G205" t="str">
        <x:v>AC3002143000061545</x:v>
      </x:c>
      <x:c r="H205" t="str">
        <x:v>LOG-SRL26071959</x:v>
      </x:c>
      <x:c r="I205" s="16"/>
      <x:c r="J205" s="16"/>
      <x:c r="K205" s="16"/>
      <x:c r="L205" s="19"/>
      <x:c r="M205"/>
      <x:c r="N205" s="19"/>
      <x:c r="O205"/>
      <x:c r="P205" s="19"/>
      <x:c r="Q205"/>
      <x:c r="R205"/>
      <x:c r="S205"/>
      <x:c r="T205"/>
      <x:c r="U205"/>
      <x:c r="V205" t="str">
        <x:v>未匹配</x:v>
      </x:c>
      <x:c r="W205" s="16" t="n">
        <x:v>0</x:v>
      </x:c>
      <x:c r="X205" s="17" t="str">
        <x:v>商品名称为空：0</x:v>
      </x:c>
    </x:row>
    <x:row r="206" ht="18">
      <x:c r="A206" s="12" t="str">
        <x:v>874199056704</x:v>
      </x:c>
      <x:c r="B206" s="3" t="n">
        <x:v>65.37</x:v>
      </x:c>
      <x:c r="C206" s="5" t="n">
        <x:v>69.179</x:v>
      </x:c>
      <x:c r="D206" s="5" t="n">
        <x:f>C206-B206</x:f>
        <x:v>3.8089999999999975</x:v>
      </x:c>
      <x:c r="E206" t="str">
        <x:v>AC200L</x:v>
      </x:c>
      <x:c r="F206" t="str">
        <x:v>已匹配</x:v>
      </x:c>
      <x:c r="G206" t="str">
        <x:v>AC200L2451000880622</x:v>
      </x:c>
      <x:c r="H206" t="str">
        <x:v>LOG-SRL26071448</x:v>
      </x:c>
      <x:c r="I206" s="16" t="n">
        <x:v>19</x:v>
      </x:c>
      <x:c r="J206" s="16" t="n">
        <x:v>15</x:v>
      </x:c>
      <x:c r="K206" s="16" t="n">
        <x:v>13</x:v>
      </x:c>
      <x:c r="L206" s="19" t="n">
        <x:v>62.8</x:v>
      </x:c>
      <x:c r="M206" t="str">
        <x:v>lb</x:v>
      </x:c>
      <x:c r="N206" s="19" t="n">
        <x:v>63</x:v>
      </x:c>
      <x:c r="O206" t="str">
        <x:v>lb</x:v>
      </x:c>
      <x:c r="P206" s="19" t="n">
        <x:v>55.9974145949589</x:v>
      </x:c>
      <x:c r="Q206" t="str">
        <x:v>lb</x:v>
      </x:c>
      <x:c r="R206" t="str">
        <x:v>NH</x:v>
      </x:c>
      <x:c r="S206" t="str">
        <x:v>MERRIMACK</x:v>
      </x:c>
      <x:c r="T206" t="str">
        <x:v>NJ</x:v>
      </x:c>
      <x:c r="U206" t="str">
        <x:v>NEW BRUNSWICK</x:v>
      </x:c>
      <x:c r="V206" t="str">
        <x:v>已匹配</x:v>
      </x:c>
      <x:c r="W206" s="16" t="n">
        <x:v>25.401</x:v>
      </x:c>
      <x:c r="X206" s="17" t="str">
        <x:v>AC200L：25.401</x:v>
      </x:c>
    </x:row>
    <x:row r="207" ht="18">
      <x:c r="A207" s="12" t="str">
        <x:v>874454129625</x:v>
      </x:c>
      <x:c r="B207" s="3" t="n">
        <x:v>95.73</x:v>
      </x:c>
      <x:c r="C207" s="5" t="n">
        <x:v>99.528</x:v>
      </x:c>
      <x:c r="D207" s="5" t="n">
        <x:f>C207-B207</x:f>
        <x:v>3.798000000000002</x:v>
      </x:c>
      <x:c r="E207" t="str">
        <x:v>EL300</x:v>
      </x:c>
      <x:c r="F207" t="str">
        <x:v>已匹配</x:v>
      </x:c>
      <x:c r="G207" t="str">
        <x:v>EL3002601136729676</x:v>
      </x:c>
      <x:c r="H207" t="str">
        <x:v>LOG-SRL26072467</x:v>
      </x:c>
      <x:c r="I207" s="16" t="n">
        <x:v>20</x:v>
      </x:c>
      <x:c r="J207" s="16" t="n">
        <x:v>16</x:v>
      </x:c>
      <x:c r="K207" s="16" t="n">
        <x:v>16</x:v>
      </x:c>
      <x:c r="L207" s="19" t="n">
        <x:v>65.7</x:v>
      </x:c>
      <x:c r="M207" t="str">
        <x:v>lb</x:v>
      </x:c>
      <x:c r="N207" s="19" t="n">
        <x:v>66</x:v>
      </x:c>
      <x:c r="O207" t="str">
        <x:v>lb</x:v>
      </x:c>
      <x:c r="P207" s="19" t="n">
        <x:v>57.9815749546228</x:v>
      </x:c>
      <x:c r="Q207" t="str">
        <x:v>lb</x:v>
      </x:c>
      <x:c r="R207" t="str">
        <x:v>LA</x:v>
      </x:c>
      <x:c r="S207" t="str">
        <x:v>BOSSIER CITY</x:v>
      </x:c>
      <x:c r="T207" t="str">
        <x:v>NJ</x:v>
      </x:c>
      <x:c r="U207" t="str">
        <x:v>NEW BRUNSWICK</x:v>
      </x:c>
      <x:c r="V207" t="str">
        <x:v>已匹配</x:v>
      </x:c>
      <x:c r="W207" s="16" t="n">
        <x:v>1</x:v>
      </x:c>
      <x:c r="X207" s="17" t="str">
        <x:v>Elite 300：1</x:v>
      </x:c>
    </x:row>
    <x:row r="208" ht="18">
      <x:c r="A208" s="12" t="str">
        <x:v>874461667390</x:v>
      </x:c>
      <x:c r="B208" s="3" t="n">
        <x:v>66.86</x:v>
      </x:c>
      <x:c r="C208" s="5" t="n">
        <x:v>70.598</x:v>
      </x:c>
      <x:c r="D208" s="5" t="n">
        <x:f>C208-B208</x:f>
        <x:v>3.7379999999999995</x:v>
      </x:c>
      <x:c r="E208" t="str">
        <x:v>EL300</x:v>
      </x:c>
      <x:c r="F208" t="str">
        <x:v>已匹配</x:v>
      </x:c>
      <x:c r="G208" t="str">
        <x:v>EL3002613132758700</x:v>
      </x:c>
      <x:c r="H208" t="str">
        <x:v>LOG-SRL26072858</x:v>
      </x:c>
      <x:c r="I208" s="16" t="n">
        <x:v>53</x:v>
      </x:c>
      <x:c r="J208" s="16" t="n">
        <x:v>41</x:v>
      </x:c>
      <x:c r="K208" s="16" t="n">
        <x:v>41</x:v>
      </x:c>
      <x:c r="L208" s="19" t="n">
        <x:v>65.4</x:v>
      </x:c>
      <x:c r="M208" t="str">
        <x:v>lb</x:v>
      </x:c>
      <x:c r="N208" s="19" t="n">
        <x:v>66</x:v>
      </x:c>
      <x:c r="O208" t="str">
        <x:v>lb</x:v>
      </x:c>
      <x:c r="P208" s="19" t="n">
        <x:v>60.49484474353041</x:v>
      </x:c>
      <x:c r="Q208" t="str">
        <x:v>lb</x:v>
      </x:c>
      <x:c r="R208" t="str">
        <x:v>MA</x:v>
      </x:c>
      <x:c r="S208" t="str">
        <x:v>HINGHAM</x:v>
      </x:c>
      <x:c r="T208" t="str">
        <x:v>NJ</x:v>
      </x:c>
      <x:c r="U208" t="str">
        <x:v>NEW BRUNSWICK</x:v>
      </x:c>
      <x:c r="V208" t="str">
        <x:v>已匹配</x:v>
      </x:c>
      <x:c r="W208" s="16" t="n">
        <x:v>27.442</x:v>
      </x:c>
      <x:c r="X208" s="17" t="str">
        <x:v>EL300：27.442</x:v>
      </x:c>
    </x:row>
    <x:row r="209" ht="18">
      <x:c r="A209" s="12" t="str">
        <x:v>873857958281</x:v>
      </x:c>
      <x:c r="B209" s="3" t="n">
        <x:v>21.72</x:v>
      </x:c>
      <x:c r="C209" s="5" t="n">
        <x:v>25.388</x:v>
      </x:c>
      <x:c r="D209" s="5" t="n">
        <x:f>C209-B209</x:f>
        <x:v>3.668000000000003</x:v>
      </x:c>
      <x:c r="E209" t="str">
        <x:v>EL100V2</x:v>
      </x:c>
      <x:c r="F209" t="str">
        <x:v>已匹配</x:v>
      </x:c>
      <x:c r="G209" t="str">
        <x:v>EL100V22542130445084</x:v>
      </x:c>
      <x:c r="H209" t="str">
        <x:v>LOG-SRL26071212</x:v>
      </x:c>
      <x:c r="I209" s="16"/>
      <x:c r="J209" s="16"/>
      <x:c r="K209" s="16"/>
      <x:c r="L209" s="19"/>
      <x:c r="M209"/>
      <x:c r="N209" s="19"/>
      <x:c r="O209"/>
      <x:c r="P209" s="19"/>
      <x:c r="Q209"/>
      <x:c r="R209"/>
      <x:c r="S209"/>
      <x:c r="T209"/>
      <x:c r="U209"/>
      <x:c r="V209" t="str">
        <x:v>未匹配</x:v>
      </x:c>
      <x:c r="W209" s="16" t="n">
        <x:v>11.34</x:v>
      </x:c>
      <x:c r="X209" s="17" t="str">
        <x:v>EL100V2：11.34</x:v>
      </x:c>
    </x:row>
    <x:row r="210" ht="18">
      <x:c r="A210" s="12" t="str">
        <x:v>875136838411</x:v>
      </x:c>
      <x:c r="B210" s="3" t="n">
        <x:v>19.12</x:v>
      </x:c>
      <x:c r="C210" s="5" t="n">
        <x:v>22.781</x:v>
      </x:c>
      <x:c r="D210" s="5" t="n">
        <x:f>C210-B210</x:f>
        <x:v>3.660999999999998</x:v>
      </x:c>
      <x:c r="E210" t="str">
        <x:v>AC2A</x:v>
      </x:c>
      <x:c r="F210" t="str">
        <x:v>已匹配</x:v>
      </x:c>
      <x:c r="G210" t="str">
        <x:v>AC2A2341000690656</x:v>
      </x:c>
      <x:c r="H210" t="str">
        <x:v>LOG-CRP26074611</x:v>
      </x:c>
      <x:c r="I210" s="16"/>
      <x:c r="J210" s="16"/>
      <x:c r="K210" s="16"/>
      <x:c r="L210" s="19"/>
      <x:c r="M210"/>
      <x:c r="N210" s="19"/>
      <x:c r="O210"/>
      <x:c r="P210" s="19"/>
      <x:c r="Q210"/>
      <x:c r="R210"/>
      <x:c r="S210"/>
      <x:c r="T210"/>
      <x:c r="U210"/>
      <x:c r="V210" t="str">
        <x:v>未匹配</x:v>
      </x:c>
      <x:c r="W210" s="16" t="n">
        <x:v>0</x:v>
      </x:c>
      <x:c r="X210" s="17" t="str">
        <x:v>AC2A：0</x:v>
      </x:c>
    </x:row>
    <x:row r="211" ht="18">
      <x:c r="A211" s="12" t="str">
        <x:v>874457397667</x:v>
      </x:c>
      <x:c r="B211" s="3" t="n">
        <x:v>21.67</x:v>
      </x:c>
      <x:c r="C211" s="5" t="n">
        <x:v>25.278</x:v>
      </x:c>
      <x:c r="D211" s="5" t="n">
        <x:f>C211-B211</x:f>
        <x:v>3.607999999999997</x:v>
      </x:c>
      <x:c r="E211"/>
      <x:c r="F211" t="str">
        <x:v>未匹配</x:v>
      </x:c>
      <x:c r="G211"/>
      <x:c r="H211"/>
      <x:c r="I211" s="16" t="n">
        <x:v>24</x:v>
      </x:c>
      <x:c r="J211" s="16" t="n">
        <x:v>15</x:v>
      </x:c>
      <x:c r="K211" s="16" t="n">
        <x:v>11</x:v>
      </x:c>
      <x:c r="L211" s="19" t="n">
        <x:v>29.2</x:v>
      </x:c>
      <x:c r="M211" t="str">
        <x:v>lb</x:v>
      </x:c>
      <x:c r="N211" s="19" t="n">
        <x:v>30</x:v>
      </x:c>
      <x:c r="O211" t="str">
        <x:v>lb</x:v>
      </x:c>
      <x:c r="P211" s="19" t="n">
        <x:v>25.000420531765116</x:v>
      </x:c>
      <x:c r="Q211" t="str">
        <x:v>lb</x:v>
      </x:c>
      <x:c r="R211" t="str">
        <x:v>WV</x:v>
      </x:c>
      <x:c r="S211" t="str">
        <x:v>WALKER</x:v>
      </x:c>
      <x:c r="T211" t="str">
        <x:v>NJ</x:v>
      </x:c>
      <x:c r="U211" t="str">
        <x:v>NEW BRUNSWICK</x:v>
      </x:c>
      <x:c r="V211" t="str">
        <x:v>已匹配</x:v>
      </x:c>
      <x:c r="W211" s="16" t="n">
        <x:v>11.34</x:v>
      </x:c>
      <x:c r="X211" s="17" t="str">
        <x:v>EL100V2：11.34</x:v>
      </x:c>
    </x:row>
    <x:row r="212" ht="18">
      <x:c r="A212" s="12" t="str">
        <x:v>874405572227</x:v>
      </x:c>
      <x:c r="B212" s="3" t="n">
        <x:v>21.67</x:v>
      </x:c>
      <x:c r="C212" s="5" t="n">
        <x:v>25.278</x:v>
      </x:c>
      <x:c r="D212" s="5" t="n">
        <x:f>C212-B212</x:f>
        <x:v>3.607999999999997</x:v>
      </x:c>
      <x:c r="E212" t="str">
        <x:v>EL100V2</x:v>
      </x:c>
      <x:c r="F212" t="str">
        <x:v>已匹配</x:v>
      </x:c>
      <x:c r="G212" t="str">
        <x:v>EL100V22535000846280</x:v>
      </x:c>
      <x:c r="H212" t="str">
        <x:v>LOG-SRL26072327</x:v>
      </x:c>
      <x:c r="I212" s="16" t="n">
        <x:v>16</x:v>
      </x:c>
      <x:c r="J212" s="16" t="n">
        <x:v>16</x:v>
      </x:c>
      <x:c r="K212" s="16" t="n">
        <x:v>12</x:v>
      </x:c>
      <x:c r="L212" s="19" t="n">
        <x:v>29.1</x:v>
      </x:c>
      <x:c r="M212" t="str">
        <x:v>lb</x:v>
      </x:c>
      <x:c r="N212" s="19" t="n">
        <x:v>30</x:v>
      </x:c>
      <x:c r="O212" t="str">
        <x:v>lb</x:v>
      </x:c>
      <x:c r="P212" s="19" t="n">
        <x:v>25.000420531765116</x:v>
      </x:c>
      <x:c r="Q212" t="str">
        <x:v>lb</x:v>
      </x:c>
      <x:c r="R212" t="str">
        <x:v>SC</x:v>
      </x:c>
      <x:c r="S212" t="str">
        <x:v>SUMTER</x:v>
      </x:c>
      <x:c r="T212" t="str">
        <x:v>NJ</x:v>
      </x:c>
      <x:c r="U212" t="str">
        <x:v>NEW BRUNSWICK</x:v>
      </x:c>
      <x:c r="V212" t="str">
        <x:v>已匹配</x:v>
      </x:c>
      <x:c r="W212" s="16" t="n">
        <x:v>11.34</x:v>
      </x:c>
      <x:c r="X212" s="17" t="str">
        <x:v>EL100V2：11.34</x:v>
      </x:c>
    </x:row>
    <x:row r="213" ht="18">
      <x:c r="A213" s="12" t="str">
        <x:v>874819305254</x:v>
      </x:c>
      <x:c r="B213" s="3" t="n">
        <x:v>21.72</x:v>
      </x:c>
      <x:c r="C213" s="5" t="n">
        <x:v>25.278</x:v>
      </x:c>
      <x:c r="D213" s="5" t="n">
        <x:f>C213-B213</x:f>
        <x:v>3.558</x:v>
      </x:c>
      <x:c r="E213" t="str">
        <x:v>EL100V2</x:v>
      </x:c>
      <x:c r="F213" t="str">
        <x:v>已匹配</x:v>
      </x:c>
      <x:c r="G213" t="str">
        <x:v>EL100V22539000267905</x:v>
      </x:c>
      <x:c r="H213" t="str">
        <x:v>LOG-SRL26073982</x:v>
      </x:c>
      <x:c r="I213" s="16"/>
      <x:c r="J213" s="16"/>
      <x:c r="K213" s="16"/>
      <x:c r="L213" s="19"/>
      <x:c r="M213"/>
      <x:c r="N213" s="19"/>
      <x:c r="O213"/>
      <x:c r="P213" s="19"/>
      <x:c r="Q213"/>
      <x:c r="R213"/>
      <x:c r="S213"/>
      <x:c r="T213"/>
      <x:c r="U213"/>
      <x:c r="V213" t="str">
        <x:v>未匹配</x:v>
      </x:c>
      <x:c r="W213" s="16" t="n">
        <x:v>11.34</x:v>
      </x:c>
      <x:c r="X213" s="17" t="str">
        <x:v>EL100V2：11.34</x:v>
      </x:c>
    </x:row>
    <x:row r="214" ht="18">
      <x:c r="A214" s="12" t="str">
        <x:v>873805604665</x:v>
      </x:c>
      <x:c r="B214" s="3" t="n">
        <x:v>21.72</x:v>
      </x:c>
      <x:c r="C214" s="5" t="n">
        <x:v>25.278</x:v>
      </x:c>
      <x:c r="D214" s="5" t="n">
        <x:f>C214-B214</x:f>
        <x:v>3.558</x:v>
      </x:c>
      <x:c r="E214" t="str">
        <x:v>EL100V2</x:v>
      </x:c>
      <x:c r="F214" t="str">
        <x:v>已匹配</x:v>
      </x:c>
      <x:c r="G214" t="str">
        <x:v>EL100V22540001100382</x:v>
      </x:c>
      <x:c r="H214" t="str">
        <x:v>LOG-SRL26070089</x:v>
      </x:c>
      <x:c r="I214" s="16" t="n">
        <x:v>16</x:v>
      </x:c>
      <x:c r="J214" s="16" t="n">
        <x:v>16</x:v>
      </x:c>
      <x:c r="K214" s="16" t="n">
        <x:v>12</x:v>
      </x:c>
      <x:c r="L214" s="19" t="n">
        <x:v>29.5</x:v>
      </x:c>
      <x:c r="M214" t="str">
        <x:v>lb</x:v>
      </x:c>
      <x:c r="N214" s="19" t="n">
        <x:v>30</x:v>
      </x:c>
      <x:c r="O214" t="str">
        <x:v>lb</x:v>
      </x:c>
      <x:c r="P214" s="19" t="n">
        <x:v>25.000420531765116</x:v>
      </x:c>
      <x:c r="Q214" t="str">
        <x:v>lb</x:v>
      </x:c>
      <x:c r="R214" t="str">
        <x:v>OH</x:v>
      </x:c>
      <x:c r="S214" t="str">
        <x:v>STRONGSVILLE</x:v>
      </x:c>
      <x:c r="T214" t="str">
        <x:v>NJ</x:v>
      </x:c>
      <x:c r="U214" t="str">
        <x:v>NEW BRUNSWICK</x:v>
      </x:c>
      <x:c r="V214" t="str">
        <x:v>已匹配</x:v>
      </x:c>
      <x:c r="W214" s="16" t="n">
        <x:v>11.34</x:v>
      </x:c>
      <x:c r="X214" s="17" t="str">
        <x:v>EL100V2：11.34</x:v>
      </x:c>
    </x:row>
    <x:row r="215" ht="18">
      <x:c r="A215" s="12" t="str">
        <x:v>873684283590</x:v>
      </x:c>
      <x:c r="B215" s="3" t="n">
        <x:v>30.19</x:v>
      </x:c>
      <x:c r="C215" s="5" t="n">
        <x:v>33.726</x:v>
      </x:c>
      <x:c r="D215" s="5" t="n">
        <x:f>C215-B215</x:f>
        <x:v>3.535999999999998</x:v>
      </x:c>
      <x:c r="E215" t="str">
        <x:v>AC180</x:v>
      </x:c>
      <x:c r="F215" t="str">
        <x:v>已匹配</x:v>
      </x:c>
      <x:c r="G215" t="str">
        <x:v>AC1802438001442972</x:v>
      </x:c>
      <x:c r="H215" t="str">
        <x:v>LOG-SRL26063100</x:v>
      </x:c>
      <x:c r="I215" s="16" t="n">
        <x:v>19</x:v>
      </x:c>
      <x:c r="J215" s="16" t="n">
        <x:v>18</x:v>
      </x:c>
      <x:c r="K215" s="16" t="n">
        <x:v>15</x:v>
      </x:c>
      <x:c r="L215" s="19" t="n">
        <x:v>42.8</x:v>
      </x:c>
      <x:c r="M215" t="str">
        <x:v>lb</x:v>
      </x:c>
      <x:c r="N215" s="19" t="n">
        <x:v>43</x:v>
      </x:c>
      <x:c r="O215" t="str">
        <x:v>lb</x:v>
      </x:c>
      <x:c r="P215" s="19" t="n">
        <x:v>37.98564777445441</x:v>
      </x:c>
      <x:c r="Q215" t="str">
        <x:v>lb</x:v>
      </x:c>
      <x:c r="R215" t="str">
        <x:v>NC</x:v>
      </x:c>
      <x:c r="S215" t="str">
        <x:v>FUQUAY VARINA</x:v>
      </x:c>
      <x:c r="T215" t="str">
        <x:v>NJ</x:v>
      </x:c>
      <x:c r="U215" t="str">
        <x:v>NEW BRUNSWICK</x:v>
      </x:c>
      <x:c r="V215" t="str">
        <x:v>已匹配</x:v>
      </x:c>
      <x:c r="W215" s="16" t="n">
        <x:v>17.237</x:v>
      </x:c>
      <x:c r="X215" s="17" t="str">
        <x:v>AC180：17.237</x:v>
      </x:c>
    </x:row>
    <x:row r="216" ht="18">
      <x:c r="A216" s="12" t="str">
        <x:v>874770576523</x:v>
      </x:c>
      <x:c r="B216" s="3" t="n">
        <x:v>74.1</x:v>
      </x:c>
      <x:c r="C216" s="5" t="n">
        <x:v>77.627</x:v>
      </x:c>
      <x:c r="D216" s="5" t="n">
        <x:f>C216-B216</x:f>
        <x:v>3.527000000000001</x:v>
      </x:c>
      <x:c r="E216" t="str">
        <x:v>AC200L</x:v>
      </x:c>
      <x:c r="F216" t="str">
        <x:v>已匹配</x:v>
      </x:c>
      <x:c r="G216" t="str">
        <x:v>AC200L2439001729599</x:v>
      </x:c>
      <x:c r="H216" t="str">
        <x:v>LOG-SRL26073837</x:v>
      </x:c>
      <x:c r="I216" s="16" t="n">
        <x:v>21</x:v>
      </x:c>
      <x:c r="J216" s="16" t="n">
        <x:v>21</x:v>
      </x:c>
      <x:c r="K216" s="16" t="n">
        <x:v>16</x:v>
      </x:c>
      <x:c r="L216" s="19" t="n">
        <x:v>68.2</x:v>
      </x:c>
      <x:c r="M216" t="str">
        <x:v>lb</x:v>
      </x:c>
      <x:c r="N216" s="19" t="n">
        <x:v>69</x:v>
      </x:c>
      <x:c r="O216" t="str">
        <x:v>lb</x:v>
      </x:c>
      <x:c r="P216" s="19" t="n">
        <x:v>62.390820198320355</x:v>
      </x:c>
      <x:c r="Q216" t="str">
        <x:v>lb</x:v>
      </x:c>
      <x:c r="R216" t="str">
        <x:v>SC</x:v>
      </x:c>
      <x:c r="S216" t="str">
        <x:v>CONWAY</x:v>
      </x:c>
      <x:c r="T216" t="str">
        <x:v>NJ</x:v>
      </x:c>
      <x:c r="U216" t="str">
        <x:v>NEW BRUNSWICK</x:v>
      </x:c>
      <x:c r="V216" t="str">
        <x:v>已匹配</x:v>
      </x:c>
      <x:c r="W216" s="16" t="n">
        <x:v>1</x:v>
      </x:c>
      <x:c r="X216" s="17" t="str">
        <x:v>商品名称为空：1</x:v>
      </x:c>
    </x:row>
    <x:row r="217" ht="18">
      <x:c r="A217" s="12" t="str">
        <x:v>874652959380</x:v>
      </x:c>
      <x:c r="B217" s="3" t="n">
        <x:v>35.65</x:v>
      </x:c>
      <x:c r="C217" s="5" t="n">
        <x:v>39.149</x:v>
      </x:c>
      <x:c r="D217" s="5" t="n">
        <x:f>C217-B217</x:f>
        <x:v>3.4990000000000023</x:v>
      </x:c>
      <x:c r="E217" t="str">
        <x:v>AC180</x:v>
      </x:c>
      <x:c r="F217" t="str">
        <x:v>已匹配</x:v>
      </x:c>
      <x:c r="G217" t="str">
        <x:v>AC1802432000825829</x:v>
      </x:c>
      <x:c r="H217" t="str">
        <x:v>LOG-CRP26073289</x:v>
      </x:c>
      <x:c r="I217" s="16"/>
      <x:c r="J217" s="16"/>
      <x:c r="K217" s="16"/>
      <x:c r="L217" s="19"/>
      <x:c r="M217"/>
      <x:c r="N217" s="19"/>
      <x:c r="O217"/>
      <x:c r="P217" s="19"/>
      <x:c r="Q217"/>
      <x:c r="R217"/>
      <x:c r="S217"/>
      <x:c r="T217"/>
      <x:c r="U217"/>
      <x:c r="V217" t="str">
        <x:v>未匹配</x:v>
      </x:c>
      <x:c r="W217" s="16" t="n">
        <x:v>0</x:v>
      </x:c>
      <x:c r="X217" s="17" t="str">
        <x:v>AC180：0</x:v>
      </x:c>
    </x:row>
    <x:row r="218" ht="18">
      <x:c r="A218" s="12" t="str">
        <x:v>874587773324</x:v>
      </x:c>
      <x:c r="B218" s="3" t="n">
        <x:v>30.19</x:v>
      </x:c>
      <x:c r="C218" s="5" t="n">
        <x:v>33.671</x:v>
      </x:c>
      <x:c r="D218" s="5" t="n">
        <x:f>C218-B218</x:f>
        <x:v>3.480999999999998</x:v>
      </x:c>
      <x:c r="E218" t="str">
        <x:v>AC180</x:v>
      </x:c>
      <x:c r="F218" t="str">
        <x:v>已匹配</x:v>
      </x:c>
      <x:c r="G218" t="str">
        <x:v>AC1802529000731298</x:v>
      </x:c>
      <x:c r="H218" t="str">
        <x:v>LOG-SRL26073048</x:v>
      </x:c>
      <x:c r="I218" s="16" t="n">
        <x:v>18</x:v>
      </x:c>
      <x:c r="J218" s="16" t="n">
        <x:v>17</x:v>
      </x:c>
      <x:c r="K218" s="16" t="n">
        <x:v>13</x:v>
      </x:c>
      <x:c r="L218" s="19" t="n">
        <x:v>41.7</x:v>
      </x:c>
      <x:c r="M218" t="str">
        <x:v>lb</x:v>
      </x:c>
      <x:c r="N218" s="19" t="n">
        <x:v>42</x:v>
      </x:c>
      <x:c r="O218" t="str">
        <x:v>lb</x:v>
      </x:c>
      <x:c r="P218" s="19" t="n">
        <x:v>37.98564777445441</x:v>
      </x:c>
      <x:c r="Q218" t="str">
        <x:v>lb</x:v>
      </x:c>
      <x:c r="R218" t="str">
        <x:v>SC</x:v>
      </x:c>
      <x:c r="S218" t="str">
        <x:v>COLUMBIA</x:v>
      </x:c>
      <x:c r="T218" t="str">
        <x:v>NJ</x:v>
      </x:c>
      <x:c r="U218" t="str">
        <x:v>NEW BRUNSWICK</x:v>
      </x:c>
      <x:c r="V218" t="str">
        <x:v>已匹配</x:v>
      </x:c>
      <x:c r="W218" s="16" t="n">
        <x:v>17.237</x:v>
      </x:c>
      <x:c r="X218" s="17" t="str">
        <x:v>AC180：17.237</x:v>
      </x:c>
    </x:row>
    <x:row r="219" ht="18">
      <x:c r="A219" s="12" t="str">
        <x:v>873857594738</x:v>
      </x:c>
      <x:c r="B219" s="3" t="n">
        <x:v>30.19</x:v>
      </x:c>
      <x:c r="C219" s="5" t="n">
        <x:v>33.671</x:v>
      </x:c>
      <x:c r="D219" s="5" t="n">
        <x:f>C219-B219</x:f>
        <x:v>3.480999999999998</x:v>
      </x:c>
      <x:c r="E219" t="str">
        <x:v>AC180</x:v>
      </x:c>
      <x:c r="F219" t="str">
        <x:v>已匹配</x:v>
      </x:c>
      <x:c r="G219" t="str">
        <x:v>AC1802520100618684</x:v>
      </x:c>
      <x:c r="H219" t="str">
        <x:v>LOG-SRL26070232</x:v>
      </x:c>
      <x:c r="I219" s="16" t="n">
        <x:v>19</x:v>
      </x:c>
      <x:c r="J219" s="16" t="n">
        <x:v>16</x:v>
      </x:c>
      <x:c r="K219" s="16" t="n">
        <x:v>13</x:v>
      </x:c>
      <x:c r="L219" s="19" t="n">
        <x:v>41.8</x:v>
      </x:c>
      <x:c r="M219" t="str">
        <x:v>lb</x:v>
      </x:c>
      <x:c r="N219" s="19" t="n">
        <x:v>42</x:v>
      </x:c>
      <x:c r="O219" t="str">
        <x:v>lb</x:v>
      </x:c>
      <x:c r="P219" s="19" t="n">
        <x:v>37.98564777445441</x:v>
      </x:c>
      <x:c r="Q219" t="str">
        <x:v>lb</x:v>
      </x:c>
      <x:c r="R219" t="str">
        <x:v>NC</x:v>
      </x:c>
      <x:c r="S219" t="str">
        <x:v>ASHEVILLE</x:v>
      </x:c>
      <x:c r="T219" t="str">
        <x:v>NJ</x:v>
      </x:c>
      <x:c r="U219" t="str">
        <x:v>NEW BRUNSWICK</x:v>
      </x:c>
      <x:c r="V219" t="str">
        <x:v>已匹配</x:v>
      </x:c>
      <x:c r="W219" s="16" t="n">
        <x:v>17.237</x:v>
      </x:c>
      <x:c r="X219" s="17" t="str">
        <x:v>AC180：17.237</x:v>
      </x:c>
    </x:row>
    <x:row r="220" ht="18">
      <x:c r="A220" s="12" t="str">
        <x:v>874085878859</x:v>
      </x:c>
      <x:c r="B220" s="3" t="n">
        <x:v>30.14</x:v>
      </x:c>
      <x:c r="C220" s="5" t="n">
        <x:v>33.605</x:v>
      </x:c>
      <x:c r="D220" s="5" t="n">
        <x:f>C220-B220</x:f>
        <x:v>3.4649999999999963</x:v>
      </x:c>
      <x:c r="E220" t="str">
        <x:v>AC180</x:v>
      </x:c>
      <x:c r="F220" t="str">
        <x:v>已匹配</x:v>
      </x:c>
      <x:c r="G220" t="str">
        <x:v>AC1802534002776785</x:v>
      </x:c>
      <x:c r="H220" t="str">
        <x:v>LOG-SRD26070969</x:v>
      </x:c>
      <x:c r="I220" s="16" t="n">
        <x:v>18</x:v>
      </x:c>
      <x:c r="J220" s="16" t="n">
        <x:v>17</x:v>
      </x:c>
      <x:c r="K220" s="16" t="n">
        <x:v>13</x:v>
      </x:c>
      <x:c r="L220" s="19" t="n">
        <x:v>41.7</x:v>
      </x:c>
      <x:c r="M220" t="str">
        <x:v>lb</x:v>
      </x:c>
      <x:c r="N220" s="19" t="n">
        <x:v>42</x:v>
      </x:c>
      <x:c r="O220" t="str">
        <x:v>lb</x:v>
      </x:c>
      <x:c r="P220" s="19" t="n">
        <x:v>37.98564777445441</x:v>
      </x:c>
      <x:c r="Q220" t="str">
        <x:v>lb</x:v>
      </x:c>
      <x:c r="R220" t="str">
        <x:v>NC</x:v>
      </x:c>
      <x:c r="S220" t="str">
        <x:v>CHARLOTTE</x:v>
      </x:c>
      <x:c r="T220" t="str">
        <x:v>NJ</x:v>
      </x:c>
      <x:c r="U220" t="str">
        <x:v>NEW BRUNSWICK</x:v>
      </x:c>
      <x:c r="V220" t="str">
        <x:v>已匹配</x:v>
      </x:c>
      <x:c r="W220" s="16" t="n">
        <x:v>17.237</x:v>
      </x:c>
      <x:c r="X220" s="17" t="str">
        <x:v>AC180：17.237</x:v>
      </x:c>
    </x:row>
    <x:row r="221" ht="18">
      <x:c r="A221" s="12" t="str">
        <x:v>873682371233</x:v>
      </x:c>
      <x:c r="B221" s="3" t="n">
        <x:v>29.94</x:v>
      </x:c>
      <x:c r="C221" s="5" t="n">
        <x:v>33.385</x:v>
      </x:c>
      <x:c r="D221" s="5" t="n">
        <x:f>C221-B221</x:f>
        <x:v>3.4449999999999967</x:v>
      </x:c>
      <x:c r="E221" t="str">
        <x:v>AC70</x:v>
      </x:c>
      <x:c r="F221" t="str">
        <x:v>已匹配</x:v>
      </x:c>
      <x:c r="G221" t="str">
        <x:v>AC702337000393011</x:v>
      </x:c>
      <x:c r="H221" t="str">
        <x:v>LOG-CRP26063084</x:v>
      </x:c>
      <x:c r="I221" s="16" t="n">
        <x:v>16</x:v>
      </x:c>
      <x:c r="J221" s="16" t="n">
        <x:v>16</x:v>
      </x:c>
      <x:c r="K221" s="16" t="n">
        <x:v>12</x:v>
      </x:c>
      <x:c r="L221" s="19" t="n">
        <x:v>26.1</x:v>
      </x:c>
      <x:c r="M221" t="str">
        <x:v>lb</x:v>
      </x:c>
      <x:c r="N221" s="19" t="n">
        <x:v>26</x:v>
      </x:c>
      <x:c r="O221" t="str">
        <x:v>lb</x:v>
      </x:c>
      <x:c r="P221" s="19" t="n">
        <x:v>22.99421394588273</x:v>
      </x:c>
      <x:c r="Q221" t="str">
        <x:v>lb</x:v>
      </x:c>
      <x:c r="R221" t="str">
        <x:v>LA</x:v>
      </x:c>
      <x:c r="S221" t="str">
        <x:v>METAIRIE</x:v>
      </x:c>
      <x:c r="T221" t="str">
        <x:v>NJ</x:v>
      </x:c>
      <x:c r="U221" t="str">
        <x:v>NEW BRUNSWICK</x:v>
      </x:c>
      <x:c r="V221" t="str">
        <x:v>已匹配</x:v>
      </x:c>
      <x:c r="W221" s="16" t="n">
        <x:v>10.433</x:v>
      </x:c>
      <x:c r="X221" s="17" t="str">
        <x:v>AC70：10.433</x:v>
      </x:c>
    </x:row>
    <x:row r="222" ht="18">
      <x:c r="A222" s="12" t="str">
        <x:v>874352788599</x:v>
      </x:c>
      <x:c r="B222" s="3" t="n">
        <x:v>28.91</x:v>
      </x:c>
      <x:c r="C222" s="5" t="n">
        <x:v>32.351</x:v>
      </x:c>
      <x:c r="D222" s="5" t="n">
        <x:f>C222-B222</x:f>
        <x:v>3.440999999999999</x:v>
      </x:c>
      <x:c r="E222" t="str">
        <x:v>AC180</x:v>
      </x:c>
      <x:c r="F222" t="str">
        <x:v>已匹配</x:v>
      </x:c>
      <x:c r="G222" t="str">
        <x:v>AC1802435001578484</x:v>
      </x:c>
      <x:c r="H222" t="str">
        <x:v>LOG-CRP26072140</x:v>
      </x:c>
      <x:c r="I222" s="16" t="n">
        <x:v>19</x:v>
      </x:c>
      <x:c r="J222" s="16" t="n">
        <x:v>17</x:v>
      </x:c>
      <x:c r="K222" s="16" t="n">
        <x:v>12</x:v>
      </x:c>
      <x:c r="L222" s="19" t="n">
        <x:v>40.3</x:v>
      </x:c>
      <x:c r="M222" t="str">
        <x:v>lb</x:v>
      </x:c>
      <x:c r="N222" s="19" t="n">
        <x:v>41</x:v>
      </x:c>
      <x:c r="O222" t="str">
        <x:v>lb</x:v>
      </x:c>
      <x:c r="P222" s="19" t="n">
        <x:v>35.27396194958041</x:v>
      </x:c>
      <x:c r="Q222" t="str">
        <x:v>lb</x:v>
      </x:c>
      <x:c r="R222" t="str">
        <x:v>ME</x:v>
      </x:c>
      <x:c r="S222" t="str">
        <x:v>UNION</x:v>
      </x:c>
      <x:c r="T222" t="str">
        <x:v>NJ</x:v>
      </x:c>
      <x:c r="U222" t="str">
        <x:v>NEW BRUNSWICK</x:v>
      </x:c>
      <x:c r="V222" t="str">
        <x:v>已匹配</x:v>
      </x:c>
      <x:c r="W222" s="16" t="n">
        <x:v>1</x:v>
      </x:c>
      <x:c r="X222" s="17" t="str">
        <x:v>AC180：1</x:v>
      </x:c>
    </x:row>
    <x:row r="223" ht="18">
      <x:c r="A223" s="12" t="str">
        <x:v>873597902928</x:v>
      </x:c>
      <x:c r="B223" s="3" t="n">
        <x:v>30.26</x:v>
      </x:c>
      <x:c r="C223" s="5" t="n">
        <x:v>33.671</x:v>
      </x:c>
      <x:c r="D223" s="5" t="n">
        <x:f>C223-B223</x:f>
        <x:v>3.410999999999998</x:v>
      </x:c>
      <x:c r="E223" t="str">
        <x:v>AC180</x:v>
      </x:c>
      <x:c r="F223" t="str">
        <x:v>已匹配</x:v>
      </x:c>
      <x:c r="G223" t="str">
        <x:v>AC1802435001053047</x:v>
      </x:c>
      <x:c r="H223" t="str">
        <x:v>LOG-SRL26062850</x:v>
      </x:c>
      <x:c r="I223" s="16" t="n">
        <x:v>19</x:v>
      </x:c>
      <x:c r="J223" s="16" t="n">
        <x:v>17</x:v>
      </x:c>
      <x:c r="K223" s="16" t="n">
        <x:v>13</x:v>
      </x:c>
      <x:c r="L223" s="19" t="n">
        <x:v>41.9</x:v>
      </x:c>
      <x:c r="M223" t="str">
        <x:v>lb</x:v>
      </x:c>
      <x:c r="N223" s="19" t="n">
        <x:v>42</x:v>
      </x:c>
      <x:c r="O223" t="str">
        <x:v>lb</x:v>
      </x:c>
      <x:c r="P223" s="19" t="n">
        <x:v>37.98564777445441</x:v>
      </x:c>
      <x:c r="Q223" t="str">
        <x:v>lb</x:v>
      </x:c>
      <x:c r="R223" t="str">
        <x:v>ME</x:v>
      </x:c>
      <x:c r="S223" t="str">
        <x:v>WINTHROP</x:v>
      </x:c>
      <x:c r="T223" t="str">
        <x:v>NJ</x:v>
      </x:c>
      <x:c r="U223" t="str">
        <x:v>NEW BRUNSWICK</x:v>
      </x:c>
      <x:c r="V223" t="str">
        <x:v>已匹配</x:v>
      </x:c>
      <x:c r="W223" s="16" t="n">
        <x:v>17.237</x:v>
      </x:c>
      <x:c r="X223" s="17" t="str">
        <x:v>AC180：17.237</x:v>
      </x:c>
    </x:row>
    <x:row r="224" ht="18">
      <x:c r="A224" s="12" t="str">
        <x:v>873964145814</x:v>
      </x:c>
      <x:c r="B224" s="3" t="n">
        <x:v>21.73</x:v>
      </x:c>
      <x:c r="C224" s="5" t="n">
        <x:v>25.135</x:v>
      </x:c>
      <x:c r="D224" s="5" t="n">
        <x:f>C224-B224</x:f>
        <x:v>3.405000000000001</x:v>
      </x:c>
      <x:c r="E224" t="str">
        <x:v>EL100V2</x:v>
      </x:c>
      <x:c r="F224" t="str">
        <x:v>已匹配</x:v>
      </x:c>
      <x:c r="G224" t="str">
        <x:v>EL100V22527005746151</x:v>
      </x:c>
      <x:c r="H224" t="str">
        <x:v>LOG-SRL26070820</x:v>
      </x:c>
      <x:c r="I224" s="16" t="n">
        <x:v>27</x:v>
      </x:c>
      <x:c r="J224" s="16" t="n">
        <x:v>19</x:v>
      </x:c>
      <x:c r="K224" s="16" t="n">
        <x:v>19</x:v>
      </x:c>
      <x:c r="L224" s="19"/>
      <x:c r="M224"/>
      <x:c r="N224" s="19" t="n">
        <x:v>59</x:v>
      </x:c>
      <x:c r="O224" t="str">
        <x:v>lb</x:v>
      </x:c>
      <x:c r="P224" s="19" t="n">
        <x:v>37.98564777445441</x:v>
      </x:c>
      <x:c r="Q224" t="str">
        <x:v>lb</x:v>
      </x:c>
      <x:c r="R224" t="str">
        <x:v>NJ</x:v>
      </x:c>
      <x:c r="S224" t="str">
        <x:v>WHITEHOUSE STATION</x:v>
      </x:c>
      <x:c r="T224" t="str">
        <x:v>NJ</x:v>
      </x:c>
      <x:c r="U224" t="str">
        <x:v>NEW BRUNSWICK</x:v>
      </x:c>
      <x:c r="V224" t="str">
        <x:v>已匹配</x:v>
      </x:c>
      <x:c r="W224" s="16" t="n">
        <x:v>17.237</x:v>
      </x:c>
      <x:c r="X224" s="17" t="str">
        <x:v>AC180：17.237</x:v>
      </x:c>
    </x:row>
    <x:row r="225" ht="18">
      <x:c r="A225" s="12" t="str">
        <x:v>873354490358</x:v>
      </x:c>
      <x:c r="B225" s="3" t="n">
        <x:v>20.78</x:v>
      </x:c>
      <x:c r="C225" s="5" t="n">
        <x:v>24.134</x:v>
      </x:c>
      <x:c r="D225" s="5" t="n">
        <x:f>C225-B225</x:f>
        <x:v>3.353999999999999</x:v>
      </x:c>
      <x:c r="E225" t="str">
        <x:v>AC70</x:v>
      </x:c>
      <x:c r="F225" t="str">
        <x:v>已匹配</x:v>
      </x:c>
      <x:c r="G225" t="str">
        <x:v>AC702540000057568</x:v>
      </x:c>
      <x:c r="H225" t="str">
        <x:v>LOG-SRD26062106</x:v>
      </x:c>
      <x:c r="I225" s="16" t="n">
        <x:v>16</x:v>
      </x:c>
      <x:c r="J225" s="16" t="n">
        <x:v>15</x:v>
      </x:c>
      <x:c r="K225" s="16" t="n">
        <x:v>12</x:v>
      </x:c>
      <x:c r="L225" s="19" t="n">
        <x:v>27.1</x:v>
      </x:c>
      <x:c r="M225" t="str">
        <x:v>lb</x:v>
      </x:c>
      <x:c r="N225" s="19" t="n">
        <x:v>28</x:v>
      </x:c>
      <x:c r="O225" t="str">
        <x:v>lb</x:v>
      </x:c>
      <x:c r="P225" s="19" t="n">
        <x:v>22.487150742857512</x:v>
      </x:c>
      <x:c r="Q225" t="str">
        <x:v>lb</x:v>
      </x:c>
      <x:c r="R225" t="str">
        <x:v>NC</x:v>
      </x:c>
      <x:c r="S225" t="str">
        <x:v>WENDELL</x:v>
      </x:c>
      <x:c r="T225" t="str">
        <x:v>NJ</x:v>
      </x:c>
      <x:c r="U225" t="str">
        <x:v>NEW BRUNSWICK</x:v>
      </x:c>
      <x:c r="V225" t="str">
        <x:v>已匹配</x:v>
      </x:c>
      <x:c r="W225" s="16" t="n">
        <x:v>1</x:v>
      </x:c>
      <x:c r="X225" s="17" t="str">
        <x:v>AC70：1</x:v>
      </x:c>
    </x:row>
    <x:row r="226" ht="18">
      <x:c r="A226" s="12" t="str">
        <x:v>873243276841</x:v>
      </x:c>
      <x:c r="B226" s="3" t="n">
        <x:v>29.14</x:v>
      </x:c>
      <x:c r="C226" s="5" t="n">
        <x:v>32.483</x:v>
      </x:c>
      <x:c r="D226" s="5" t="n">
        <x:f>C226-B226</x:f>
        <x:v>3.3429999999999964</x:v>
      </x:c>
      <x:c r="E226" t="str">
        <x:v>AC180</x:v>
      </x:c>
      <x:c r="F226" t="str">
        <x:v>已匹配</x:v>
      </x:c>
      <x:c r="G226" t="str">
        <x:v>AC1802538000767268</x:v>
      </x:c>
      <x:c r="H226" t="str">
        <x:v>LOG-SRD26062002</x:v>
      </x:c>
      <x:c r="I226" s="16" t="n">
        <x:v>24</x:v>
      </x:c>
      <x:c r="J226" s="16" t="n">
        <x:v>16</x:v>
      </x:c>
      <x:c r="K226" s="16" t="n">
        <x:v>16</x:v>
      </x:c>
      <x:c r="L226" s="19" t="n">
        <x:v>40.6</x:v>
      </x:c>
      <x:c r="M226" t="str">
        <x:v>lb</x:v>
      </x:c>
      <x:c r="N226" s="19" t="n">
        <x:v>41</x:v>
      </x:c>
      <x:c r="O226" t="str">
        <x:v>lb</x:v>
      </x:c>
      <x:c r="P226" s="19" t="n">
        <x:v>35.27396194958041</x:v>
      </x:c>
      <x:c r="Q226" t="str">
        <x:v>lb</x:v>
      </x:c>
      <x:c r="R226" t="str">
        <x:v>OH</x:v>
      </x:c>
      <x:c r="S226" t="str">
        <x:v>LANCASTER</x:v>
      </x:c>
      <x:c r="T226" t="str">
        <x:v>NJ</x:v>
      </x:c>
      <x:c r="U226" t="str">
        <x:v>NEW BRUNSWICK</x:v>
      </x:c>
      <x:c r="V226" t="str">
        <x:v>已匹配</x:v>
      </x:c>
      <x:c r="W226" s="16" t="n">
        <x:v>1</x:v>
      </x:c>
      <x:c r="X226" s="17" t="str">
        <x:v>AC180：1</x:v>
      </x:c>
    </x:row>
    <x:row r="227" ht="18">
      <x:c r="A227" s="12" t="str">
        <x:v>873651295526</x:v>
      </x:c>
      <x:c r="B227" s="3" t="n">
        <x:v>85.85</x:v>
      </x:c>
      <x:c r="C227" s="5" t="n">
        <x:v>89.166</x:v>
      </x:c>
      <x:c r="D227" s="5" t="n">
        <x:f>C227-B227</x:f>
        <x:v>3.3160000000000025</x:v>
      </x:c>
      <x:c r="E227" t="str">
        <x:v>EL300</x:v>
      </x:c>
      <x:c r="F227" t="str">
        <x:v>已匹配</x:v>
      </x:c>
      <x:c r="G227" t="str">
        <x:v>EL3002613132466776</x:v>
      </x:c>
      <x:c r="H227" t="str">
        <x:v>LOG-SRD26070406</x:v>
      </x:c>
      <x:c r="I227" s="16" t="n">
        <x:v>20</x:v>
      </x:c>
      <x:c r="J227" s="16" t="n">
        <x:v>16</x:v>
      </x:c>
      <x:c r="K227" s="16" t="n">
        <x:v>16</x:v>
      </x:c>
      <x:c r="L227" s="19" t="n">
        <x:v>66.2</x:v>
      </x:c>
      <x:c r="M227" t="str">
        <x:v>lb</x:v>
      </x:c>
      <x:c r="N227" s="19" t="n">
        <x:v>67</x:v>
      </x:c>
      <x:c r="O227" t="str">
        <x:v>lb</x:v>
      </x:c>
      <x:c r="P227" s="19" t="n">
        <x:v>57.95952872840431</x:v>
      </x:c>
      <x:c r="Q227" t="str">
        <x:v>lb</x:v>
      </x:c>
      <x:c r="R227" t="str">
        <x:v>FL</x:v>
      </x:c>
      <x:c r="S227" t="str">
        <x:v>BOCA RATON</x:v>
      </x:c>
      <x:c r="T227" t="str">
        <x:v>NJ</x:v>
      </x:c>
      <x:c r="U227" t="str">
        <x:v>NEW BRUNSWICK</x:v>
      </x:c>
      <x:c r="V227" t="str">
        <x:v>已匹配</x:v>
      </x:c>
      <x:c r="W227" s="16" t="n">
        <x:v>0</x:v>
      </x:c>
      <x:c r="X227" s="17" t="str">
        <x:v>Elite 300：0</x:v>
      </x:c>
    </x:row>
    <x:row r="228" ht="18">
      <x:c r="A228" s="12" t="str">
        <x:v>875132753001</x:v>
      </x:c>
      <x:c r="B228" s="3" t="n">
        <x:v>72.1</x:v>
      </x:c>
      <x:c r="C228" s="5" t="n">
        <x:v>75.35</x:v>
      </x:c>
      <x:c r="D228" s="5" t="n">
        <x:f>C228-B228</x:f>
        <x:v>3.25</x:v>
      </x:c>
      <x:c r="E228" t="str">
        <x:v>EL300</x:v>
      </x:c>
      <x:c r="F228" t="str">
        <x:v>已匹配</x:v>
      </x:c>
      <x:c r="G228" t="str">
        <x:v>EL3002609135922544</x:v>
      </x:c>
      <x:c r="H228" t="str">
        <x:v>LOG-SRL26074983</x:v>
      </x:c>
      <x:c r="I228" s="16"/>
      <x:c r="J228" s="16"/>
      <x:c r="K228" s="16"/>
      <x:c r="L228" s="19"/>
      <x:c r="M228"/>
      <x:c r="N228" s="19"/>
      <x:c r="O228"/>
      <x:c r="P228" s="19"/>
      <x:c r="Q228"/>
      <x:c r="R228"/>
      <x:c r="S228"/>
      <x:c r="T228"/>
      <x:c r="U228"/>
      <x:c r="V228" t="str">
        <x:v>未匹配</x:v>
      </x:c>
      <x:c r="W228" s="16" t="n">
        <x:v>26.308</x:v>
      </x:c>
      <x:c r="X228" s="17" t="str">
        <x:v>EL300：26.308</x:v>
      </x:c>
    </x:row>
    <x:row r="229" ht="18">
      <x:c r="A229" s="12" t="str">
        <x:v>873109424680</x:v>
      </x:c>
      <x:c r="B229" s="3" t="n">
        <x:v>25.3</x:v>
      </x:c>
      <x:c r="C229" s="5" t="n">
        <x:v>28.536</x:v>
      </x:c>
      <x:c r="D229" s="5" t="n">
        <x:f>C229-B229</x:f>
        <x:v>3.2360000000000007</x:v>
      </x:c>
      <x:c r="E229"/>
      <x:c r="F229" t="str">
        <x:v>未匹配</x:v>
      </x:c>
      <x:c r="G229"/>
      <x:c r="H229"/>
      <x:c r="I229" s="16" t="n">
        <x:v>41</x:v>
      </x:c>
      <x:c r="J229" s="16" t="n">
        <x:v>41</x:v>
      </x:c>
      <x:c r="K229" s="16" t="n">
        <x:v>30</x:v>
      </x:c>
      <x:c r="L229" s="19" t="n">
        <x:v>29.7</x:v>
      </x:c>
      <x:c r="M229" t="str">
        <x:v>lb</x:v>
      </x:c>
      <x:c r="N229" s="19" t="n">
        <x:v>30</x:v>
      </x:c>
      <x:c r="O229" t="str">
        <x:v>lb</x:v>
      </x:c>
      <x:c r="P229" s="19" t="n">
        <x:v>20.988007360000342</x:v>
      </x:c>
      <x:c r="Q229" t="str">
        <x:v>lb</x:v>
      </x:c>
      <x:c r="R229" t="str">
        <x:v>NJ</x:v>
      </x:c>
      <x:c r="S229" t="str">
        <x:v>NEW BRUNSWICK</x:v>
      </x:c>
      <x:c r="T229" t="str">
        <x:v>MA</x:v>
      </x:c>
      <x:c r="U229" t="str">
        <x:v>EAST LONGMEADOW</x:v>
      </x:c>
      <x:c r="V229" t="str">
        <x:v>已匹配</x:v>
      </x:c>
      <x:c r="W229" s="16"/>
      <x:c r="X229" s="17"/>
    </x:row>
    <x:row r="230" ht="18">
      <x:c r="A230" s="12" t="str">
        <x:v>873354707385</x:v>
      </x:c>
      <x:c r="B230" s="3" t="n">
        <x:v>85.85</x:v>
      </x:c>
      <x:c r="C230" s="5" t="n">
        <x:v>89.045</x:v>
      </x:c>
      <x:c r="D230" s="5" t="n">
        <x:f>C230-B230</x:f>
        <x:v>3.1950000000000074</x:v>
      </x:c>
      <x:c r="E230" t="str">
        <x:v>EL300</x:v>
      </x:c>
      <x:c r="F230" t="str">
        <x:v>已匹配</x:v>
      </x:c>
      <x:c r="G230" t="str">
        <x:v>EL3002613132581421</x:v>
      </x:c>
      <x:c r="H230" t="str">
        <x:v>LOG-SRD26062350</x:v>
      </x:c>
      <x:c r="I230" s="16" t="n">
        <x:v>20</x:v>
      </x:c>
      <x:c r="J230" s="16" t="n">
        <x:v>19</x:v>
      </x:c>
      <x:c r="K230" s="16" t="n">
        <x:v>17</x:v>
      </x:c>
      <x:c r="L230" s="19" t="n">
        <x:v>62.3</x:v>
      </x:c>
      <x:c r="M230" t="str">
        <x:v>lb</x:v>
      </x:c>
      <x:c r="N230" s="19" t="n">
        <x:v>63</x:v>
      </x:c>
      <x:c r="O230" t="str">
        <x:v>lb</x:v>
      </x:c>
      <x:c r="P230" s="19" t="n">
        <x:v>57.9815749546228</x:v>
      </x:c>
      <x:c r="Q230" t="str">
        <x:v>lb</x:v>
      </x:c>
      <x:c r="R230" t="str">
        <x:v>GA</x:v>
      </x:c>
      <x:c r="S230" t="str">
        <x:v>BRUNSWICK</x:v>
      </x:c>
      <x:c r="T230" t="str">
        <x:v>NJ</x:v>
      </x:c>
      <x:c r="U230" t="str">
        <x:v>NEW BRUNSWICK</x:v>
      </x:c>
      <x:c r="V230" t="str">
        <x:v>已匹配</x:v>
      </x:c>
      <x:c r="W230" s="16" t="n">
        <x:v>26.308</x:v>
      </x:c>
      <x:c r="X230" s="17" t="str">
        <x:v>ELITE300：26.308</x:v>
      </x:c>
    </x:row>
    <x:row r="231" ht="18">
      <x:c r="A231" s="12" t="str">
        <x:v>873679799079</x:v>
      </x:c>
      <x:c r="B231" s="3" t="n">
        <x:v>22.63</x:v>
      </x:c>
      <x:c r="C231" s="5" t="n">
        <x:v>25.806</x:v>
      </x:c>
      <x:c r="D231" s="5" t="n">
        <x:f>C231-B231</x:f>
        <x:v>3.176000000000002</x:v>
      </x:c>
      <x:c r="E231" t="str">
        <x:v>EL100V2</x:v>
      </x:c>
      <x:c r="F231" t="str">
        <x:v>已匹配</x:v>
      </x:c>
      <x:c r="G231" t="str">
        <x:v>EL100V22541000218106</x:v>
      </x:c>
      <x:c r="H231" t="str">
        <x:v>LOG-SRL26063064</x:v>
      </x:c>
      <x:c r="I231" s="16" t="n">
        <x:v>21</x:v>
      </x:c>
      <x:c r="J231" s="16" t="n">
        <x:v>14</x:v>
      </x:c>
      <x:c r="K231" s="16" t="n">
        <x:v>11</x:v>
      </x:c>
      <x:c r="L231" s="19" t="n">
        <x:v>31.2</x:v>
      </x:c>
      <x:c r="M231" t="str">
        <x:v>lb</x:v>
      </x:c>
      <x:c r="N231" s="19" t="n">
        <x:v>32</x:v>
      </x:c>
      <x:c r="O231" t="str">
        <x:v>lb</x:v>
      </x:c>
      <x:c r="P231" s="19" t="n">
        <x:v>25.35316015126092</x:v>
      </x:c>
      <x:c r="Q231" t="str">
        <x:v>lb</x:v>
      </x:c>
      <x:c r="R231" t="str">
        <x:v>MI</x:v>
      </x:c>
      <x:c r="S231" t="str">
        <x:v>ANN ARBOR</x:v>
      </x:c>
      <x:c r="T231" t="str">
        <x:v>NJ</x:v>
      </x:c>
      <x:c r="U231" t="str">
        <x:v>NEW BRUNSWICK</x:v>
      </x:c>
      <x:c r="V231" t="str">
        <x:v>已匹配</x:v>
      </x:c>
      <x:c r="W231" s="16" t="n">
        <x:v>1</x:v>
      </x:c>
      <x:c r="X231" s="17" t="str">
        <x:v>Elite 100 V2：1</x:v>
      </x:c>
    </x:row>
    <x:row r="232" ht="18">
      <x:c r="A232" s="12" t="str">
        <x:v>874970642534</x:v>
      </x:c>
      <x:c r="B232" s="3" t="n">
        <x:v>29.38</x:v>
      </x:c>
      <x:c r="C232" s="5" t="n">
        <x:v>32.549</x:v>
      </x:c>
      <x:c r="D232" s="5" t="n">
        <x:f>C232-B232</x:f>
        <x:v>3.1690000000000005</x:v>
      </x:c>
      <x:c r="E232"/>
      <x:c r="F232" t="str">
        <x:v>未匹配</x:v>
      </x:c>
      <x:c r="G232"/>
      <x:c r="H232"/>
      <x:c r="I232" s="16"/>
      <x:c r="J232" s="16"/>
      <x:c r="K232" s="16"/>
      <x:c r="L232" s="19"/>
      <x:c r="M232"/>
      <x:c r="N232" s="19"/>
      <x:c r="O232"/>
      <x:c r="P232" s="19"/>
      <x:c r="Q232"/>
      <x:c r="R232"/>
      <x:c r="S232"/>
      <x:c r="T232"/>
      <x:c r="U232"/>
      <x:c r="V232" t="str">
        <x:v>未匹配</x:v>
      </x:c>
      <x:c r="W232" s="16" t="n">
        <x:v>1</x:v>
      </x:c>
      <x:c r="X232" s="17" t="str">
        <x:v>商品名称为空：1</x:v>
      </x:c>
    </x:row>
    <x:row r="233" ht="18">
      <x:c r="A233" s="12" t="str">
        <x:v>874595143529</x:v>
      </x:c>
      <x:c r="B233" s="3" t="n">
        <x:v>20.24</x:v>
      </x:c>
      <x:c r="C233" s="5" t="n">
        <x:v>23.408</x:v>
      </x:c>
      <x:c r="D233" s="5" t="n">
        <x:f>C233-B233</x:f>
        <x:v>3.168000000000003</x:v>
      </x:c>
      <x:c r="E233" t="str">
        <x:v>EL100V2</x:v>
      </x:c>
      <x:c r="F233" t="str">
        <x:v>已匹配</x:v>
      </x:c>
      <x:c r="G233" t="str">
        <x:v>EL100V22523000172308</x:v>
      </x:c>
      <x:c r="H233" t="str">
        <x:v>LOG-SRL26073145</x:v>
      </x:c>
      <x:c r="I233" s="16" t="n">
        <x:v>18</x:v>
      </x:c>
      <x:c r="J233" s="16" t="n">
        <x:v>16</x:v>
      </x:c>
      <x:c r="K233" s="16" t="n">
        <x:v>15</x:v>
      </x:c>
      <x:c r="L233" s="19" t="n">
        <x:v>30.2</x:v>
      </x:c>
      <x:c r="M233" t="str">
        <x:v>lb</x:v>
      </x:c>
      <x:c r="N233" s="19" t="n">
        <x:v>31</x:v>
      </x:c>
      <x:c r="O233" t="str">
        <x:v>lb</x:v>
      </x:c>
      <x:c r="P233" s="19" t="n">
        <x:v>25.000420531765116</x:v>
      </x:c>
      <x:c r="Q233" t="str">
        <x:v>lb</x:v>
      </x:c>
      <x:c r="R233" t="str">
        <x:v>MA</x:v>
      </x:c>
      <x:c r="S233" t="str">
        <x:v>ORLEANS</x:v>
      </x:c>
      <x:c r="T233" t="str">
        <x:v>NJ</x:v>
      </x:c>
      <x:c r="U233" t="str">
        <x:v>NEW BRUNSWICK</x:v>
      </x:c>
      <x:c r="V233" t="str">
        <x:v>已匹配</x:v>
      </x:c>
      <x:c r="W233" s="16" t="n">
        <x:v>11.34</x:v>
      </x:c>
      <x:c r="X233" s="17" t="str">
        <x:v>EL100V2：11.34</x:v>
      </x:c>
    </x:row>
    <x:row r="234" ht="18">
      <x:c r="A234" s="12" t="str">
        <x:v>875079467174</x:v>
      </x:c>
      <x:c r="B234" s="3" t="n">
        <x:v>20.7</x:v>
      </x:c>
      <x:c r="C234" s="5" t="n">
        <x:v>23.848</x:v>
      </x:c>
      <x:c r="D234" s="5" t="n">
        <x:f>C234-B234</x:f>
        <x:v>3.1479999999999997</x:v>
      </x:c>
      <x:c r="E234" t="str">
        <x:v>AC50B</x:v>
      </x:c>
      <x:c r="F234" t="str">
        <x:v>已匹配</x:v>
      </x:c>
      <x:c r="G234" t="str">
        <x:v>AC50B2547231937934</x:v>
      </x:c>
      <x:c r="H234" t="str">
        <x:v>LOG-SRD26074792</x:v>
      </x:c>
      <x:c r="I234" s="16"/>
      <x:c r="J234" s="16"/>
      <x:c r="K234" s="16"/>
      <x:c r="L234" s="19"/>
      <x:c r="M234"/>
      <x:c r="N234" s="19"/>
      <x:c r="O234"/>
      <x:c r="P234" s="19"/>
      <x:c r="Q234"/>
      <x:c r="R234"/>
      <x:c r="S234"/>
      <x:c r="T234"/>
      <x:c r="U234"/>
      <x:c r="V234" t="str">
        <x:v>未匹配</x:v>
      </x:c>
      <x:c r="W234" s="16" t="n">
        <x:v>6.713</x:v>
      </x:c>
      <x:c r="X234" s="17" t="str">
        <x:v>AC50B：6.713</x:v>
      </x:c>
    </x:row>
    <x:row r="235" ht="18">
      <x:c r="A235" s="12" t="str">
        <x:v>874462330644</x:v>
      </x:c>
      <x:c r="B235" s="3" t="n">
        <x:v>26.2</x:v>
      </x:c>
      <x:c r="C235" s="5" t="n">
        <x:v>29.348</x:v>
      </x:c>
      <x:c r="D235" s="5" t="n">
        <x:f>C235-B235</x:f>
        <x:v>3.1479999999999997</x:v>
      </x:c>
      <x:c r="E235" t="str">
        <x:v>EL100V2</x:v>
      </x:c>
      <x:c r="F235" t="str">
        <x:v>已匹配</x:v>
      </x:c>
      <x:c r="G235" t="str">
        <x:v>EL100V22526090401572</x:v>
      </x:c>
      <x:c r="H235" t="str">
        <x:v>LOG-SRL26072582</x:v>
      </x:c>
      <x:c r="I235" s="16" t="n">
        <x:v>15</x:v>
      </x:c>
      <x:c r="J235" s="16" t="n">
        <x:v>14</x:v>
      </x:c>
      <x:c r="K235" s="16" t="n">
        <x:v>11</x:v>
      </x:c>
      <x:c r="L235" s="19" t="n">
        <x:v>28.2</x:v>
      </x:c>
      <x:c r="M235" t="str">
        <x:v>lb</x:v>
      </x:c>
      <x:c r="N235" s="19" t="n">
        <x:v>29</x:v>
      </x:c>
      <x:c r="O235" t="str">
        <x:v>lb</x:v>
      </x:c>
      <x:c r="P235" s="19" t="n">
        <x:v>25.000420531765116</x:v>
      </x:c>
      <x:c r="Q235" t="str">
        <x:v>lb</x:v>
      </x:c>
      <x:c r="R235" t="str">
        <x:v>MO</x:v>
      </x:c>
      <x:c r="S235" t="str">
        <x:v>BALLWIN</x:v>
      </x:c>
      <x:c r="T235" t="str">
        <x:v>NJ</x:v>
      </x:c>
      <x:c r="U235" t="str">
        <x:v>NEW BRUNSWICK</x:v>
      </x:c>
      <x:c r="V235" t="str">
        <x:v>已匹配</x:v>
      </x:c>
      <x:c r="W235" s="16" t="n">
        <x:v>11.34</x:v>
      </x:c>
      <x:c r="X235" s="17" t="str">
        <x:v>EL100V2：11.34</x:v>
      </x:c>
    </x:row>
    <x:row r="236" ht="18">
      <x:c r="A236" s="12" t="str">
        <x:v>873812786100</x:v>
      </x:c>
      <x:c r="B236" s="3" t="n">
        <x:v>46.82</x:v>
      </x:c>
      <x:c r="C236" s="5" t="n">
        <x:v>49.929</x:v>
      </x:c>
      <x:c r="D236" s="5" t="n">
        <x:f>C236-B236</x:f>
        <x:v>3.1090000000000018</x:v>
      </x:c>
      <x:c r="E236" t="str">
        <x:v>PV350</x:v>
      </x:c>
      <x:c r="F236" t="str">
        <x:v>已匹配</x:v>
      </x:c>
      <x:c r="G236" t="str">
        <x:v>DMM40-252PV35000242</x:v>
      </x:c>
      <x:c r="H236"/>
      <x:c r="I236" s="16" t="n">
        <x:v>39</x:v>
      </x:c>
      <x:c r="J236" s="16" t="n">
        <x:v>29</x:v>
      </x:c>
      <x:c r="K236" s="16" t="n">
        <x:v>5</x:v>
      </x:c>
      <x:c r="L236" s="19" t="n">
        <x:v>35.6</x:v>
      </x:c>
      <x:c r="M236" t="str">
        <x:v>lb</x:v>
      </x:c>
      <x:c r="N236" s="19" t="n">
        <x:v>40</x:v>
      </x:c>
      <x:c r="O236" t="str">
        <x:v>lb</x:v>
      </x:c>
      <x:c r="P236" s="19" t="n">
        <x:v>30.86471670588286</x:v>
      </x:c>
      <x:c r="Q236" t="str">
        <x:v>lb</x:v>
      </x:c>
      <x:c r="R236" t="str">
        <x:v>NY</x:v>
      </x:c>
      <x:c r="S236" t="str">
        <x:v>BALLSTON SPA</x:v>
      </x:c>
      <x:c r="T236" t="str">
        <x:v>NJ</x:v>
      </x:c>
      <x:c r="U236" t="str">
        <x:v>NEW BRUNSWICK</x:v>
      </x:c>
      <x:c r="V236" t="str">
        <x:v>已匹配</x:v>
      </x:c>
      <x:c r="W236" s="16" t="str">
        <x:v>14 / 14</x:v>
      </x:c>
      <x:c r="X236" s="17" t="str">
        <x:v>350W：14；350W：14</x:v>
      </x:c>
    </x:row>
    <x:row r="237" ht="18">
      <x:c r="A237" s="12" t="str">
        <x:v>873476103347</x:v>
      </x:c>
      <x:c r="B237" s="3" t="n">
        <x:v>31.56</x:v>
      </x:c>
      <x:c r="C237" s="5" t="n">
        <x:v>34.661</x:v>
      </x:c>
      <x:c r="D237" s="5" t="n">
        <x:f>C237-B237</x:f>
        <x:v>3.1010000000000026</x:v>
      </x:c>
      <x:c r="E237" t="str">
        <x:v>BC200</x:v>
      </x:c>
      <x:c r="F237" t="str">
        <x:v>已匹配</x:v>
      </x:c>
      <x:c r="G237" t="str">
        <x:v>BC2002603133742207</x:v>
      </x:c>
      <x:c r="H237" t="str">
        <x:v>LOG-SRL26062421</x:v>
      </x:c>
      <x:c r="I237" s="16" t="n">
        <x:v>29</x:v>
      </x:c>
      <x:c r="J237" s="16" t="n">
        <x:v>19</x:v>
      </x:c>
      <x:c r="K237" s="16" t="n">
        <x:v>7</x:v>
      </x:c>
      <x:c r="L237" s="19" t="n">
        <x:v>43.1</x:v>
      </x:c>
      <x:c r="M237" t="str">
        <x:v>lb</x:v>
      </x:c>
      <x:c r="N237" s="19" t="n">
        <x:v>44</x:v>
      </x:c>
      <x:c r="O237" t="str">
        <x:v>lb</x:v>
      </x:c>
      <x:c r="P237" s="19" t="n">
        <x:v>39.683207193277966</x:v>
      </x:c>
      <x:c r="Q237" t="str">
        <x:v>lb</x:v>
      </x:c>
      <x:c r="R237" t="str">
        <x:v>SC</x:v>
      </x:c>
      <x:c r="S237" t="str">
        <x:v>COLUMBIA</x:v>
      </x:c>
      <x:c r="T237" t="str">
        <x:v>NJ</x:v>
      </x:c>
      <x:c r="U237" t="str">
        <x:v>NEW BRUNSWICK</x:v>
      </x:c>
      <x:c r="V237" t="str">
        <x:v>已匹配</x:v>
      </x:c>
      <x:c r="W237" s="16" t="n">
        <x:v>18</x:v>
      </x:c>
      <x:c r="X237" s="17" t="str">
        <x:v>BlueCell 200：18</x:v>
      </x:c>
    </x:row>
    <x:row r="238" ht="18">
      <x:c r="A238" s="12" t="str">
        <x:v>873806431486</x:v>
      </x:c>
      <x:c r="B238" s="3" t="n">
        <x:v>26.25</x:v>
      </x:c>
      <x:c r="C238" s="5" t="n">
        <x:v>29.348</x:v>
      </x:c>
      <x:c r="D238" s="5" t="n">
        <x:f>C238-B238</x:f>
        <x:v>3.097999999999999</x:v>
      </x:c>
      <x:c r="E238" t="str">
        <x:v>EL100V2</x:v>
      </x:c>
      <x:c r="F238" t="str">
        <x:v>已匹配</x:v>
      </x:c>
      <x:c r="G238" t="str">
        <x:v>EL100V22541001516172</x:v>
      </x:c>
      <x:c r="H238" t="str">
        <x:v>LOG-SRL26070096</x:v>
      </x:c>
      <x:c r="I238" s="16" t="n">
        <x:v>15</x:v>
      </x:c>
      <x:c r="J238" s="16" t="n">
        <x:v>13</x:v>
      </x:c>
      <x:c r="K238" s="16" t="n">
        <x:v>11</x:v>
      </x:c>
      <x:c r="L238" s="19" t="n">
        <x:v>28.3</x:v>
      </x:c>
      <x:c r="M238" t="str">
        <x:v>lb</x:v>
      </x:c>
      <x:c r="N238" s="19" t="n">
        <x:v>29</x:v>
      </x:c>
      <x:c r="O238" t="str">
        <x:v>lb</x:v>
      </x:c>
      <x:c r="P238" s="19" t="n">
        <x:v>25.000420531765116</x:v>
      </x:c>
      <x:c r="Q238" t="str">
        <x:v>lb</x:v>
      </x:c>
      <x:c r="R238" t="str">
        <x:v>AL</x:v>
      </x:c>
      <x:c r="S238" t="str">
        <x:v>BIRMINGHAM</x:v>
      </x:c>
      <x:c r="T238" t="str">
        <x:v>NJ</x:v>
      </x:c>
      <x:c r="U238" t="str">
        <x:v>NEW BRUNSWICK</x:v>
      </x:c>
      <x:c r="V238" t="str">
        <x:v>已匹配</x:v>
      </x:c>
      <x:c r="W238" s="16" t="n">
        <x:v>11.34</x:v>
      </x:c>
      <x:c r="X238" s="17" t="str">
        <x:v>EL100V2：11.34</x:v>
      </x:c>
    </x:row>
    <x:row r="239" ht="18">
      <x:c r="A239" s="12" t="str">
        <x:v>875083885545</x:v>
      </x:c>
      <x:c r="B239" s="3" t="n">
        <x:v>24.54</x:v>
      </x:c>
      <x:c r="C239" s="5" t="n">
        <x:v>27.621</x:v>
      </x:c>
      <x:c r="D239" s="5" t="n">
        <x:f>C239-B239</x:f>
        <x:v>3.0809999999999995</x:v>
      </x:c>
      <x:c r="E239" t="str">
        <x:v>AC70</x:v>
      </x:c>
      <x:c r="F239" t="str">
        <x:v>已匹配</x:v>
      </x:c>
      <x:c r="G239" t="str">
        <x:v>AC702444001363827</x:v>
      </x:c>
      <x:c r="H239" t="str">
        <x:v>LOG-SRL26074856</x:v>
      </x:c>
      <x:c r="I239" s="16"/>
      <x:c r="J239" s="16"/>
      <x:c r="K239" s="16"/>
      <x:c r="L239" s="19"/>
      <x:c r="M239"/>
      <x:c r="N239" s="19"/>
      <x:c r="O239"/>
      <x:c r="P239" s="19"/>
      <x:c r="Q239"/>
      <x:c r="R239"/>
      <x:c r="S239"/>
      <x:c r="T239"/>
      <x:c r="U239"/>
      <x:c r="V239" t="str">
        <x:v>未匹配</x:v>
      </x:c>
      <x:c r="W239" s="16" t="n">
        <x:v>1</x:v>
      </x:c>
      <x:c r="X239" s="17" t="str">
        <x:v>AC70：1</x:v>
      </x:c>
    </x:row>
    <x:row r="240" ht="18">
      <x:c r="A240" s="12" t="str">
        <x:v>873371346866</x:v>
      </x:c>
      <x:c r="B240" s="3" t="n">
        <x:v>33.52</x:v>
      </x:c>
      <x:c r="C240" s="5" t="n">
        <x:v>36.586</x:v>
      </x:c>
      <x:c r="D240" s="5" t="n">
        <x:f>C240-B240</x:f>
        <x:v>3.0659999999999954</x:v>
      </x:c>
      <x:c r="E240" t="str">
        <x:v>AC70</x:v>
      </x:c>
      <x:c r="F240" t="str">
        <x:v>已匹配</x:v>
      </x:c>
      <x:c r="G240" t="str">
        <x:v>AC702540001411677</x:v>
      </x:c>
      <x:c r="H240" t="str">
        <x:v>LOG-SRD26070186</x:v>
      </x:c>
      <x:c r="I240" s="16" t="n">
        <x:v>41</x:v>
      </x:c>
      <x:c r="J240" s="16" t="n">
        <x:v>38</x:v>
      </x:c>
      <x:c r="K240" s="16" t="n">
        <x:v>30</x:v>
      </x:c>
      <x:c r="L240" s="19" t="n">
        <x:v>27.1</x:v>
      </x:c>
      <x:c r="M240" t="str">
        <x:v>lb</x:v>
      </x:c>
      <x:c r="N240" s="19" t="n">
        <x:v>28</x:v>
      </x:c>
      <x:c r="O240" t="str">
        <x:v>lb</x:v>
      </x:c>
      <x:c r="P240" s="19" t="n">
        <x:v>25.088605436639067</x:v>
      </x:c>
      <x:c r="Q240" t="str">
        <x:v>lb</x:v>
      </x:c>
      <x:c r="R240" t="str">
        <x:v>TX</x:v>
      </x:c>
      <x:c r="S240" t="str">
        <x:v>SPRING</x:v>
      </x:c>
      <x:c r="T240" t="str">
        <x:v>NJ</x:v>
      </x:c>
      <x:c r="U240" t="str">
        <x:v>NEW BRUNSWICK</x:v>
      </x:c>
      <x:c r="V240" t="str">
        <x:v>已匹配</x:v>
      </x:c>
      <x:c r="W240" s="16" t="n">
        <x:v>11.385</x:v>
      </x:c>
      <x:c r="X240" s="17" t="str">
        <x:v>BLUETTI AC70：11.385</x:v>
      </x:c>
    </x:row>
    <x:row r="241" ht="18">
      <x:c r="A241" s="12" t="str">
        <x:v>873909174173</x:v>
      </x:c>
      <x:c r="B241" s="3" t="n">
        <x:v>85.67</x:v>
      </x:c>
      <x:c r="C241" s="5" t="n">
        <x:v>88.715</x:v>
      </x:c>
      <x:c r="D241" s="5" t="n">
        <x:f>C241-B241</x:f>
        <x:v>3.0450000000000017</x:v>
      </x:c>
      <x:c r="E241" t="str">
        <x:v>EL300</x:v>
      </x:c>
      <x:c r="F241" t="str">
        <x:v>已匹配</x:v>
      </x:c>
      <x:c r="G241" t="str">
        <x:v>EL3002613131868311</x:v>
      </x:c>
      <x:c r="H241" t="str">
        <x:v>LOG-CRP26070394</x:v>
      </x:c>
      <x:c r="I241" s="16" t="n">
        <x:v>20</x:v>
      </x:c>
      <x:c r="J241" s="16" t="n">
        <x:v>16</x:v>
      </x:c>
      <x:c r="K241" s="16" t="n">
        <x:v>16</x:v>
      </x:c>
      <x:c r="L241" s="19" t="n">
        <x:v>65.3</x:v>
      </x:c>
      <x:c r="M241" t="str">
        <x:v>lb</x:v>
      </x:c>
      <x:c r="N241" s="19" t="n">
        <x:v>66</x:v>
      </x:c>
      <x:c r="O241" t="str">
        <x:v>lb</x:v>
      </x:c>
      <x:c r="P241" s="19" t="n">
        <x:v>57.95952872840431</x:v>
      </x:c>
      <x:c r="Q241" t="str">
        <x:v>lb</x:v>
      </x:c>
      <x:c r="R241" t="str">
        <x:v>FL</x:v>
      </x:c>
      <x:c r="S241" t="str">
        <x:v>HOMOSASSA</x:v>
      </x:c>
      <x:c r="T241" t="str">
        <x:v>NJ</x:v>
      </x:c>
      <x:c r="U241" t="str">
        <x:v>NEW BRUNSWICK</x:v>
      </x:c>
      <x:c r="V241" t="str">
        <x:v>已匹配</x:v>
      </x:c>
      <x:c r="W241" s="16" t="n">
        <x:v>0</x:v>
      </x:c>
      <x:c r="X241" s="17" t="str">
        <x:v>Elite 300：0</x:v>
      </x:c>
    </x:row>
    <x:row r="242" ht="18">
      <x:c r="A242" s="12" t="str">
        <x:v>873648195891</x:v>
      </x:c>
      <x:c r="B242" s="3" t="n">
        <x:v>85.85</x:v>
      </x:c>
      <x:c r="C242" s="5" t="n">
        <x:v>88.891</x:v>
      </x:c>
      <x:c r="D242" s="5" t="n">
        <x:f>C242-B242</x:f>
        <x:v>3.041000000000011</x:v>
      </x:c>
      <x:c r="E242" t="str">
        <x:v>EL300</x:v>
      </x:c>
      <x:c r="F242" t="str">
        <x:v>已匹配</x:v>
      </x:c>
      <x:c r="G242" t="str">
        <x:v>EL3002613135059172</x:v>
      </x:c>
      <x:c r="H242" t="str">
        <x:v>LOG-SRL26062972</x:v>
      </x:c>
      <x:c r="I242" s="16" t="n">
        <x:v>19</x:v>
      </x:c>
      <x:c r="J242" s="16" t="n">
        <x:v>16</x:v>
      </x:c>
      <x:c r="K242" s="16" t="n">
        <x:v>16</x:v>
      </x:c>
      <x:c r="L242" s="19" t="n">
        <x:v>65.5</x:v>
      </x:c>
      <x:c r="M242" t="str">
        <x:v>lb</x:v>
      </x:c>
      <x:c r="N242" s="19" t="n">
        <x:v>66</x:v>
      </x:c>
      <x:c r="O242" t="str">
        <x:v>lb</x:v>
      </x:c>
      <x:c r="P242" s="19" t="n">
        <x:v>57.95952872840431</x:v>
      </x:c>
      <x:c r="Q242" t="str">
        <x:v>lb</x:v>
      </x:c>
      <x:c r="R242" t="str">
        <x:v>FL</x:v>
      </x:c>
      <x:c r="S242" t="str">
        <x:v>NEW SMYRNA BEACH</x:v>
      </x:c>
      <x:c r="T242" t="str">
        <x:v>NJ</x:v>
      </x:c>
      <x:c r="U242" t="str">
        <x:v>NEW BRUNSWICK</x:v>
      </x:c>
      <x:c r="V242" t="str">
        <x:v>已匹配</x:v>
      </x:c>
      <x:c r="W242" s="16" t="n">
        <x:v>0</x:v>
      </x:c>
      <x:c r="X242" s="17" t="str">
        <x:v>Elite 300：0</x:v>
      </x:c>
    </x:row>
    <x:row r="243" ht="18">
      <x:c r="A243" s="12" t="str">
        <x:v>873364626827</x:v>
      </x:c>
      <x:c r="B243" s="3" t="n">
        <x:v>58.76</x:v>
      </x:c>
      <x:c r="C243" s="5" t="n">
        <x:v>61.798</x:v>
      </x:c>
      <x:c r="D243" s="5" t="n">
        <x:f>C243-B243</x:f>
        <x:v>3.038000000000004</x:v>
      </x:c>
      <x:c r="E243" t="str">
        <x:v>AC200L</x:v>
      </x:c>
      <x:c r="F243" t="str">
        <x:v>已匹配</x:v>
      </x:c>
      <x:c r="G243" t="str">
        <x:v>AC200L2424003457898</x:v>
      </x:c>
      <x:c r="H243" t="str">
        <x:v>LOG-SRD26062181</x:v>
      </x:c>
      <x:c r="I243" s="16" t="n">
        <x:v>20</x:v>
      </x:c>
      <x:c r="J243" s="16" t="n">
        <x:v>19</x:v>
      </x:c>
      <x:c r="K243" s="16" t="n">
        <x:v>19</x:v>
      </x:c>
      <x:c r="L243" s="19" t="n">
        <x:v>72.2</x:v>
      </x:c>
      <x:c r="M243" t="str">
        <x:v>lb</x:v>
      </x:c>
      <x:c r="N243" s="19" t="n">
        <x:v>73</x:v>
      </x:c>
      <x:c r="O243" t="str">
        <x:v>lb</x:v>
      </x:c>
      <x:c r="P243" s="19" t="n">
        <x:v>61.72943341176572</x:v>
      </x:c>
      <x:c r="Q243" t="str">
        <x:v>lb</x:v>
      </x:c>
      <x:c r="R243" t="str">
        <x:v>MD</x:v>
      </x:c>
      <x:c r="S243" t="str">
        <x:v>COLUMBIA</x:v>
      </x:c>
      <x:c r="T243" t="str">
        <x:v>NJ</x:v>
      </x:c>
      <x:c r="U243" t="str">
        <x:v>NEW BRUNSWICK</x:v>
      </x:c>
      <x:c r="V243" t="str">
        <x:v>已匹配</x:v>
      </x:c>
      <x:c r="W243" s="16" t="n">
        <x:v>1</x:v>
      </x:c>
      <x:c r="X243" s="17" t="str">
        <x:v>AC200L：1</x:v>
      </x:c>
    </x:row>
    <x:row r="244" ht="18">
      <x:c r="A244" s="12" t="str">
        <x:v>874406749367</x:v>
      </x:c>
      <x:c r="B244" s="3" t="n">
        <x:v>27.26</x:v>
      </x:c>
      <x:c r="C244" s="5" t="n">
        <x:v>30.283</x:v>
      </x:c>
      <x:c r="D244" s="5" t="n">
        <x:f>C244-B244</x:f>
        <x:v>3.0229999999999997</x:v>
      </x:c>
      <x:c r="E244" t="str">
        <x:v>EL100V2</x:v>
      </x:c>
      <x:c r="F244" t="str">
        <x:v>已匹配</x:v>
      </x:c>
      <x:c r="G244" t="str">
        <x:v>EL100V22525511770952</x:v>
      </x:c>
      <x:c r="H244" t="str">
        <x:v>LOG-CRP26073734</x:v>
      </x:c>
      <x:c r="I244" s="16" t="n">
        <x:v>15</x:v>
      </x:c>
      <x:c r="J244" s="16" t="n">
        <x:v>15</x:v>
      </x:c>
      <x:c r="K244" s="16" t="n">
        <x:v>11</x:v>
      </x:c>
      <x:c r="L244" s="19" t="n">
        <x:v>29.6</x:v>
      </x:c>
      <x:c r="M244" t="str">
        <x:v>lb</x:v>
      </x:c>
      <x:c r="N244" s="19" t="n">
        <x:v>30</x:v>
      </x:c>
      <x:c r="O244" t="str">
        <x:v>lb</x:v>
      </x:c>
      <x:c r="P244" s="19" t="n">
        <x:v>25.35316015126092</x:v>
      </x:c>
      <x:c r="Q244" t="str">
        <x:v>lb</x:v>
      </x:c>
      <x:c r="R244" t="str">
        <x:v>GA</x:v>
      </x:c>
      <x:c r="S244" t="str">
        <x:v>THOMSON</x:v>
      </x:c>
      <x:c r="T244" t="str">
        <x:v>NJ</x:v>
      </x:c>
      <x:c r="U244" t="str">
        <x:v>NEW BRUNSWICK</x:v>
      </x:c>
      <x:c r="V244" t="str">
        <x:v>已匹配</x:v>
      </x:c>
      <x:c r="W244" s="16" t="n">
        <x:v>1</x:v>
      </x:c>
      <x:c r="X244" s="17" t="str">
        <x:v>商品名称为空：1</x:v>
      </x:c>
    </x:row>
    <x:row r="245" ht="18">
      <x:c r="A245" s="12" t="str">
        <x:v>875026925112</x:v>
      </x:c>
      <x:c r="B245" s="3" t="n">
        <x:v>27.41</x:v>
      </x:c>
      <x:c r="C245" s="5" t="n">
        <x:v>30.404</x:v>
      </x:c>
      <x:c r="D245" s="5" t="n">
        <x:f>C245-B245</x:f>
        <x:v>2.9939999999999998</x:v>
      </x:c>
      <x:c r="E245" t="str">
        <x:v>EL100V2</x:v>
      </x:c>
      <x:c r="F245" t="str">
        <x:v>已匹配</x:v>
      </x:c>
      <x:c r="G245" t="str">
        <x:v>EL100V22528042929301</x:v>
      </x:c>
      <x:c r="H245" t="str">
        <x:v>LOG-SRL26074640</x:v>
      </x:c>
      <x:c r="I245" s="16"/>
      <x:c r="J245" s="16"/>
      <x:c r="K245" s="16"/>
      <x:c r="L245" s="19"/>
      <x:c r="M245"/>
      <x:c r="N245" s="19"/>
      <x:c r="O245"/>
      <x:c r="P245" s="19"/>
      <x:c r="Q245"/>
      <x:c r="R245"/>
      <x:c r="S245"/>
      <x:c r="T245"/>
      <x:c r="U245"/>
      <x:c r="V245" t="str">
        <x:v>未匹配</x:v>
      </x:c>
      <x:c r="W245" s="16" t="n">
        <x:v>1</x:v>
      </x:c>
      <x:c r="X245" s="17" t="str">
        <x:v>Elite 100 V2：1</x:v>
      </x:c>
    </x:row>
    <x:row r="246" ht="18">
      <x:c r="A246" s="12" t="str">
        <x:v>874028982045</x:v>
      </x:c>
      <x:c r="B246" s="3" t="n">
        <x:v>27.26</x:v>
      </x:c>
      <x:c r="C246" s="5" t="n">
        <x:v>30.228</x:v>
      </x:c>
      <x:c r="D246" s="5" t="n">
        <x:f>C246-B246</x:f>
        <x:v>2.968</x:v>
      </x:c>
      <x:c r="E246" t="str">
        <x:v>EL100V2</x:v>
      </x:c>
      <x:c r="F246" t="str">
        <x:v>已匹配</x:v>
      </x:c>
      <x:c r="G246" t="str">
        <x:v>EL100V22540003355860</x:v>
      </x:c>
      <x:c r="H246" t="str">
        <x:v>LOG-SRL26070789</x:v>
      </x:c>
      <x:c r="I246" s="16" t="n">
        <x:v>16</x:v>
      </x:c>
      <x:c r="J246" s="16" t="n">
        <x:v>16</x:v>
      </x:c>
      <x:c r="K246" s="16" t="n">
        <x:v>12</x:v>
      </x:c>
      <x:c r="L246" s="19" t="n">
        <x:v>29.7</x:v>
      </x:c>
      <x:c r="M246" t="str">
        <x:v>lb</x:v>
      </x:c>
      <x:c r="N246" s="19" t="n">
        <x:v>30</x:v>
      </x:c>
      <x:c r="O246" t="str">
        <x:v>lb</x:v>
      </x:c>
      <x:c r="P246" s="19" t="n">
        <x:v>25.35316015126092</x:v>
      </x:c>
      <x:c r="Q246" t="str">
        <x:v>lb</x:v>
      </x:c>
      <x:c r="R246" t="str">
        <x:v>WI</x:v>
      </x:c>
      <x:c r="S246" t="str">
        <x:v>NEW RICHMOND</x:v>
      </x:c>
      <x:c r="T246" t="str">
        <x:v>NJ</x:v>
      </x:c>
      <x:c r="U246" t="str">
        <x:v>NEW BRUNSWICK</x:v>
      </x:c>
      <x:c r="V246" t="str">
        <x:v>已匹配</x:v>
      </x:c>
      <x:c r="W246" s="16" t="n">
        <x:v>1</x:v>
      </x:c>
      <x:c r="X246" s="17" t="str">
        <x:v>Elite 100：1</x:v>
      </x:c>
    </x:row>
    <x:row r="247" ht="18">
      <x:c r="A247" s="12" t="str">
        <x:v>873236734387</x:v>
      </x:c>
      <x:c r="B247" s="3" t="n">
        <x:v>26.41</x:v>
      </x:c>
      <x:c r="C247" s="5" t="n">
        <x:v>29.359</x:v>
      </x:c>
      <x:c r="D247" s="5" t="n">
        <x:f>C247-B247</x:f>
        <x:v>2.9490000000000016</x:v>
      </x:c>
      <x:c r="E247" t="str">
        <x:v>EL100V2</x:v>
      </x:c>
      <x:c r="F247" t="str">
        <x:v>已匹配</x:v>
      </x:c>
      <x:c r="G247" t="str">
        <x:v>EL100V22528040309553</x:v>
      </x:c>
      <x:c r="H247" t="str">
        <x:v>LOG-SRL26061952</x:v>
      </x:c>
      <x:c r="I247" s="16"/>
      <x:c r="J247" s="16"/>
      <x:c r="K247" s="16"/>
      <x:c r="L247" s="19"/>
      <x:c r="M247"/>
      <x:c r="N247" s="19"/>
      <x:c r="O247"/>
      <x:c r="P247" s="19"/>
      <x:c r="Q247"/>
      <x:c r="R247"/>
      <x:c r="S247"/>
      <x:c r="T247"/>
      <x:c r="U247"/>
      <x:c r="V247" t="str">
        <x:v>未匹配</x:v>
      </x:c>
      <x:c r="W247" s="16" t="n">
        <x:v>11.34</x:v>
      </x:c>
      <x:c r="X247" s="17" t="str">
        <x:v>EL100V2：11.34</x:v>
      </x:c>
    </x:row>
    <x:row r="248" ht="18">
      <x:c r="A248" s="12" t="str">
        <x:v>874454755548</x:v>
      </x:c>
      <x:c r="B248" s="3" t="n">
        <x:v>26.2</x:v>
      </x:c>
      <x:c r="C248" s="5" t="n">
        <x:v>29.073</x:v>
      </x:c>
      <x:c r="D248" s="5" t="n">
        <x:f>C248-B248</x:f>
        <x:v>2.873000000000001</x:v>
      </x:c>
      <x:c r="E248" t="str">
        <x:v>EL100V2</x:v>
      </x:c>
      <x:c r="F248" t="str">
        <x:v>已匹配</x:v>
      </x:c>
      <x:c r="G248" t="str">
        <x:v>EL100V22528042956425</x:v>
      </x:c>
      <x:c r="H248" t="str">
        <x:v>LOG-SRL26074433</x:v>
      </x:c>
      <x:c r="I248" s="16" t="n">
        <x:v>15</x:v>
      </x:c>
      <x:c r="J248" s="16" t="n">
        <x:v>15</x:v>
      </x:c>
      <x:c r="K248" s="16" t="n">
        <x:v>11</x:v>
      </x:c>
      <x:c r="L248" s="19" t="n">
        <x:v>27.9</x:v>
      </x:c>
      <x:c r="M248" t="str">
        <x:v>lb</x:v>
      </x:c>
      <x:c r="N248" s="19" t="n">
        <x:v>28</x:v>
      </x:c>
      <x:c r="O248" t="str">
        <x:v>lb</x:v>
      </x:c>
      <x:c r="P248" s="19" t="n">
        <x:v>25.000420531765116</x:v>
      </x:c>
      <x:c r="Q248" t="str">
        <x:v>lb</x:v>
      </x:c>
      <x:c r="R248" t="str">
        <x:v>FL</x:v>
      </x:c>
      <x:c r="S248" t="str">
        <x:v>MILTON</x:v>
      </x:c>
      <x:c r="T248" t="str">
        <x:v>NJ</x:v>
      </x:c>
      <x:c r="U248" t="str">
        <x:v>NEW BRUNSWICK</x:v>
      </x:c>
      <x:c r="V248" t="str">
        <x:v>已匹配</x:v>
      </x:c>
      <x:c r="W248" s="16" t="n">
        <x:v>11.34</x:v>
      </x:c>
      <x:c r="X248" s="17" t="str">
        <x:v>EL100V2：11.34</x:v>
      </x:c>
    </x:row>
    <x:row r="249" ht="18">
      <x:c r="A249" s="12" t="str">
        <x:v>874199745095</x:v>
      </x:c>
      <x:c r="B249" s="3" t="n">
        <x:v>26.2</x:v>
      </x:c>
      <x:c r="C249" s="5" t="n">
        <x:v>29.073</x:v>
      </x:c>
      <x:c r="D249" s="5" t="n">
        <x:f>C249-B249</x:f>
        <x:v>2.873000000000001</x:v>
      </x:c>
      <x:c r="E249" t="str">
        <x:v>EL100V2</x:v>
      </x:c>
      <x:c r="F249" t="str">
        <x:v>已匹配</x:v>
      </x:c>
      <x:c r="G249" t="str">
        <x:v>EL100V22535000999492</x:v>
      </x:c>
      <x:c r="H249" t="str">
        <x:v>LOG-SRL26071465</x:v>
      </x:c>
      <x:c r="I249" s="16" t="n">
        <x:v>15</x:v>
      </x:c>
      <x:c r="J249" s="16" t="n">
        <x:v>13</x:v>
      </x:c>
      <x:c r="K249" s="16" t="n">
        <x:v>11</x:v>
      </x:c>
      <x:c r="L249" s="19" t="n">
        <x:v>27.7</x:v>
      </x:c>
      <x:c r="M249" t="str">
        <x:v>lb</x:v>
      </x:c>
      <x:c r="N249" s="19" t="n">
        <x:v>28</x:v>
      </x:c>
      <x:c r="O249" t="str">
        <x:v>lb</x:v>
      </x:c>
      <x:c r="P249" s="19" t="n">
        <x:v>25.000420531765116</x:v>
      </x:c>
      <x:c r="Q249" t="str">
        <x:v>lb</x:v>
      </x:c>
      <x:c r="R249" t="str">
        <x:v>MO</x:v>
      </x:c>
      <x:c r="S249" t="str">
        <x:v>BALLWIN</x:v>
      </x:c>
      <x:c r="T249" t="str">
        <x:v>NJ</x:v>
      </x:c>
      <x:c r="U249" t="str">
        <x:v>NEW BRUNSWICK</x:v>
      </x:c>
      <x:c r="V249" t="str">
        <x:v>已匹配</x:v>
      </x:c>
      <x:c r="W249" s="16" t="n">
        <x:v>11.34</x:v>
      </x:c>
      <x:c r="X249" s="17" t="str">
        <x:v>EL100V2：11.34</x:v>
      </x:c>
    </x:row>
    <x:row r="250" ht="18">
      <x:c r="A250" s="12" t="str">
        <x:v>874406439920</x:v>
      </x:c>
      <x:c r="B250" s="3" t="n">
        <x:v>25.89</x:v>
      </x:c>
      <x:c r="C250" s="5" t="n">
        <x:v>28.754</x:v>
      </x:c>
      <x:c r="D250" s="5" t="n">
        <x:f>C250-B250</x:f>
        <x:v>2.8640000000000008</x:v>
      </x:c>
      <x:c r="E250" t="str">
        <x:v>AC180</x:v>
      </x:c>
      <x:c r="F250" t="str">
        <x:v>已匹配</x:v>
      </x:c>
      <x:c r="G250" t="str">
        <x:v>AC1802448002575233</x:v>
      </x:c>
      <x:c r="H250" t="str">
        <x:v>LOG-SRL26072343</x:v>
      </x:c>
      <x:c r="I250" s="16" t="n">
        <x:v>19</x:v>
      </x:c>
      <x:c r="J250" s="16" t="n">
        <x:v>17</x:v>
      </x:c>
      <x:c r="K250" s="16" t="n">
        <x:v>13</x:v>
      </x:c>
      <x:c r="L250" s="19" t="n">
        <x:v>41.5</x:v>
      </x:c>
      <x:c r="M250" t="str">
        <x:v>lb</x:v>
      </x:c>
      <x:c r="N250" s="19" t="n">
        <x:v>42</x:v>
      </x:c>
      <x:c r="O250" t="str">
        <x:v>lb</x:v>
      </x:c>
      <x:c r="P250" s="19" t="n">
        <x:v>36.99356759462246</x:v>
      </x:c>
      <x:c r="Q250" t="str">
        <x:v>lb</x:v>
      </x:c>
      <x:c r="R250" t="str">
        <x:v>NH</x:v>
      </x:c>
      <x:c r="S250" t="str">
        <x:v>TROY</x:v>
      </x:c>
      <x:c r="T250" t="str">
        <x:v>NJ</x:v>
      </x:c>
      <x:c r="U250" t="str">
        <x:v>NEW BRUNSWICK</x:v>
      </x:c>
      <x:c r="V250" t="str">
        <x:v>已匹配</x:v>
      </x:c>
      <x:c r="W250" s="16" t="n">
        <x:v>0</x:v>
      </x:c>
      <x:c r="X250" s="17" t="str">
        <x:v>AC180：0</x:v>
      </x:c>
    </x:row>
    <x:row r="251" ht="18">
      <x:c r="A251" s="12" t="str">
        <x:v>873114830593</x:v>
      </x:c>
      <x:c r="B251" s="3" t="n">
        <x:v>29.56</x:v>
      </x:c>
      <x:c r="C251" s="5" t="n">
        <x:v>32.388</x:v>
      </x:c>
      <x:c r="D251" s="5" t="n">
        <x:f>C251-B251</x:f>
        <x:v>2.8279999999999994</x:v>
      </x:c>
      <x:c r="E251"/>
      <x:c r="F251" t="str">
        <x:v>未匹配</x:v>
      </x:c>
      <x:c r="G251"/>
      <x:c r="H251"/>
      <x:c r="I251" s="16" t="n">
        <x:v>46</x:v>
      </x:c>
      <x:c r="J251" s="16" t="n">
        <x:v>43</x:v>
      </x:c>
      <x:c r="K251" s="16" t="n">
        <x:v>33</x:v>
      </x:c>
      <x:c r="L251" s="19" t="n">
        <x:v>38.9</x:v>
      </x:c>
      <x:c r="M251" t="str">
        <x:v>lb</x:v>
      </x:c>
      <x:c r="N251" s="19" t="n">
        <x:v>39</x:v>
      </x:c>
      <x:c r="O251" t="str">
        <x:v>lb</x:v>
      </x:c>
      <x:c r="P251" s="19" t="n">
        <x:v>31.989074243025733</x:v>
      </x:c>
      <x:c r="Q251" t="str">
        <x:v>lb</x:v>
      </x:c>
      <x:c r="R251" t="str">
        <x:v>NJ</x:v>
      </x:c>
      <x:c r="S251" t="str">
        <x:v>NEW BRUNSWICK</x:v>
      </x:c>
      <x:c r="T251" t="str">
        <x:v>PA</x:v>
      </x:c>
      <x:c r="U251" t="str">
        <x:v>CARLISLE</x:v>
      </x:c>
      <x:c r="V251" t="str">
        <x:v>已匹配</x:v>
      </x:c>
      <x:c r="W251" s="16"/>
      <x:c r="X251" s="17"/>
    </x:row>
    <x:row r="252" ht="18">
      <x:c r="A252" s="12" t="str">
        <x:v>873748387608</x:v>
      </x:c>
      <x:c r="B252" s="3" t="n">
        <x:v>26.25</x:v>
      </x:c>
      <x:c r="C252" s="5" t="n">
        <x:v>29.073</x:v>
      </x:c>
      <x:c r="D252" s="5" t="n">
        <x:f>C252-B252</x:f>
        <x:v>2.8230000000000004</x:v>
      </x:c>
      <x:c r="E252" t="str">
        <x:v>EL100V2</x:v>
      </x:c>
      <x:c r="F252" t="str">
        <x:v>已匹配</x:v>
      </x:c>
      <x:c r="G252" t="str">
        <x:v>EL100V22542003222246</x:v>
      </x:c>
      <x:c r="H252" t="str">
        <x:v>LOG-SRL26063289</x:v>
      </x:c>
      <x:c r="I252" s="16" t="n">
        <x:v>15</x:v>
      </x:c>
      <x:c r="J252" s="16" t="n">
        <x:v>15</x:v>
      </x:c>
      <x:c r="K252" s="16" t="n">
        <x:v>14</x:v>
      </x:c>
      <x:c r="L252" s="19" t="n">
        <x:v>27.7</x:v>
      </x:c>
      <x:c r="M252" t="str">
        <x:v>lb</x:v>
      </x:c>
      <x:c r="N252" s="19" t="n">
        <x:v>28</x:v>
      </x:c>
      <x:c r="O252" t="str">
        <x:v>lb</x:v>
      </x:c>
      <x:c r="P252" s="19" t="n">
        <x:v>25.000420531765116</x:v>
      </x:c>
      <x:c r="Q252" t="str">
        <x:v>lb</x:v>
      </x:c>
      <x:c r="R252" t="str">
        <x:v>IL</x:v>
      </x:c>
      <x:c r="S252" t="str">
        <x:v>ALBION</x:v>
      </x:c>
      <x:c r="T252" t="str">
        <x:v>NJ</x:v>
      </x:c>
      <x:c r="U252" t="str">
        <x:v>NEW BRUNSWICK</x:v>
      </x:c>
      <x:c r="V252" t="str">
        <x:v>已匹配</x:v>
      </x:c>
      <x:c r="W252" s="16" t="n">
        <x:v>11.34</x:v>
      </x:c>
      <x:c r="X252" s="17" t="str">
        <x:v>EL100V2：11.34</x:v>
      </x:c>
    </x:row>
    <x:row r="253" ht="18">
      <x:c r="A253" s="12" t="str">
        <x:v>873424093974</x:v>
      </x:c>
      <x:c r="B253" s="3" t="n">
        <x:v>26.31</x:v>
      </x:c>
      <x:c r="C253" s="5" t="n">
        <x:v>29.128</x:v>
      </x:c>
      <x:c r="D253" s="5" t="n">
        <x:f>C253-B253</x:f>
        <x:v>2.8180000000000014</x:v>
      </x:c>
      <x:c r="E253" t="str">
        <x:v>EL100V2</x:v>
      </x:c>
      <x:c r="F253" t="str">
        <x:v>已匹配</x:v>
      </x:c>
      <x:c r="G253" t="str">
        <x:v>EL100V22540002907523</x:v>
      </x:c>
      <x:c r="H253" t="str">
        <x:v>LOG-SRL26062309</x:v>
      </x:c>
      <x:c r="I253" s="16" t="n">
        <x:v>15</x:v>
      </x:c>
      <x:c r="J253" s="16" t="n">
        <x:v>15</x:v>
      </x:c>
      <x:c r="K253" s="16" t="n">
        <x:v>11</x:v>
      </x:c>
      <x:c r="L253" s="19" t="n">
        <x:v>28</x:v>
      </x:c>
      <x:c r="M253" t="str">
        <x:v>lb</x:v>
      </x:c>
      <x:c r="N253" s="19" t="n">
        <x:v>28</x:v>
      </x:c>
      <x:c r="O253" t="str">
        <x:v>lb</x:v>
      </x:c>
      <x:c r="P253" s="19" t="n">
        <x:v>25.000420531765116</x:v>
      </x:c>
      <x:c r="Q253" t="str">
        <x:v>lb</x:v>
      </x:c>
      <x:c r="R253" t="str">
        <x:v>MO</x:v>
      </x:c>
      <x:c r="S253" t="str">
        <x:v>JEFFERSON CITY</x:v>
      </x:c>
      <x:c r="T253" t="str">
        <x:v>NJ</x:v>
      </x:c>
      <x:c r="U253" t="str">
        <x:v>NEW BRUNSWICK</x:v>
      </x:c>
      <x:c r="V253" t="str">
        <x:v>已匹配</x:v>
      </x:c>
      <x:c r="W253" s="16" t="n">
        <x:v>11.34</x:v>
      </x:c>
      <x:c r="X253" s="17" t="str">
        <x:v>EL100V2：11.34</x:v>
      </x:c>
    </x:row>
    <x:row r="254" ht="18">
      <x:c r="A254" s="12" t="str">
        <x:v>873485268926</x:v>
      </x:c>
      <x:c r="B254" s="3" t="n">
        <x:v>71.94</x:v>
      </x:c>
      <x:c r="C254" s="5" t="n">
        <x:v>74.756</x:v>
      </x:c>
      <x:c r="D254" s="5" t="n">
        <x:f>C254-B254</x:f>
        <x:v>2.8160000000000025</x:v>
      </x:c>
      <x:c r="E254" t="str">
        <x:v>EL300</x:v>
      </x:c>
      <x:c r="F254" t="str">
        <x:v>已匹配</x:v>
      </x:c>
      <x:c r="G254" t="str">
        <x:v>EL3002613134977908</x:v>
      </x:c>
      <x:c r="H254" t="str">
        <x:v>LOG-SRL26062502</x:v>
      </x:c>
      <x:c r="I254" s="16" t="n">
        <x:v>19</x:v>
      </x:c>
      <x:c r="J254" s="16" t="n">
        <x:v>16</x:v>
      </x:c>
      <x:c r="K254" s="16" t="n">
        <x:v>16</x:v>
      </x:c>
      <x:c r="L254" s="19" t="n">
        <x:v>65.6</x:v>
      </x:c>
      <x:c r="M254" t="str">
        <x:v>lb</x:v>
      </x:c>
      <x:c r="N254" s="19" t="n">
        <x:v>66</x:v>
      </x:c>
      <x:c r="O254" t="str">
        <x:v>lb</x:v>
      </x:c>
      <x:c r="P254" s="19" t="n">
        <x:v>55.9974145949589</x:v>
      </x:c>
      <x:c r="Q254" t="str">
        <x:v>lb</x:v>
      </x:c>
      <x:c r="R254" t="str">
        <x:v>NC</x:v>
      </x:c>
      <x:c r="S254" t="str">
        <x:v>ENFIELD</x:v>
      </x:c>
      <x:c r="T254" t="str">
        <x:v>NJ</x:v>
      </x:c>
      <x:c r="U254" t="str">
        <x:v>NEW BRUNSWICK</x:v>
      </x:c>
      <x:c r="V254" t="str">
        <x:v>已匹配</x:v>
      </x:c>
      <x:c r="W254" s="16" t="n">
        <x:v>25.401</x:v>
      </x:c>
      <x:c r="X254" s="17" t="str">
        <x:v>EL300：25.401</x:v>
      </x:c>
    </x:row>
    <x:row r="255" ht="18">
      <x:c r="A255" s="12" t="str">
        <x:v>874290703451</x:v>
      </x:c>
      <x:c r="B255" s="3" t="n">
        <x:v>27.46</x:v>
      </x:c>
      <x:c r="C255" s="5" t="n">
        <x:v>30.228</x:v>
      </x:c>
      <x:c r="D255" s="5" t="n">
        <x:f>C255-B255</x:f>
        <x:v>2.7680000000000007</x:v>
      </x:c>
      <x:c r="E255" t="str">
        <x:v>EL100V2</x:v>
      </x:c>
      <x:c r="F255" t="str">
        <x:v>已匹配</x:v>
      </x:c>
      <x:c r="G255" t="str">
        <x:v>EL100V22532031490099</x:v>
      </x:c>
      <x:c r="H255" t="str">
        <x:v>LOG-SRL26071881</x:v>
      </x:c>
      <x:c r="I255" s="16" t="n">
        <x:v>16</x:v>
      </x:c>
      <x:c r="J255" s="16" t="n">
        <x:v>16</x:v>
      </x:c>
      <x:c r="K255" s="16" t="n">
        <x:v>12</x:v>
      </x:c>
      <x:c r="L255" s="19" t="n">
        <x:v>29.5</x:v>
      </x:c>
      <x:c r="M255" t="str">
        <x:v>lb</x:v>
      </x:c>
      <x:c r="N255" s="19" t="n">
        <x:v>30</x:v>
      </x:c>
      <x:c r="O255" t="str">
        <x:v>lb</x:v>
      </x:c>
      <x:c r="P255" s="19" t="n">
        <x:v>26.455471462185308</x:v>
      </x:c>
      <x:c r="Q255" t="str">
        <x:v>lb</x:v>
      </x:c>
      <x:c r="R255" t="str">
        <x:v>IN</x:v>
      </x:c>
      <x:c r="S255" t="str">
        <x:v>MARTINSVILLE</x:v>
      </x:c>
      <x:c r="T255" t="str">
        <x:v>NJ</x:v>
      </x:c>
      <x:c r="U255" t="str">
        <x:v>NEW BRUNSWICK</x:v>
      </x:c>
      <x:c r="V255" t="str">
        <x:v>已匹配</x:v>
      </x:c>
      <x:c r="W255" s="16" t="n">
        <x:v>1</x:v>
      </x:c>
      <x:c r="X255" s="17" t="str">
        <x:v>Elite 100 V2：1</x:v>
      </x:c>
    </x:row>
    <x:row r="256" ht="18">
      <x:c r="A256" s="12" t="str">
        <x:v>873543285720</x:v>
      </x:c>
      <x:c r="B256" s="3" t="n">
        <x:v>26.31</x:v>
      </x:c>
      <x:c r="C256" s="5" t="n">
        <x:v>29.073</x:v>
      </x:c>
      <x:c r="D256" s="5" t="n">
        <x:f>C256-B256</x:f>
        <x:v>2.7630000000000017</x:v>
      </x:c>
      <x:c r="E256" t="str">
        <x:v>EL100V2</x:v>
      </x:c>
      <x:c r="F256" t="str">
        <x:v>已匹配</x:v>
      </x:c>
      <x:c r="G256" t="str">
        <x:v>EL100V22545131315498</x:v>
      </x:c>
      <x:c r="H256" t="str">
        <x:v>LOG-SRL26062679</x:v>
      </x:c>
      <x:c r="I256" s="16" t="n">
        <x:v>15</x:v>
      </x:c>
      <x:c r="J256" s="16" t="n">
        <x:v>15</x:v>
      </x:c>
      <x:c r="K256" s="16" t="n">
        <x:v>11</x:v>
      </x:c>
      <x:c r="L256" s="19" t="n">
        <x:v>27.7</x:v>
      </x:c>
      <x:c r="M256" t="str">
        <x:v>lb</x:v>
      </x:c>
      <x:c r="N256" s="19" t="n">
        <x:v>28</x:v>
      </x:c>
      <x:c r="O256" t="str">
        <x:v>lb</x:v>
      </x:c>
      <x:c r="P256" s="19" t="n">
        <x:v>25.000420531765116</x:v>
      </x:c>
      <x:c r="Q256" t="str">
        <x:v>lb</x:v>
      </x:c>
      <x:c r="R256" t="str">
        <x:v>FL</x:v>
      </x:c>
      <x:c r="S256" t="str">
        <x:v>LARGO</x:v>
      </x:c>
      <x:c r="T256" t="str">
        <x:v>NJ</x:v>
      </x:c>
      <x:c r="U256" t="str">
        <x:v>NEW BRUNSWICK</x:v>
      </x:c>
      <x:c r="V256" t="str">
        <x:v>已匹配</x:v>
      </x:c>
      <x:c r="W256" s="16" t="n">
        <x:v>11.34</x:v>
      </x:c>
      <x:c r="X256" s="17" t="str">
        <x:v>EL100V2：11.34</x:v>
      </x:c>
    </x:row>
    <x:row r="257" ht="18">
      <x:c r="A257" s="12" t="str">
        <x:v>874714646339</x:v>
      </x:c>
      <x:c r="B257" s="3" t="n">
        <x:v>17.5</x:v>
      </x:c>
      <x:c r="C257" s="5" t="n">
        <x:v>20.262</x:v>
      </x:c>
      <x:c r="D257" s="5" t="n">
        <x:f>C257-B257</x:f>
        <x:v>2.7620000000000005</x:v>
      </x:c>
      <x:c r="E257"/>
      <x:c r="F257" t="str">
        <x:v>未匹配</x:v>
      </x:c>
      <x:c r="G257"/>
      <x:c r="H257"/>
      <x:c r="I257" s="16"/>
      <x:c r="J257" s="16"/>
      <x:c r="K257" s="16"/>
      <x:c r="L257" s="19"/>
      <x:c r="M257"/>
      <x:c r="N257" s="19"/>
      <x:c r="O257"/>
      <x:c r="P257" s="19"/>
      <x:c r="Q257"/>
      <x:c r="R257"/>
      <x:c r="S257"/>
      <x:c r="T257"/>
      <x:c r="U257"/>
      <x:c r="V257" t="str">
        <x:v>未匹配</x:v>
      </x:c>
      <x:c r="W257" s="16" t="n">
        <x:v>11.34</x:v>
      </x:c>
      <x:c r="X257" s="17" t="str">
        <x:v>EL100V2：11.34</x:v>
      </x:c>
    </x:row>
    <x:row r="258" ht="18">
      <x:c r="A258" s="12" t="str">
        <x:v>873689062051</x:v>
      </x:c>
      <x:c r="B258" s="3" t="n">
        <x:v>23.06</x:v>
      </x:c>
      <x:c r="C258" s="5" t="n">
        <x:v>25.806</x:v>
      </x:c>
      <x:c r="D258" s="5" t="n">
        <x:f>C258-B258</x:f>
        <x:v>2.746000000000002</x:v>
      </x:c>
      <x:c r="E258" t="str">
        <x:v>EL100</x:v>
      </x:c>
      <x:c r="F258" t="str">
        <x:v>已匹配</x:v>
      </x:c>
      <x:c r="G258" t="str">
        <x:v>EL100V22525020514468</x:v>
      </x:c>
      <x:c r="H258" t="str">
        <x:v>LOG-SRL26063144</x:v>
      </x:c>
      <x:c r="I258" s="16" t="n">
        <x:v>22</x:v>
      </x:c>
      <x:c r="J258" s="16" t="n">
        <x:v>18</x:v>
      </x:c>
      <x:c r="K258" s="16" t="n">
        <x:v>13</x:v>
      </x:c>
      <x:c r="L258" s="19" t="n">
        <x:v>30</x:v>
      </x:c>
      <x:c r="M258" t="str">
        <x:v>lb</x:v>
      </x:c>
      <x:c r="N258" s="19" t="n">
        <x:v>32</x:v>
      </x:c>
      <x:c r="O258" t="str">
        <x:v>lb</x:v>
      </x:c>
      <x:c r="P258" s="19" t="n">
        <x:v>26.455471462185308</x:v>
      </x:c>
      <x:c r="Q258" t="str">
        <x:v>lb</x:v>
      </x:c>
      <x:c r="R258" t="str">
        <x:v>OH</x:v>
      </x:c>
      <x:c r="S258" t="str">
        <x:v>LISBON</x:v>
      </x:c>
      <x:c r="T258" t="str">
        <x:v>NJ</x:v>
      </x:c>
      <x:c r="U258" t="str">
        <x:v>NEW BRUNSWICK</x:v>
      </x:c>
      <x:c r="V258" t="str">
        <x:v>已匹配</x:v>
      </x:c>
      <x:c r="W258" s="16" t="n">
        <x:v>1</x:v>
      </x:c>
      <x:c r="X258" s="17" t="str">
        <x:v>Elite 100 V2：1</x:v>
      </x:c>
    </x:row>
    <x:row r="259" ht="18">
      <x:c r="A259" s="12" t="str">
        <x:v>873125800348</x:v>
      </x:c>
      <x:c r="B259" s="3" t="n">
        <x:v>26.5</x:v>
      </x:c>
      <x:c r="C259" s="5" t="n">
        <x:v>29.227</x:v>
      </x:c>
      <x:c r="D259" s="5" t="n">
        <x:f>C259-B259</x:f>
        <x:v>2.7270000000000003</x:v>
      </x:c>
      <x:c r="E259" t="str">
        <x:v>AC180</x:v>
      </x:c>
      <x:c r="F259" t="str">
        <x:v>已匹配</x:v>
      </x:c>
      <x:c r="G259" t="str">
        <x:v>AC1802339003131620</x:v>
      </x:c>
      <x:c r="H259" t="str">
        <x:v>LOG-SRL26061634</x:v>
      </x:c>
      <x:c r="I259" s="16" t="n">
        <x:v>19</x:v>
      </x:c>
      <x:c r="J259" s="16" t="n">
        <x:v>17</x:v>
      </x:c>
      <x:c r="K259" s="16" t="n">
        <x:v>13</x:v>
      </x:c>
      <x:c r="L259" s="19" t="n">
        <x:v>42.7</x:v>
      </x:c>
      <x:c r="M259" t="str">
        <x:v>lb</x:v>
      </x:c>
      <x:c r="N259" s="19" t="n">
        <x:v>43</x:v>
      </x:c>
      <x:c r="O259" t="str">
        <x:v>lb</x:v>
      </x:c>
      <x:c r="P259" s="19" t="n">
        <x:v>37.98564777445441</x:v>
      </x:c>
      <x:c r="Q259" t="str">
        <x:v>lb</x:v>
      </x:c>
      <x:c r="R259" t="str">
        <x:v>NH</x:v>
      </x:c>
      <x:c r="S259" t="str">
        <x:v>CENTER SANDWICH</x:v>
      </x:c>
      <x:c r="T259" t="str">
        <x:v>NJ</x:v>
      </x:c>
      <x:c r="U259" t="str">
        <x:v>NEW BRUNSWICK</x:v>
      </x:c>
      <x:c r="V259" t="str">
        <x:v>已匹配</x:v>
      </x:c>
      <x:c r="W259" s="16" t="n">
        <x:v>17.237</x:v>
      </x:c>
      <x:c r="X259" s="17" t="str">
        <x:v>AC180：17.237</x:v>
      </x:c>
    </x:row>
    <x:row r="260" ht="18">
      <x:c r="A260" s="12" t="str">
        <x:v>874456457692</x:v>
      </x:c>
      <x:c r="B260" s="3" t="n">
        <x:v>21.67</x:v>
      </x:c>
      <x:c r="C260" s="5" t="n">
        <x:v>24.354</x:v>
      </x:c>
      <x:c r="D260" s="5" t="n">
        <x:f>C260-B260</x:f>
        <x:v>2.6839999999999975</x:v>
      </x:c>
      <x:c r="E260" t="str">
        <x:v>EL100V2</x:v>
      </x:c>
      <x:c r="F260" t="str">
        <x:v>已匹配</x:v>
      </x:c>
      <x:c r="G260" t="str">
        <x:v>EL100V22528000660820</x:v>
      </x:c>
      <x:c r="H260" t="str">
        <x:v>LOG-CRP26072497</x:v>
      </x:c>
      <x:c r="I260" s="16" t="n">
        <x:v>16</x:v>
      </x:c>
      <x:c r="J260" s="16" t="n">
        <x:v>16</x:v>
      </x:c>
      <x:c r="K260" s="16" t="n">
        <x:v>12</x:v>
      </x:c>
      <x:c r="L260" s="19" t="n">
        <x:v>28.3</x:v>
      </x:c>
      <x:c r="M260" t="str">
        <x:v>lb</x:v>
      </x:c>
      <x:c r="N260" s="19" t="n">
        <x:v>29</x:v>
      </x:c>
      <x:c r="O260" t="str">
        <x:v>lb</x:v>
      </x:c>
      <x:c r="P260" s="19" t="n">
        <x:v>25.000420531765116</x:v>
      </x:c>
      <x:c r="Q260" t="str">
        <x:v>lb</x:v>
      </x:c>
      <x:c r="R260" t="str">
        <x:v>ME</x:v>
      </x:c>
      <x:c r="S260" t="str">
        <x:v>BROWNVILLE</x:v>
      </x:c>
      <x:c r="T260" t="str">
        <x:v>NJ</x:v>
      </x:c>
      <x:c r="U260" t="str">
        <x:v>NEW BRUNSWICK</x:v>
      </x:c>
      <x:c r="V260" t="str">
        <x:v>已匹配</x:v>
      </x:c>
      <x:c r="W260" s="16" t="n">
        <x:v>0</x:v>
      </x:c>
      <x:c r="X260" s="17" t="str">
        <x:v>EL100V2：0</x:v>
      </x:c>
    </x:row>
    <x:row r="261" ht="18">
      <x:c r="A261" s="12" t="str">
        <x:v>874087725260</x:v>
      </x:c>
      <x:c r="B261" s="3" t="n">
        <x:v>20.2</x:v>
      </x:c>
      <x:c r="C261" s="5" t="n">
        <x:v>22.858</x:v>
      </x:c>
      <x:c r="D261" s="5" t="n">
        <x:f>C261-B261</x:f>
        <x:v>2.6580000000000013</x:v>
      </x:c>
      <x:c r="E261" t="str">
        <x:v>EL100V2</x:v>
      </x:c>
      <x:c r="F261" t="str">
        <x:v>已匹配</x:v>
      </x:c>
      <x:c r="G261" t="str">
        <x:v>EL100V22532031082356</x:v>
      </x:c>
      <x:c r="H261" t="str">
        <x:v>LOG-SRL26071003</x:v>
      </x:c>
      <x:c r="I261" s="16" t="n">
        <x:v>16</x:v>
      </x:c>
      <x:c r="J261" s="16" t="n">
        <x:v>16</x:v>
      </x:c>
      <x:c r="K261" s="16" t="n">
        <x:v>12</x:v>
      </x:c>
      <x:c r="L261" s="19" t="n">
        <x:v>29.8</x:v>
      </x:c>
      <x:c r="M261" t="str">
        <x:v>lb</x:v>
      </x:c>
      <x:c r="N261" s="19" t="n">
        <x:v>30</x:v>
      </x:c>
      <x:c r="O261" t="str">
        <x:v>lb</x:v>
      </x:c>
      <x:c r="P261" s="19" t="n">
        <x:v>25.000420531765116</x:v>
      </x:c>
      <x:c r="Q261" t="str">
        <x:v>lb</x:v>
      </x:c>
      <x:c r="R261" t="str">
        <x:v>VA</x:v>
      </x:c>
      <x:c r="S261" t="str">
        <x:v>STEPHENS CITY</x:v>
      </x:c>
      <x:c r="T261" t="str">
        <x:v>NJ</x:v>
      </x:c>
      <x:c r="U261" t="str">
        <x:v>NEW BRUNSWICK</x:v>
      </x:c>
      <x:c r="V261" t="str">
        <x:v>已匹配</x:v>
      </x:c>
      <x:c r="W261" s="16" t="n">
        <x:v>11.34</x:v>
      </x:c>
      <x:c r="X261" s="17" t="str">
        <x:v>EL100V2：11.34</x:v>
      </x:c>
    </x:row>
    <x:row r="262" ht="18">
      <x:c r="A262" s="12" t="str">
        <x:v>874906233666</x:v>
      </x:c>
      <x:c r="B262" s="3" t="n">
        <x:v>36.65</x:v>
      </x:c>
      <x:c r="C262" s="5" t="n">
        <x:v>39.303</x:v>
      </x:c>
      <x:c r="D262" s="5" t="n">
        <x:f>C262-B262</x:f>
        <x:v>2.6529999999999987</x:v>
      </x:c>
      <x:c r="E262" t="str">
        <x:v>AC180</x:v>
      </x:c>
      <x:c r="F262" t="str">
        <x:v>已匹配</x:v>
      </x:c>
      <x:c r="G262" t="str">
        <x:v>AC1802339002100985</x:v>
      </x:c>
      <x:c r="H262" t="str">
        <x:v>LOG-CRP26074229</x:v>
      </x:c>
      <x:c r="I262" s="16"/>
      <x:c r="J262" s="16"/>
      <x:c r="K262" s="16"/>
      <x:c r="L262" s="19"/>
      <x:c r="M262"/>
      <x:c r="N262" s="19"/>
      <x:c r="O262"/>
      <x:c r="P262" s="19"/>
      <x:c r="Q262"/>
      <x:c r="R262"/>
      <x:c r="S262"/>
      <x:c r="T262"/>
      <x:c r="U262"/>
      <x:c r="V262" t="str">
        <x:v>未匹配</x:v>
      </x:c>
      <x:c r="W262" s="16" t="n">
        <x:v>17.237</x:v>
      </x:c>
      <x:c r="X262" s="17" t="str">
        <x:v>AC180：17.237</x:v>
      </x:c>
    </x:row>
    <x:row r="263" ht="18">
      <x:c r="A263" s="12" t="str">
        <x:v>873481838718</x:v>
      </x:c>
      <x:c r="B263" s="3" t="n">
        <x:v>21.76</x:v>
      </x:c>
      <x:c r="C263" s="5" t="n">
        <x:v>24.409</x:v>
      </x:c>
      <x:c r="D263" s="5" t="n">
        <x:f>C263-B263</x:f>
        <x:v>2.6489999999999974</x:v>
      </x:c>
      <x:c r="E263" t="str">
        <x:v>EL100V2</x:v>
      </x:c>
      <x:c r="F263" t="str">
        <x:v>已匹配</x:v>
      </x:c>
      <x:c r="G263" t="str">
        <x:v>EL100V22542132609892</x:v>
      </x:c>
      <x:c r="H263" t="str">
        <x:v>LOG-SRL26062464</x:v>
      </x:c>
      <x:c r="I263" s="16" t="n">
        <x:v>16</x:v>
      </x:c>
      <x:c r="J263" s="16" t="n">
        <x:v>16</x:v>
      </x:c>
      <x:c r="K263" s="16" t="n">
        <x:v>12</x:v>
      </x:c>
      <x:c r="L263" s="19" t="n">
        <x:v>28.9</x:v>
      </x:c>
      <x:c r="M263" t="str">
        <x:v>lb</x:v>
      </x:c>
      <x:c r="N263" s="19" t="n">
        <x:v>29</x:v>
      </x:c>
      <x:c r="O263" t="str">
        <x:v>lb</x:v>
      </x:c>
      <x:c r="P263" s="19" t="n">
        <x:v>25.000420531765116</x:v>
      </x:c>
      <x:c r="Q263" t="str">
        <x:v>lb</x:v>
      </x:c>
      <x:c r="R263" t="str">
        <x:v>KY</x:v>
      </x:c>
      <x:c r="S263" t="str">
        <x:v>HEBRON</x:v>
      </x:c>
      <x:c r="T263" t="str">
        <x:v>NJ</x:v>
      </x:c>
      <x:c r="U263" t="str">
        <x:v>NEW BRUNSWICK</x:v>
      </x:c>
      <x:c r="V263" t="str">
        <x:v>已匹配</x:v>
      </x:c>
      <x:c r="W263" s="16" t="n">
        <x:v>11.34</x:v>
      </x:c>
      <x:c r="X263" s="17" t="str">
        <x:v>EL100V2：11.34</x:v>
      </x:c>
    </x:row>
    <x:row r="264" ht="18">
      <x:c r="A264" s="12" t="str">
        <x:v>874715484054</x:v>
      </x:c>
      <x:c r="B264" s="3" t="n">
        <x:v>21.72</x:v>
      </x:c>
      <x:c r="C264" s="5" t="n">
        <x:v>24.354</x:v>
      </x:c>
      <x:c r="D264" s="5" t="n">
        <x:f>C264-B264</x:f>
        <x:v>2.6340000000000003</x:v>
      </x:c>
      <x:c r="E264" t="str">
        <x:v>EL100V2</x:v>
      </x:c>
      <x:c r="F264" t="str">
        <x:v>已匹配</x:v>
      </x:c>
      <x:c r="G264" t="str">
        <x:v>EL100V22528040811317</x:v>
      </x:c>
      <x:c r="H264" t="str">
        <x:v>LOG-SRL26073595</x:v>
      </x:c>
      <x:c r="I264" s="16" t="n">
        <x:v>19</x:v>
      </x:c>
      <x:c r="J264" s="16" t="n">
        <x:v>17</x:v>
      </x:c>
      <x:c r="K264" s="16" t="n">
        <x:v>13</x:v>
      </x:c>
      <x:c r="L264" s="19" t="n">
        <x:v>28.8</x:v>
      </x:c>
      <x:c r="M264" t="str">
        <x:v>lb</x:v>
      </x:c>
      <x:c r="N264" s="19" t="n">
        <x:v>29</x:v>
      </x:c>
      <x:c r="O264" t="str">
        <x:v>lb</x:v>
      </x:c>
      <x:c r="P264" s="19" t="n">
        <x:v>25.000420531765116</x:v>
      </x:c>
      <x:c r="Q264" t="str">
        <x:v>lb</x:v>
      </x:c>
      <x:c r="R264" t="str">
        <x:v>SC</x:v>
      </x:c>
      <x:c r="S264" t="str">
        <x:v>GAFFNEY</x:v>
      </x:c>
      <x:c r="T264" t="str">
        <x:v>NJ</x:v>
      </x:c>
      <x:c r="U264" t="str">
        <x:v>NEW BRUNSWICK</x:v>
      </x:c>
      <x:c r="V264" t="str">
        <x:v>已匹配</x:v>
      </x:c>
      <x:c r="W264" s="16" t="n">
        <x:v>11.34</x:v>
      </x:c>
      <x:c r="X264" s="17" t="str">
        <x:v>EL100V2：11.34</x:v>
      </x:c>
    </x:row>
    <x:row r="265" ht="18">
      <x:c r="A265" s="12" t="str">
        <x:v>874591397757</x:v>
      </x:c>
      <x:c r="B265" s="3" t="n">
        <x:v>21.72</x:v>
      </x:c>
      <x:c r="C265" s="5" t="n">
        <x:v>24.354</x:v>
      </x:c>
      <x:c r="D265" s="5" t="n">
        <x:f>C265-B265</x:f>
        <x:v>2.6340000000000003</x:v>
      </x:c>
      <x:c r="E265"/>
      <x:c r="F265" t="str">
        <x:v>未匹配</x:v>
      </x:c>
      <x:c r="G265"/>
      <x:c r="H265"/>
      <x:c r="I265" s="16" t="n">
        <x:v>16</x:v>
      </x:c>
      <x:c r="J265" s="16" t="n">
        <x:v>16</x:v>
      </x:c>
      <x:c r="K265" s="16" t="n">
        <x:v>12</x:v>
      </x:c>
      <x:c r="L265" s="19" t="n">
        <x:v>28.2</x:v>
      </x:c>
      <x:c r="M265" t="str">
        <x:v>lb</x:v>
      </x:c>
      <x:c r="N265" s="19" t="n">
        <x:v>29</x:v>
      </x:c>
      <x:c r="O265" t="str">
        <x:v>lb</x:v>
      </x:c>
      <x:c r="P265" s="19" t="n">
        <x:v>25.000420531765116</x:v>
      </x:c>
      <x:c r="Q265" t="str">
        <x:v>lb</x:v>
      </x:c>
      <x:c r="R265" t="str">
        <x:v>OH</x:v>
      </x:c>
      <x:c r="S265" t="str">
        <x:v>SAINT CLAIRSVILLE</x:v>
      </x:c>
      <x:c r="T265" t="str">
        <x:v>NJ</x:v>
      </x:c>
      <x:c r="U265" t="str">
        <x:v>NEW BRUNSWICK</x:v>
      </x:c>
      <x:c r="V265" t="str">
        <x:v>已匹配</x:v>
      </x:c>
      <x:c r="W265" s="16" t="n">
        <x:v>11.34</x:v>
      </x:c>
      <x:c r="X265" s="17" t="str">
        <x:v>EL100V2：11.34</x:v>
      </x:c>
    </x:row>
    <x:row r="266" ht="18">
      <x:c r="A266" s="12" t="str">
        <x:v>873123390590</x:v>
      </x:c>
      <x:c r="B266" s="3" t="n">
        <x:v>36.73</x:v>
      </x:c>
      <x:c r="C266" s="5" t="n">
        <x:v>39.347</x:v>
      </x:c>
      <x:c r="D266" s="5" t="n">
        <x:f>C266-B266</x:f>
        <x:v>2.6170000000000044</x:v>
      </x:c>
      <x:c r="E266" t="str">
        <x:v>AC180</x:v>
      </x:c>
      <x:c r="F266" t="str">
        <x:v>已匹配</x:v>
      </x:c>
      <x:c r="G266" t="str">
        <x:v>AC1802438000691508</x:v>
      </x:c>
      <x:c r="H266" t="str">
        <x:v>LOG-CRP26061613</x:v>
      </x:c>
      <x:c r="I266" s="16" t="n">
        <x:v>18</x:v>
      </x:c>
      <x:c r="J266" s="16" t="n">
        <x:v>18</x:v>
      </x:c>
      <x:c r="K266" s="16" t="n">
        <x:v>17</x:v>
      </x:c>
      <x:c r="L266" s="19" t="n">
        <x:v>41.6</x:v>
      </x:c>
      <x:c r="M266" t="str">
        <x:v>lb</x:v>
      </x:c>
      <x:c r="N266" s="19" t="n">
        <x:v>42</x:v>
      </x:c>
      <x:c r="O266" t="str">
        <x:v>lb</x:v>
      </x:c>
      <x:c r="P266" s="19" t="n">
        <x:v>37.98564777445441</x:v>
      </x:c>
      <x:c r="Q266" t="str">
        <x:v>lb</x:v>
      </x:c>
      <x:c r="R266" t="str">
        <x:v>MO</x:v>
      </x:c>
      <x:c r="S266" t="str">
        <x:v>SAINT LOUIS</x:v>
      </x:c>
      <x:c r="T266" t="str">
        <x:v>NJ</x:v>
      </x:c>
      <x:c r="U266" t="str">
        <x:v>NEW BRUNSWICK</x:v>
      </x:c>
      <x:c r="V266" t="str">
        <x:v>已匹配</x:v>
      </x:c>
      <x:c r="W266" s="16" t="n">
        <x:v>0</x:v>
      </x:c>
      <x:c r="X266" s="17" t="str">
        <x:v>AC180：0</x:v>
      </x:c>
    </x:row>
    <x:row r="267" ht="18">
      <x:c r="A267" s="12" t="str">
        <x:v>874145467698</x:v>
      </x:c>
      <x:c r="B267" s="3" t="n">
        <x:v>36.44</x:v>
      </x:c>
      <x:c r="C267" s="5" t="n">
        <x:v>39.039</x:v>
      </x:c>
      <x:c r="D267" s="5" t="n">
        <x:f>C267-B267</x:f>
        <x:v>2.5990000000000038</x:v>
      </x:c>
      <x:c r="E267" t="str">
        <x:v>AC180</x:v>
      </x:c>
      <x:c r="F267" t="str">
        <x:v>已匹配</x:v>
      </x:c>
      <x:c r="G267" t="str">
        <x:v>AC1802452001975363</x:v>
      </x:c>
      <x:c r="H267" t="str">
        <x:v>LOG-SRL26071244</x:v>
      </x:c>
      <x:c r="I267" s="16" t="n">
        <x:v>19</x:v>
      </x:c>
      <x:c r="J267" s="16" t="n">
        <x:v>17</x:v>
      </x:c>
      <x:c r="K267" s="16" t="n">
        <x:v>13</x:v>
      </x:c>
      <x:c r="L267" s="19" t="n">
        <x:v>41.8</x:v>
      </x:c>
      <x:c r="M267" t="str">
        <x:v>lb</x:v>
      </x:c>
      <x:c r="N267" s="19" t="n">
        <x:v>42</x:v>
      </x:c>
      <x:c r="O267" t="str">
        <x:v>lb</x:v>
      </x:c>
      <x:c r="P267" s="19" t="n">
        <x:v>37.98564777445441</x:v>
      </x:c>
      <x:c r="Q267" t="str">
        <x:v>lb</x:v>
      </x:c>
      <x:c r="R267" t="str">
        <x:v>GA</x:v>
      </x:c>
      <x:c r="S267" t="str">
        <x:v>ACWORTH</x:v>
      </x:c>
      <x:c r="T267" t="str">
        <x:v>NJ</x:v>
      </x:c>
      <x:c r="U267" t="str">
        <x:v>NEW BRUNSWICK</x:v>
      </x:c>
      <x:c r="V267" t="str">
        <x:v>已匹配</x:v>
      </x:c>
      <x:c r="W267" s="16" t="n">
        <x:v>17.237</x:v>
      </x:c>
      <x:c r="X267" s="17" t="str">
        <x:v>AC180：17.237</x:v>
      </x:c>
    </x:row>
    <x:row r="268" ht="18">
      <x:c r="A268" s="12" t="str">
        <x:v>873964041286</x:v>
      </x:c>
      <x:c r="B268" s="3" t="n">
        <x:v>36.44</x:v>
      </x:c>
      <x:c r="C268" s="5" t="n">
        <x:v>39.039</x:v>
      </x:c>
      <x:c r="D268" s="5" t="n">
        <x:f>C268-B268</x:f>
        <x:v>2.5990000000000038</x:v>
      </x:c>
      <x:c r="E268" t="str">
        <x:v>AC180</x:v>
      </x:c>
      <x:c r="F268" t="str">
        <x:v>已匹配</x:v>
      </x:c>
      <x:c r="G268" t="str">
        <x:v>AC1802419000816877</x:v>
      </x:c>
      <x:c r="H268" t="str">
        <x:v>LOG-SRL26070623</x:v>
      </x:c>
      <x:c r="I268" s="16" t="n">
        <x:v>19</x:v>
      </x:c>
      <x:c r="J268" s="16" t="n">
        <x:v>19</x:v>
      </x:c>
      <x:c r="K268" s="16" t="n">
        <x:v>14</x:v>
      </x:c>
      <x:c r="L268" s="19" t="n">
        <x:v>41.5</x:v>
      </x:c>
      <x:c r="M268" t="str">
        <x:v>lb</x:v>
      </x:c>
      <x:c r="N268" s="19" t="n">
        <x:v>42</x:v>
      </x:c>
      <x:c r="O268" t="str">
        <x:v>lb</x:v>
      </x:c>
      <x:c r="P268" s="19" t="n">
        <x:v>37.98564777445441</x:v>
      </x:c>
      <x:c r="Q268" t="str">
        <x:v>lb</x:v>
      </x:c>
      <x:c r="R268" t="str">
        <x:v>AL</x:v>
      </x:c>
      <x:c r="S268" t="str">
        <x:v>PIEDMONT</x:v>
      </x:c>
      <x:c r="T268" t="str">
        <x:v>NJ</x:v>
      </x:c>
      <x:c r="U268" t="str">
        <x:v>NEW BRUNSWICK</x:v>
      </x:c>
      <x:c r="V268" t="str">
        <x:v>已匹配</x:v>
      </x:c>
      <x:c r="W268" s="16" t="n">
        <x:v>17.237</x:v>
      </x:c>
      <x:c r="X268" s="17" t="str">
        <x:v>AC180：17.237</x:v>
      </x:c>
    </x:row>
    <x:row r="269" ht="18">
      <x:c r="A269" s="12" t="str">
        <x:v>873913263995</x:v>
      </x:c>
      <x:c r="B269" s="3" t="n">
        <x:v>21.72</x:v>
      </x:c>
      <x:c r="C269" s="5" t="n">
        <x:v>24.31</x:v>
      </x:c>
      <x:c r="D269" s="5" t="n">
        <x:f>C269-B269</x:f>
        <x:v>2.59</x:v>
      </x:c>
      <x:c r="E269" t="str">
        <x:v>EL100V2</x:v>
      </x:c>
      <x:c r="F269" t="str">
        <x:v>已匹配</x:v>
      </x:c>
      <x:c r="G269" t="str">
        <x:v>EL100V22541001452990</x:v>
      </x:c>
      <x:c r="H269" t="str">
        <x:v>LOG-SRL26070445</x:v>
      </x:c>
      <x:c r="I269" s="16" t="n">
        <x:v>16</x:v>
      </x:c>
      <x:c r="J269" s="16" t="n">
        <x:v>16</x:v>
      </x:c>
      <x:c r="K269" s="16" t="n">
        <x:v>12</x:v>
      </x:c>
      <x:c r="L269" s="19" t="n">
        <x:v>28.5</x:v>
      </x:c>
      <x:c r="M269" t="str">
        <x:v>lb</x:v>
      </x:c>
      <x:c r="N269" s="19" t="n">
        <x:v>29</x:v>
      </x:c>
      <x:c r="O269" t="str">
        <x:v>lb</x:v>
      </x:c>
      <x:c r="P269" s="19" t="n">
        <x:v>25.000420531765116</x:v>
      </x:c>
      <x:c r="Q269" t="str">
        <x:v>lb</x:v>
      </x:c>
      <x:c r="R269" t="str">
        <x:v>OH</x:v>
      </x:c>
      <x:c r="S269" t="str">
        <x:v>DAYTON</x:v>
      </x:c>
      <x:c r="T269" t="str">
        <x:v>NJ</x:v>
      </x:c>
      <x:c r="U269" t="str">
        <x:v>NEW BRUNSWICK</x:v>
      </x:c>
      <x:c r="V269" t="str">
        <x:v>已匹配</x:v>
      </x:c>
      <x:c r="W269" s="16" t="n">
        <x:v>11.34</x:v>
      </x:c>
      <x:c r="X269" s="17" t="str">
        <x:v>EL100V2：11.34</x:v>
      </x:c>
    </x:row>
    <x:row r="270" ht="18">
      <x:c r="A270" s="12" t="str">
        <x:v>873246589963</x:v>
      </x:c>
      <x:c r="B270" s="3" t="n">
        <x:v>29.14</x:v>
      </x:c>
      <x:c r="C270" s="5" t="n">
        <x:v>31.68</x:v>
      </x:c>
      <x:c r="D270" s="5" t="n">
        <x:f>C270-B270</x:f>
        <x:v>2.539999999999999</x:v>
      </x:c>
      <x:c r="E270" t="str">
        <x:v>RV5</x:v>
      </x:c>
      <x:c r="F270" t="str">
        <x:v>已匹配</x:v>
      </x:c>
      <x:c r="G270" t="str">
        <x:v>RV52534020463834</x:v>
      </x:c>
      <x:c r="H270" t="str">
        <x:v>LOG-SRL26062014</x:v>
      </x:c>
      <x:c r="I270" s="16" t="n">
        <x:v>24</x:v>
      </x:c>
      <x:c r="J270" s="16" t="n">
        <x:v>21</x:v>
      </x:c>
      <x:c r="K270" s="16" t="n">
        <x:v>10</x:v>
      </x:c>
      <x:c r="L270" s="19" t="n">
        <x:v>38.3</x:v>
      </x:c>
      <x:c r="M270" t="str">
        <x:v>lb</x:v>
      </x:c>
      <x:c r="N270" s="19" t="n">
        <x:v>39</x:v>
      </x:c>
      <x:c r="O270" t="str">
        <x:v>lb</x:v>
      </x:c>
      <x:c r="P270" s="19" t="n">
        <x:v>35.27396194958041</x:v>
      </x:c>
      <x:c r="Q270" t="str">
        <x:v>lb</x:v>
      </x:c>
      <x:c r="R270" t="str">
        <x:v>NC</x:v>
      </x:c>
      <x:c r="S270" t="str">
        <x:v>WILMINGTON</x:v>
      </x:c>
      <x:c r="T270" t="str">
        <x:v>NJ</x:v>
      </x:c>
      <x:c r="U270" t="str">
        <x:v>NEW BRUNSWICK</x:v>
      </x:c>
      <x:c r="V270" t="str">
        <x:v>已匹配</x:v>
      </x:c>
      <x:c r="W270" s="16" t="n">
        <x:v>1</x:v>
      </x:c>
      <x:c r="X270" s="17" t="str">
        <x:v>RV5：1</x:v>
      </x:c>
    </x:row>
    <x:row r="271" ht="18">
      <x:c r="A271" s="12" t="str">
        <x:v>873543235287</x:v>
      </x:c>
      <x:c r="B271" s="3" t="n">
        <x:v>29.02</x:v>
      </x:c>
      <x:c r="C271" s="5" t="n">
        <x:v>31.559</x:v>
      </x:c>
      <x:c r="D271" s="5" t="n">
        <x:f>C271-B271</x:f>
        <x:v>2.5390000000000015</x:v>
      </x:c>
      <x:c r="E271" t="str">
        <x:v>AC180</x:v>
      </x:c>
      <x:c r="F271" t="str">
        <x:v>已匹配</x:v>
      </x:c>
      <x:c r="G271" t="str">
        <x:v>AC1802330004071213</x:v>
      </x:c>
      <x:c r="H271" t="str">
        <x:v>LOG-CRP26062678</x:v>
      </x:c>
      <x:c r="I271" s="16" t="n">
        <x:v>18</x:v>
      </x:c>
      <x:c r="J271" s="16" t="n">
        <x:v>16</x:v>
      </x:c>
      <x:c r="K271" s="16" t="n">
        <x:v>16</x:v>
      </x:c>
      <x:c r="L271" s="19" t="n">
        <x:v>39.2</x:v>
      </x:c>
      <x:c r="M271" t="str">
        <x:v>lb</x:v>
      </x:c>
      <x:c r="N271" s="19" t="n">
        <x:v>40</x:v>
      </x:c>
      <x:c r="O271" t="str">
        <x:v>lb</x:v>
      </x:c>
      <x:c r="P271" s="19" t="n">
        <x:v>35.27396194958041</x:v>
      </x:c>
      <x:c r="Q271" t="str">
        <x:v>lb</x:v>
      </x:c>
      <x:c r="R271" t="str">
        <x:v>NC</x:v>
      </x:c>
      <x:c r="S271" t="str">
        <x:v>MATTHEWS</x:v>
      </x:c>
      <x:c r="T271" t="str">
        <x:v>NJ</x:v>
      </x:c>
      <x:c r="U271" t="str">
        <x:v>NEW BRUNSWICK</x:v>
      </x:c>
      <x:c r="V271" t="str">
        <x:v>已匹配</x:v>
      </x:c>
      <x:c r="W271" s="16" t="n">
        <x:v>1</x:v>
      </x:c>
      <x:c r="X271" s="17" t="str">
        <x:v>AC180：1</x:v>
      </x:c>
    </x:row>
    <x:row r="272" ht="18">
      <x:c r="A272" s="12" t="str">
        <x:v>873417139073</x:v>
      </x:c>
      <x:c r="B272" s="3" t="n">
        <x:v>29.02</x:v>
      </x:c>
      <x:c r="C272" s="5" t="n">
        <x:v>31.559</x:v>
      </x:c>
      <x:c r="D272" s="5" t="n">
        <x:f>C272-B272</x:f>
        <x:v>2.5390000000000015</x:v>
      </x:c>
      <x:c r="E272" t="str">
        <x:v>AC180</x:v>
      </x:c>
      <x:c r="F272" t="str">
        <x:v>已匹配</x:v>
      </x:c>
      <x:c r="G272" t="str">
        <x:v>AC1802441003667662</x:v>
      </x:c>
      <x:c r="H272" t="str">
        <x:v>LOG-CRP26062258</x:v>
      </x:c>
      <x:c r="I272" s="16" t="n">
        <x:v>18</x:v>
      </x:c>
      <x:c r="J272" s="16" t="n">
        <x:v>15</x:v>
      </x:c>
      <x:c r="K272" s="16" t="n">
        <x:v>13</x:v>
      </x:c>
      <x:c r="L272" s="19" t="n">
        <x:v>38.5</x:v>
      </x:c>
      <x:c r="M272" t="str">
        <x:v>lb</x:v>
      </x:c>
      <x:c r="N272" s="19" t="n">
        <x:v>39</x:v>
      </x:c>
      <x:c r="O272" t="str">
        <x:v>lb</x:v>
      </x:c>
      <x:c r="P272" s="19" t="n">
        <x:v>35.27396194958041</x:v>
      </x:c>
      <x:c r="Q272" t="str">
        <x:v>lb</x:v>
      </x:c>
      <x:c r="R272" t="str">
        <x:v>SC</x:v>
      </x:c>
      <x:c r="S272" t="str">
        <x:v>GAFFNEY</x:v>
      </x:c>
      <x:c r="T272" t="str">
        <x:v>NJ</x:v>
      </x:c>
      <x:c r="U272" t="str">
        <x:v>NEW BRUNSWICK</x:v>
      </x:c>
      <x:c r="V272" t="str">
        <x:v>已匹配</x:v>
      </x:c>
      <x:c r="W272" s="16" t="n">
        <x:v>1</x:v>
      </x:c>
      <x:c r="X272" s="17" t="str">
        <x:v>AC180：1</x:v>
      </x:c>
    </x:row>
    <x:row r="273" ht="18">
      <x:c r="A273" s="12" t="str">
        <x:v>873551801515</x:v>
      </x:c>
      <x:c r="B273" s="3" t="n">
        <x:v>16.62</x:v>
      </x:c>
      <x:c r="C273" s="5" t="n">
        <x:v>19.151</x:v>
      </x:c>
      <x:c r="D273" s="5" t="n">
        <x:f>C273-B273</x:f>
        <x:v>2.530999999999999</x:v>
      </x:c>
      <x:c r="E273" t="str">
        <x:v>AC70</x:v>
      </x:c>
      <x:c r="F273" t="str">
        <x:v>已匹配</x:v>
      </x:c>
      <x:c r="G273" t="str">
        <x:v>AC702539011288995</x:v>
      </x:c>
      <x:c r="H273" t="str">
        <x:v>LOG-SRD26062911</x:v>
      </x:c>
      <x:c r="I273" s="16" t="n">
        <x:v>16</x:v>
      </x:c>
      <x:c r="J273" s="16" t="n">
        <x:v>16</x:v>
      </x:c>
      <x:c r="K273" s="16" t="n">
        <x:v>12</x:v>
      </x:c>
      <x:c r="L273" s="19" t="n">
        <x:v>27.2</x:v>
      </x:c>
      <x:c r="M273" t="str">
        <x:v>lb</x:v>
      </x:c>
      <x:c r="N273" s="19" t="n">
        <x:v>28</x:v>
      </x:c>
      <x:c r="O273" t="str">
        <x:v>lb</x:v>
      </x:c>
      <x:c r="P273" s="19" t="n">
        <x:v>15.983514008403624</x:v>
      </x:c>
      <x:c r="Q273" t="str">
        <x:v>lb</x:v>
      </x:c>
      <x:c r="R273" t="str">
        <x:v>MD</x:v>
      </x:c>
      <x:c r="S273" t="str">
        <x:v>LUTHERVILLE TIMONIUM</x:v>
      </x:c>
      <x:c r="T273" t="str">
        <x:v>NJ</x:v>
      </x:c>
      <x:c r="U273" t="str">
        <x:v>NEW BRUNSWICK</x:v>
      </x:c>
      <x:c r="V273" t="str">
        <x:v>已匹配</x:v>
      </x:c>
      <x:c r="W273" s="16" t="n">
        <x:v>0</x:v>
      </x:c>
      <x:c r="X273" s="17" t="str">
        <x:v>AC70：0</x:v>
      </x:c>
    </x:row>
    <x:row r="274" ht="18">
      <x:c r="A274" s="12" t="str">
        <x:v>873866458032</x:v>
      </x:c>
      <x:c r="B274" s="3" t="n">
        <x:v>36.51</x:v>
      </x:c>
      <x:c r="C274" s="5" t="n">
        <x:v>39.039</x:v>
      </x:c>
      <x:c r="D274" s="5" t="n">
        <x:f>C274-B274</x:f>
        <x:v>2.5290000000000035</x:v>
      </x:c>
      <x:c r="E274" t="str">
        <x:v>AC180</x:v>
      </x:c>
      <x:c r="F274" t="str">
        <x:v>已匹配</x:v>
      </x:c>
      <x:c r="G274" t="str">
        <x:v>AC1802451004304094</x:v>
      </x:c>
      <x:c r="H274" t="str">
        <x:v>LOG-SRL26070332</x:v>
      </x:c>
      <x:c r="I274" s="16" t="n">
        <x:v>17</x:v>
      </x:c>
      <x:c r="J274" s="16" t="n">
        <x:v>16</x:v>
      </x:c>
      <x:c r="K274" s="16" t="n">
        <x:v>13</x:v>
      </x:c>
      <x:c r="L274" s="19" t="n">
        <x:v>41.9</x:v>
      </x:c>
      <x:c r="M274" t="str">
        <x:v>lb</x:v>
      </x:c>
      <x:c r="N274" s="19" t="n">
        <x:v>42</x:v>
      </x:c>
      <x:c r="O274" t="str">
        <x:v>lb</x:v>
      </x:c>
      <x:c r="P274" s="19" t="n">
        <x:v>37.98564777445441</x:v>
      </x:c>
      <x:c r="Q274" t="str">
        <x:v>lb</x:v>
      </x:c>
      <x:c r="R274" t="str">
        <x:v>MO</x:v>
      </x:c>
      <x:c r="S274" t="str">
        <x:v>LEWISTOWN</x:v>
      </x:c>
      <x:c r="T274" t="str">
        <x:v>NJ</x:v>
      </x:c>
      <x:c r="U274" t="str">
        <x:v>NEW BRUNSWICK</x:v>
      </x:c>
      <x:c r="V274" t="str">
        <x:v>已匹配</x:v>
      </x:c>
      <x:c r="W274" s="16" t="n">
        <x:v>17.237</x:v>
      </x:c>
      <x:c r="X274" s="17" t="str">
        <x:v>AC180：17.237</x:v>
      </x:c>
    </x:row>
    <x:row r="275" ht="18">
      <x:c r="A275" s="12" t="str">
        <x:v>873686666786</x:v>
      </x:c>
      <x:c r="B275" s="3" t="n">
        <x:v>21.27</x:v>
      </x:c>
      <x:c r="C275" s="5" t="n">
        <x:v>23.771</x:v>
      </x:c>
      <x:c r="D275" s="5" t="n">
        <x:f>C275-B275</x:f>
        <x:v>2.5010000000000012</x:v>
      </x:c>
      <x:c r="E275" t="str">
        <x:v>EL30V2</x:v>
      </x:c>
      <x:c r="F275" t="str">
        <x:v>已匹配</x:v>
      </x:c>
      <x:c r="G275" t="str">
        <x:v>EL30V22550131226061</x:v>
      </x:c>
      <x:c r="H275"/>
      <x:c r="I275" s="16" t="n">
        <x:v>14</x:v>
      </x:c>
      <x:c r="J275" s="16" t="n">
        <x:v>13</x:v>
      </x:c>
      <x:c r="K275" s="16" t="n">
        <x:v>13</x:v>
      </x:c>
      <x:c r="L275" s="19" t="n">
        <x:v>12.6</x:v>
      </x:c>
      <x:c r="M275" t="str">
        <x:v>lb</x:v>
      </x:c>
      <x:c r="N275" s="19" t="n">
        <x:v>15</x:v>
      </x:c>
      <x:c r="O275" t="str">
        <x:v>lb</x:v>
      </x:c>
      <x:c r="P275" s="19" t="n">
        <x:v>12.985227242689287</x:v>
      </x:c>
      <x:c r="Q275" t="str">
        <x:v>lb</x:v>
      </x:c>
      <x:c r="R275" t="str">
        <x:v>FL</x:v>
      </x:c>
      <x:c r="S275" t="str">
        <x:v>PUNTA GORDA</x:v>
      </x:c>
      <x:c r="T275" t="str">
        <x:v>NJ</x:v>
      </x:c>
      <x:c r="U275" t="str">
        <x:v>NEW BRUNSWICK</x:v>
      </x:c>
      <x:c r="V275" t="str">
        <x:v>已匹配</x:v>
      </x:c>
      <x:c r="W275" s="16" t="n">
        <x:v>5.897</x:v>
      </x:c>
      <x:c r="X275" s="17" t="str">
        <x:v>EB3A：5.897</x:v>
      </x:c>
    </x:row>
    <x:row r="276" ht="18">
      <x:c r="A276" s="12" t="str">
        <x:v>873225513272</x:v>
      </x:c>
      <x:c r="B276" s="3" t="n">
        <x:v>35.08</x:v>
      </x:c>
      <x:c r="C276" s="5" t="n">
        <x:v>37.565</x:v>
      </x:c>
      <x:c r="D276" s="5" t="n">
        <x:f>C276-B276</x:f>
        <x:v>2.4849999999999994</x:v>
      </x:c>
      <x:c r="E276" t="str">
        <x:v>AC180</x:v>
      </x:c>
      <x:c r="F276" t="str">
        <x:v>已匹配</x:v>
      </x:c>
      <x:c r="G276" t="str">
        <x:v>AC1802451005876659</x:v>
      </x:c>
      <x:c r="H276" t="str">
        <x:v>LOG-CRP26061894</x:v>
      </x:c>
      <x:c r="I276" s="16" t="n">
        <x:v>18</x:v>
      </x:c>
      <x:c r="J276" s="16" t="n">
        <x:v>16</x:v>
      </x:c>
      <x:c r="K276" s="16" t="n">
        <x:v>11</x:v>
      </x:c>
      <x:c r="L276" s="19" t="n">
        <x:v>38.3</x:v>
      </x:c>
      <x:c r="M276" t="str">
        <x:v>lb</x:v>
      </x:c>
      <x:c r="N276" s="19" t="n">
        <x:v>39</x:v>
      </x:c>
      <x:c r="O276" t="str">
        <x:v>lb</x:v>
      </x:c>
      <x:c r="P276" s="19" t="n">
        <x:v>34.987361008740066</x:v>
      </x:c>
      <x:c r="Q276" t="str">
        <x:v>lb</x:v>
      </x:c>
      <x:c r="R276" t="str">
        <x:v>AL</x:v>
      </x:c>
      <x:c r="S276" t="str">
        <x:v>AUBURN</x:v>
      </x:c>
      <x:c r="T276" t="str">
        <x:v>NJ</x:v>
      </x:c>
      <x:c r="U276" t="str">
        <x:v>NEW BRUNSWICK</x:v>
      </x:c>
      <x:c r="V276" t="str">
        <x:v>已匹配</x:v>
      </x:c>
      <x:c r="W276" s="16" t="n">
        <x:v>0</x:v>
      </x:c>
      <x:c r="X276" s="17" t="str">
        <x:v>商品名称为空：0</x:v>
      </x:c>
    </x:row>
    <x:row r="277" ht="18">
      <x:c r="A277" s="12" t="str">
        <x:v>874595862247</x:v>
      </x:c>
      <x:c r="B277" s="3" t="n">
        <x:v>36.51</x:v>
      </x:c>
      <x:c r="C277" s="5" t="n">
        <x:v>38.995</x:v>
      </x:c>
      <x:c r="D277" s="5" t="n">
        <x:f>C277-B277</x:f>
        <x:v>2.4849999999999994</x:v>
      </x:c>
      <x:c r="E277" t="str">
        <x:v>AC180</x:v>
      </x:c>
      <x:c r="F277" t="str">
        <x:v>已匹配</x:v>
      </x:c>
      <x:c r="G277" t="str">
        <x:v>AC1802439001089315</x:v>
      </x:c>
      <x:c r="H277" t="str">
        <x:v>LOG-CRP26073157</x:v>
      </x:c>
      <x:c r="I277" s="16" t="n">
        <x:v>19</x:v>
      </x:c>
      <x:c r="J277" s="16" t="n">
        <x:v>17</x:v>
      </x:c>
      <x:c r="K277" s="16" t="n">
        <x:v>13</x:v>
      </x:c>
      <x:c r="L277" s="19" t="n">
        <x:v>40.9</x:v>
      </x:c>
      <x:c r="M277" t="str">
        <x:v>lb</x:v>
      </x:c>
      <x:c r="N277" s="19" t="n">
        <x:v>41</x:v>
      </x:c>
      <x:c r="O277" t="str">
        <x:v>lb</x:v>
      </x:c>
      <x:c r="P277" s="19" t="n">
        <x:v>37.98564777445441</x:v>
      </x:c>
      <x:c r="Q277" t="str">
        <x:v>lb</x:v>
      </x:c>
      <x:c r="R277" t="str">
        <x:v>IL</x:v>
      </x:c>
      <x:c r="S277" t="str">
        <x:v>CHICAGO</x:v>
      </x:c>
      <x:c r="T277" t="str">
        <x:v>NJ</x:v>
      </x:c>
      <x:c r="U277" t="str">
        <x:v>NEW BRUNSWICK</x:v>
      </x:c>
      <x:c r="V277" t="str">
        <x:v>已匹配</x:v>
      </x:c>
      <x:c r="W277" s="16" t="n">
        <x:v>17.237</x:v>
      </x:c>
      <x:c r="X277" s="17" t="str">
        <x:v>AC180：17.237</x:v>
      </x:c>
    </x:row>
    <x:row r="278" ht="18">
      <x:c r="A278" s="12" t="str">
        <x:v>874094969130</x:v>
      </x:c>
      <x:c r="B278" s="3" t="n">
        <x:v>36.44</x:v>
      </x:c>
      <x:c r="C278" s="5" t="n">
        <x:v>38.918</x:v>
      </x:c>
      <x:c r="D278" s="5" t="n">
        <x:f>C278-B278</x:f>
        <x:v>2.4780000000000015</x:v>
      </x:c>
      <x:c r="E278" t="str">
        <x:v>AC180P</x:v>
      </x:c>
      <x:c r="F278" t="str">
        <x:v>已匹配</x:v>
      </x:c>
      <x:c r="G278" t="str">
        <x:v>AC180P2436000672684</x:v>
      </x:c>
      <x:c r="H278" t="str">
        <x:v>LOG-SRL26071105</x:v>
      </x:c>
      <x:c r="I278" s="16" t="n">
        <x:v>19</x:v>
      </x:c>
      <x:c r="J278" s="16" t="n">
        <x:v>16</x:v>
      </x:c>
      <x:c r="K278" s="16" t="n">
        <x:v>13</x:v>
      </x:c>
      <x:c r="L278" s="19" t="n">
        <x:v>40.7</x:v>
      </x:c>
      <x:c r="M278" t="str">
        <x:v>lb</x:v>
      </x:c>
      <x:c r="N278" s="19" t="n">
        <x:v>41</x:v>
      </x:c>
      <x:c r="O278" t="str">
        <x:v>lb</x:v>
      </x:c>
      <x:c r="P278" s="19" t="n">
        <x:v>37.98564777445441</x:v>
      </x:c>
      <x:c r="Q278" t="str">
        <x:v>lb</x:v>
      </x:c>
      <x:c r="R278" t="str">
        <x:v>FL</x:v>
      </x:c>
      <x:c r="S278" t="str">
        <x:v>INVERNESS</x:v>
      </x:c>
      <x:c r="T278" t="str">
        <x:v>NJ</x:v>
      </x:c>
      <x:c r="U278" t="str">
        <x:v>NEW BRUNSWICK</x:v>
      </x:c>
      <x:c r="V278" t="str">
        <x:v>已匹配</x:v>
      </x:c>
      <x:c r="W278" s="16" t="n">
        <x:v>17.237</x:v>
      </x:c>
      <x:c r="X278" s="17" t="str">
        <x:v>AC180P：17.237</x:v>
      </x:c>
    </x:row>
    <x:row r="279" ht="18">
      <x:c r="A279" s="12" t="str">
        <x:v>874140339270</x:v>
      </x:c>
      <x:c r="B279" s="3" t="n">
        <x:v>20.9</x:v>
      </x:c>
      <x:c r="C279" s="5" t="n">
        <x:v>23.364</x:v>
      </x:c>
      <x:c r="D279" s="5" t="n">
        <x:f>C279-B279</x:f>
        <x:v>2.464000000000002</x:v>
      </x:c>
      <x:c r="E279" t="str">
        <x:v>EL100V2</x:v>
      </x:c>
      <x:c r="F279" t="str">
        <x:v>已匹配</x:v>
      </x:c>
      <x:c r="G279" t="str">
        <x:v>EL100V22541001969167</x:v>
      </x:c>
      <x:c r="H279" t="str">
        <x:v>LOG-SRL26071179</x:v>
      </x:c>
      <x:c r="I279" s="16" t="n">
        <x:v>20</x:v>
      </x:c>
      <x:c r="J279" s="16" t="n">
        <x:v>16</x:v>
      </x:c>
      <x:c r="K279" s="16" t="n">
        <x:v>16</x:v>
      </x:c>
      <x:c r="L279" s="19"/>
      <x:c r="M279"/>
      <x:c r="N279" s="19" t="n">
        <x:v>31</x:v>
      </x:c>
      <x:c r="O279" t="str">
        <x:v>lb</x:v>
      </x:c>
      <x:c r="P279" s="19" t="n">
        <x:v>25.35316015126092</x:v>
      </x:c>
      <x:c r="Q279" t="str">
        <x:v>lb</x:v>
      </x:c>
      <x:c r="R279" t="str">
        <x:v>MA</x:v>
      </x:c>
      <x:c r="S279" t="str">
        <x:v>FRANKLIN</x:v>
      </x:c>
      <x:c r="T279" t="str">
        <x:v>NJ</x:v>
      </x:c>
      <x:c r="U279" t="str">
        <x:v>NEW BRUNSWICK</x:v>
      </x:c>
      <x:c r="V279" t="str">
        <x:v>已匹配</x:v>
      </x:c>
      <x:c r="W279" s="16" t="n">
        <x:v>1</x:v>
      </x:c>
      <x:c r="X279" s="17" t="str">
        <x:v>Elite 100 V2：1</x:v>
      </x:c>
    </x:row>
    <x:row r="280" ht="18">
      <x:c r="A280" s="12" t="str">
        <x:v>873861801661</x:v>
      </x:c>
      <x:c r="B280" s="3" t="n">
        <x:v>21.11</x:v>
      </x:c>
      <x:c r="C280" s="5" t="n">
        <x:v>23.562</x:v>
      </x:c>
      <x:c r="D280" s="5" t="n">
        <x:f>C280-B280</x:f>
        <x:v>2.4520000000000017</x:v>
      </x:c>
      <x:c r="E280" t="str">
        <x:v>AC2A</x:v>
      </x:c>
      <x:c r="F280" t="str">
        <x:v>已匹配</x:v>
      </x:c>
      <x:c r="G280" t="str">
        <x:v>AC2A2348000291983</x:v>
      </x:c>
      <x:c r="H280" t="str">
        <x:v>LOG-CRP26074175</x:v>
      </x:c>
      <x:c r="I280" s="16" t="n">
        <x:v>13</x:v>
      </x:c>
      <x:c r="J280" s="16" t="n">
        <x:v>11</x:v>
      </x:c>
      <x:c r="K280" s="16" t="n">
        <x:v>8</x:v>
      </x:c>
      <x:c r="L280" s="19" t="n">
        <x:v>10.4</x:v>
      </x:c>
      <x:c r="M280" t="str">
        <x:v>lb</x:v>
      </x:c>
      <x:c r="N280" s="19" t="n">
        <x:v>11</x:v>
      </x:c>
      <x:c r="O280" t="str">
        <x:v>lb</x:v>
      </x:c>
      <x:c r="P280" s="19" t="n">
        <x:v>7.9807338910925685</x:v>
      </x:c>
      <x:c r="Q280" t="str">
        <x:v>lb</x:v>
      </x:c>
      <x:c r="R280" t="str">
        <x:v>TX</x:v>
      </x:c>
      <x:c r="S280" t="str">
        <x:v>GEORGETOWN</x:v>
      </x:c>
      <x:c r="T280" t="str">
        <x:v>NJ</x:v>
      </x:c>
      <x:c r="U280" t="str">
        <x:v>NEW BRUNSWICK</x:v>
      </x:c>
      <x:c r="V280" t="str">
        <x:v>已匹配</x:v>
      </x:c>
      <x:c r="W280" s="16" t="n">
        <x:v>3.629</x:v>
      </x:c>
      <x:c r="X280" s="17" t="str">
        <x:v>AC2A：3.629</x:v>
      </x:c>
    </x:row>
    <x:row r="281" ht="18">
      <x:c r="A281" s="12" t="str">
        <x:v>874515937995</x:v>
      </x:c>
      <x:c r="B281" s="3" t="n">
        <x:v>71.67</x:v>
      </x:c>
      <x:c r="C281" s="5" t="n">
        <x:v>74.096</x:v>
      </x:c>
      <x:c r="D281" s="5" t="n">
        <x:f>C281-B281</x:f>
        <x:v>2.426000000000002</x:v>
      </x:c>
      <x:c r="E281"/>
      <x:c r="F281" t="str">
        <x:v>未匹配</x:v>
      </x:c>
      <x:c r="G281"/>
      <x:c r="H281"/>
      <x:c r="I281" s="16" t="n">
        <x:v>19</x:v>
      </x:c>
      <x:c r="J281" s="16" t="n">
        <x:v>15</x:v>
      </x:c>
      <x:c r="K281" s="16" t="n">
        <x:v>15</x:v>
      </x:c>
      <x:c r="L281" s="19" t="n">
        <x:v>62.1</x:v>
      </x:c>
      <x:c r="M281" t="str">
        <x:v>lb</x:v>
      </x:c>
      <x:c r="N281" s="19" t="n">
        <x:v>63</x:v>
      </x:c>
      <x:c r="O281" t="str">
        <x:v>lb</x:v>
      </x:c>
      <x:c r="P281" s="19" t="n">
        <x:v>57.9815749546228</x:v>
      </x:c>
      <x:c r="Q281" t="str">
        <x:v>lb</x:v>
      </x:c>
      <x:c r="R281" t="str">
        <x:v>WV</x:v>
      </x:c>
      <x:c r="S281" t="str">
        <x:v>ONA</x:v>
      </x:c>
      <x:c r="T281" t="str">
        <x:v>NJ</x:v>
      </x:c>
      <x:c r="U281" t="str">
        <x:v>NEW BRUNSWICK</x:v>
      </x:c>
      <x:c r="V281" t="str">
        <x:v>已匹配</x:v>
      </x:c>
      <x:c r="W281" s="16" t="n">
        <x:v>1</x:v>
      </x:c>
      <x:c r="X281" s="17" t="str">
        <x:v>Elite 300：1</x:v>
      </x:c>
    </x:row>
    <x:row r="282" ht="18">
      <x:c r="A282" s="12" t="str">
        <x:v>875025085242</x:v>
      </x:c>
      <x:c r="B282" s="3" t="n">
        <x:v>21.81</x:v>
      </x:c>
      <x:c r="C282" s="5" t="n">
        <x:v>24.233</x:v>
      </x:c>
      <x:c r="D282" s="5" t="n">
        <x:f>C282-B282</x:f>
        <x:v>2.423000000000002</x:v>
      </x:c>
      <x:c r="E282" t="str">
        <x:v>EL100V2</x:v>
      </x:c>
      <x:c r="F282" t="str">
        <x:v>已匹配</x:v>
      </x:c>
      <x:c r="G282" t="str">
        <x:v>EL100V22526091127598</x:v>
      </x:c>
      <x:c r="H282" t="str">
        <x:v>LOG-SRD26074607</x:v>
      </x:c>
      <x:c r="I282" s="16"/>
      <x:c r="J282" s="16"/>
      <x:c r="K282" s="16"/>
      <x:c r="L282" s="19"/>
      <x:c r="M282"/>
      <x:c r="N282" s="19"/>
      <x:c r="O282"/>
      <x:c r="P282" s="19"/>
      <x:c r="Q282"/>
      <x:c r="R282"/>
      <x:c r="S282"/>
      <x:c r="T282"/>
      <x:c r="U282"/>
      <x:c r="V282" t="str">
        <x:v>未匹配</x:v>
      </x:c>
      <x:c r="W282" s="16" t="n">
        <x:v>11.34</x:v>
      </x:c>
      <x:c r="X282" s="17" t="str">
        <x:v>EL100V2：11.34</x:v>
      </x:c>
    </x:row>
    <x:row r="283" ht="18">
      <x:c r="A283" s="12" t="str">
        <x:v>873963408616</x:v>
      </x:c>
      <x:c r="B283" s="3" t="n">
        <x:v>21.67</x:v>
      </x:c>
      <x:c r="C283" s="5" t="n">
        <x:v>24.09</x:v>
      </x:c>
      <x:c r="D283" s="5" t="n">
        <x:f>C283-B283</x:f>
        <x:v>2.419999999999998</x:v>
      </x:c>
      <x:c r="E283" t="str">
        <x:v>EL100V2</x:v>
      </x:c>
      <x:c r="F283" t="str">
        <x:v>已匹配</x:v>
      </x:c>
      <x:c r="G283" t="str">
        <x:v>EL100V22532010208560</x:v>
      </x:c>
      <x:c r="H283" t="str">
        <x:v>LOG-SRL26070616</x:v>
      </x:c>
      <x:c r="I283" s="16" t="n">
        <x:v>17</x:v>
      </x:c>
      <x:c r="J283" s="16" t="n">
        <x:v>12</x:v>
      </x:c>
      <x:c r="K283" s="16" t="n">
        <x:v>12</x:v>
      </x:c>
      <x:c r="L283" s="19" t="n">
        <x:v>27.9</x:v>
      </x:c>
      <x:c r="M283" t="str">
        <x:v>lb</x:v>
      </x:c>
      <x:c r="N283" s="19" t="n">
        <x:v>28</x:v>
      </x:c>
      <x:c r="O283" t="str">
        <x:v>lb</x:v>
      </x:c>
      <x:c r="P283" s="19" t="n">
        <x:v>25.000420531765116</x:v>
      </x:c>
      <x:c r="Q283" t="str">
        <x:v>lb</x:v>
      </x:c>
      <x:c r="R283" t="str">
        <x:v>TN</x:v>
      </x:c>
      <x:c r="S283" t="str">
        <x:v>BLOUNTVILLE</x:v>
      </x:c>
      <x:c r="T283" t="str">
        <x:v>NJ</x:v>
      </x:c>
      <x:c r="U283" t="str">
        <x:v>NEW BRUNSWICK</x:v>
      </x:c>
      <x:c r="V283" t="str">
        <x:v>已匹配</x:v>
      </x:c>
      <x:c r="W283" s="16" t="n">
        <x:v>11.34</x:v>
      </x:c>
      <x:c r="X283" s="17" t="str">
        <x:v>EL100V2：11.34</x:v>
      </x:c>
    </x:row>
    <x:row r="284" ht="18">
      <x:c r="A284" s="12" t="str">
        <x:v>874713748029</x:v>
      </x:c>
      <x:c r="B284" s="3" t="n">
        <x:v>21.72</x:v>
      </x:c>
      <x:c r="C284" s="5" t="n">
        <x:v>24.134</x:v>
      </x:c>
      <x:c r="D284" s="5" t="n">
        <x:f>C284-B284</x:f>
        <x:v>2.4140000000000015</x:v>
      </x:c>
      <x:c r="E284"/>
      <x:c r="F284" t="str">
        <x:v>未匹配</x:v>
      </x:c>
      <x:c r="G284"/>
      <x:c r="H284"/>
      <x:c r="I284" s="16" t="n">
        <x:v>15</x:v>
      </x:c>
      <x:c r="J284" s="16" t="n">
        <x:v>15</x:v>
      </x:c>
      <x:c r="K284" s="16" t="n">
        <x:v>11</x:v>
      </x:c>
      <x:c r="L284" s="19" t="n">
        <x:v>27.8</x:v>
      </x:c>
      <x:c r="M284" t="str">
        <x:v>lb</x:v>
      </x:c>
      <x:c r="N284" s="19" t="n">
        <x:v>28</x:v>
      </x:c>
      <x:c r="O284" t="str">
        <x:v>lb</x:v>
      </x:c>
      <x:c r="P284" s="19" t="n">
        <x:v>25.000420531765116</x:v>
      </x:c>
      <x:c r="Q284" t="str">
        <x:v>lb</x:v>
      </x:c>
      <x:c r="R284" t="str">
        <x:v>OH</x:v>
      </x:c>
      <x:c r="S284" t="str">
        <x:v>LISBON</x:v>
      </x:c>
      <x:c r="T284" t="str">
        <x:v>NJ</x:v>
      </x:c>
      <x:c r="U284" t="str">
        <x:v>NEW BRUNSWICK</x:v>
      </x:c>
      <x:c r="V284" t="str">
        <x:v>已匹配</x:v>
      </x:c>
      <x:c r="W284" s="16" t="n">
        <x:v>11.34</x:v>
      </x:c>
      <x:c r="X284" s="17" t="str">
        <x:v>EL100V2：11.34</x:v>
      </x:c>
    </x:row>
    <x:row r="285" ht="18">
      <x:c r="A285" s="12" t="str">
        <x:v>874514671390</x:v>
      </x:c>
      <x:c r="B285" s="3" t="n">
        <x:v>16.94</x:v>
      </x:c>
      <x:c r="C285" s="5" t="n">
        <x:v>19.349</x:v>
      </x:c>
      <x:c r="D285" s="5" t="n">
        <x:f>C285-B285</x:f>
        <x:v>2.408999999999999</x:v>
      </x:c>
      <x:c r="E285" t="str">
        <x:v>EL100V2</x:v>
      </x:c>
      <x:c r="F285" t="str">
        <x:v>已匹配</x:v>
      </x:c>
      <x:c r="G285" t="str">
        <x:v>EL100V22532070150150</x:v>
      </x:c>
      <x:c r="H285" t="str">
        <x:v>LOG-SRD26073308</x:v>
      </x:c>
      <x:c r="I285" s="16" t="n">
        <x:v>16</x:v>
      </x:c>
      <x:c r="J285" s="16" t="n">
        <x:v>16</x:v>
      </x:c>
      <x:c r="K285" s="16" t="n">
        <x:v>12</x:v>
      </x:c>
      <x:c r="L285" s="19" t="n">
        <x:v>29.9</x:v>
      </x:c>
      <x:c r="M285" t="str">
        <x:v>lb</x:v>
      </x:c>
      <x:c r="N285" s="19" t="n">
        <x:v>30</x:v>
      </x:c>
      <x:c r="O285" t="str">
        <x:v>lb</x:v>
      </x:c>
      <x:c r="P285" s="19" t="n">
        <x:v>22.99421394588273</x:v>
      </x:c>
      <x:c r="Q285" t="str">
        <x:v>lb</x:v>
      </x:c>
      <x:c r="R285" t="str">
        <x:v>NY</x:v>
      </x:c>
      <x:c r="S285" t="str">
        <x:v>BROOKLYN</x:v>
      </x:c>
      <x:c r="T285" t="str">
        <x:v>NJ</x:v>
      </x:c>
      <x:c r="U285" t="str">
        <x:v>NEW BRUNSWICK</x:v>
      </x:c>
      <x:c r="V285" t="str">
        <x:v>已匹配</x:v>
      </x:c>
      <x:c r="W285" s="16" t="n">
        <x:v>10.433</x:v>
      </x:c>
      <x:c r="X285" s="17" t="str">
        <x:v>ELITE100V2：10.433</x:v>
      </x:c>
    </x:row>
    <x:row r="286" ht="18">
      <x:c r="A286" s="12" t="str">
        <x:v>874350305338</x:v>
      </x:c>
      <x:c r="B286" s="3" t="n">
        <x:v>16.94</x:v>
      </x:c>
      <x:c r="C286" s="5" t="n">
        <x:v>19.349</x:v>
      </x:c>
      <x:c r="D286" s="5" t="n">
        <x:f>C286-B286</x:f>
        <x:v>2.408999999999999</x:v>
      </x:c>
      <x:c r="E286" t="str">
        <x:v>EL100V2</x:v>
      </x:c>
      <x:c r="F286" t="str">
        <x:v>已匹配</x:v>
      </x:c>
      <x:c r="G286" t="str">
        <x:v>EL100V22537012017994</x:v>
      </x:c>
      <x:c r="H286" t="str">
        <x:v>LOG-SRL26073611</x:v>
      </x:c>
      <x:c r="I286" s="16" t="n">
        <x:v>16</x:v>
      </x:c>
      <x:c r="J286" s="16" t="n">
        <x:v>16</x:v>
      </x:c>
      <x:c r="K286" s="16" t="n">
        <x:v>12</x:v>
      </x:c>
      <x:c r="L286" s="19" t="n">
        <x:v>29.6</x:v>
      </x:c>
      <x:c r="M286" t="str">
        <x:v>lb</x:v>
      </x:c>
      <x:c r="N286" s="19" t="n">
        <x:v>30</x:v>
      </x:c>
      <x:c r="O286" t="str">
        <x:v>lb</x:v>
      </x:c>
      <x:c r="P286" s="19" t="n">
        <x:v>22.99421394588273</x:v>
      </x:c>
      <x:c r="Q286" t="str">
        <x:v>lb</x:v>
      </x:c>
      <x:c r="R286" t="str">
        <x:v>PA</x:v>
      </x:c>
      <x:c r="S286" t="str">
        <x:v>EASTON</x:v>
      </x:c>
      <x:c r="T286" t="str">
        <x:v>NJ</x:v>
      </x:c>
      <x:c r="U286" t="str">
        <x:v>NEW BRUNSWICK</x:v>
      </x:c>
      <x:c r="V286" t="str">
        <x:v>已匹配</x:v>
      </x:c>
      <x:c r="W286" s="16" t="n">
        <x:v>10.433</x:v>
      </x:c>
      <x:c r="X286" s="17" t="str">
        <x:v>ELITE100V2：10.433</x:v>
      </x:c>
    </x:row>
    <x:row r="287" ht="18">
      <x:c r="A287" s="12" t="str">
        <x:v>875025544912</x:v>
      </x:c>
      <x:c r="B287" s="3" t="n">
        <x:v>110.17</x:v>
      </x:c>
      <x:c r="C287" s="5" t="n">
        <x:v>112.574</x:v>
      </x:c>
      <x:c r="D287" s="5" t="n">
        <x:f>C287-B287</x:f>
        <x:v>2.4039999999999964</x:v>
      </x:c>
      <x:c r="E287" t="str">
        <x:v>AP300</x:v>
      </x:c>
      <x:c r="F287" t="str">
        <x:v>已匹配</x:v>
      </x:c>
      <x:c r="G287" t="str">
        <x:v>AP3002543130016795</x:v>
      </x:c>
      <x:c r="H287" t="str">
        <x:v>LOG-CRP26074614</x:v>
      </x:c>
      <x:c r="I287" s="16"/>
      <x:c r="J287" s="16"/>
      <x:c r="K287" s="16"/>
      <x:c r="L287" s="19"/>
      <x:c r="M287"/>
      <x:c r="N287" s="19"/>
      <x:c r="O287"/>
      <x:c r="P287" s="19"/>
      <x:c r="Q287"/>
      <x:c r="R287"/>
      <x:c r="S287"/>
      <x:c r="T287"/>
      <x:c r="U287"/>
      <x:c r="V287" t="str">
        <x:v>未匹配</x:v>
      </x:c>
      <x:c r="W287" s="16" t="n">
        <x:v>43</x:v>
      </x:c>
      <x:c r="X287" s="17" t="str">
        <x:v>Apex 300：43</x:v>
      </x:c>
    </x:row>
    <x:row r="288" ht="18">
      <x:c r="A288" s="12" t="str">
        <x:v>873426897860</x:v>
      </x:c>
      <x:c r="B288" s="3" t="n">
        <x:v>17</x:v>
      </x:c>
      <x:c r="C288" s="5" t="n">
        <x:v>19.382</x:v>
      </x:c>
      <x:c r="D288" s="5" t="n">
        <x:f>C288-B288</x:f>
        <x:v>2.3820000000000014</x:v>
      </x:c>
      <x:c r="E288" t="str">
        <x:v>EL100V2</x:v>
      </x:c>
      <x:c r="F288" t="str">
        <x:v>已匹配</x:v>
      </x:c>
      <x:c r="G288" t="str">
        <x:v>EL100V22540001629856</x:v>
      </x:c>
      <x:c r="H288" t="str">
        <x:v>LOG-SRD26062352</x:v>
      </x:c>
      <x:c r="I288" s="16" t="n">
        <x:v>16</x:v>
      </x:c>
      <x:c r="J288" s="16" t="n">
        <x:v>16</x:v>
      </x:c>
      <x:c r="K288" s="16" t="n">
        <x:v>12</x:v>
      </x:c>
      <x:c r="L288" s="19" t="n">
        <x:v>29.4</x:v>
      </x:c>
      <x:c r="M288" t="str">
        <x:v>lb</x:v>
      </x:c>
      <x:c r="N288" s="19" t="n">
        <x:v>30</x:v>
      </x:c>
      <x:c r="O288" t="str">
        <x:v>lb</x:v>
      </x:c>
      <x:c r="P288" s="19" t="n">
        <x:v>22.99421394588273</x:v>
      </x:c>
      <x:c r="Q288" t="str">
        <x:v>lb</x:v>
      </x:c>
      <x:c r="R288" t="str">
        <x:v>NY</x:v>
      </x:c>
      <x:c r="S288" t="str">
        <x:v>EAST HAMPTON</x:v>
      </x:c>
      <x:c r="T288" t="str">
        <x:v>NJ</x:v>
      </x:c>
      <x:c r="U288" t="str">
        <x:v>NEW BRUNSWICK</x:v>
      </x:c>
      <x:c r="V288" t="str">
        <x:v>已匹配</x:v>
      </x:c>
      <x:c r="W288" s="16" t="n">
        <x:v>10.433</x:v>
      </x:c>
      <x:c r="X288" s="17" t="str">
        <x:v>ELITE100V2：10.433</x:v>
      </x:c>
    </x:row>
    <x:row r="289" ht="18">
      <x:c r="A289" s="12" t="str">
        <x:v>873177517802</x:v>
      </x:c>
      <x:c r="B289" s="3" t="n">
        <x:v>26.5</x:v>
      </x:c>
      <x:c r="C289" s="5" t="n">
        <x:v>28.831</x:v>
      </x:c>
      <x:c r="D289" s="5" t="n">
        <x:f>C289-B289</x:f>
        <x:v>2.3309999999999995</x:v>
      </x:c>
      <x:c r="E289" t="str">
        <x:v>AC180</x:v>
      </x:c>
      <x:c r="F289" t="str">
        <x:v>已匹配</x:v>
      </x:c>
      <x:c r="G289" t="str">
        <x:v>AC1802411001631567</x:v>
      </x:c>
      <x:c r="H289" t="str">
        <x:v>LOG-CRP26061736</x:v>
      </x:c>
      <x:c r="I289" s="16" t="n">
        <x:v>19</x:v>
      </x:c>
      <x:c r="J289" s="16" t="n">
        <x:v>17</x:v>
      </x:c>
      <x:c r="K289" s="16" t="n">
        <x:v>13</x:v>
      </x:c>
      <x:c r="L289" s="19" t="n">
        <x:v>40.7</x:v>
      </x:c>
      <x:c r="M289" t="str">
        <x:v>lb</x:v>
      </x:c>
      <x:c r="N289" s="19" t="n">
        <x:v>41</x:v>
      </x:c>
      <x:c r="O289" t="str">
        <x:v>lb</x:v>
      </x:c>
      <x:c r="P289" s="19" t="n">
        <x:v>37.98564777445441</x:v>
      </x:c>
      <x:c r="Q289" t="str">
        <x:v>lb</x:v>
      </x:c>
      <x:c r="R289" t="str">
        <x:v>MA</x:v>
      </x:c>
      <x:c r="S289" t="str">
        <x:v>WESTBOROUGH</x:v>
      </x:c>
      <x:c r="T289" t="str">
        <x:v>NJ</x:v>
      </x:c>
      <x:c r="U289" t="str">
        <x:v>NEW BRUNSWICK</x:v>
      </x:c>
      <x:c r="V289" t="str">
        <x:v>已匹配</x:v>
      </x:c>
      <x:c r="W289" s="16" t="n">
        <x:v>17.237</x:v>
      </x:c>
      <x:c r="X289" s="17" t="str">
        <x:v>AC180：17.237</x:v>
      </x:c>
    </x:row>
    <x:row r="290" ht="18">
      <x:c r="A290" s="12" t="str">
        <x:v>874984443910</x:v>
      </x:c>
      <x:c r="B290" s="3" t="n">
        <x:v>69.59</x:v>
      </x:c>
      <x:c r="C290" s="5" t="n">
        <x:v>71.918</x:v>
      </x:c>
      <x:c r="D290" s="5" t="n">
        <x:f>C290-B290</x:f>
        <x:v>2.328000000000003</x:v>
      </x:c>
      <x:c r="E290" t="str">
        <x:v>AC200L</x:v>
      </x:c>
      <x:c r="F290" t="str">
        <x:v>已匹配</x:v>
      </x:c>
      <x:c r="G290" t="str">
        <x:v>AC200L2439001643472</x:v>
      </x:c>
      <x:c r="H290" t="str">
        <x:v>LOG-SRL26073921</x:v>
      </x:c>
      <x:c r="I290" s="16"/>
      <x:c r="J290" s="16"/>
      <x:c r="K290" s="16"/>
      <x:c r="L290" s="19"/>
      <x:c r="M290"/>
      <x:c r="N290" s="19"/>
      <x:c r="O290"/>
      <x:c r="P290" s="19"/>
      <x:c r="Q290"/>
      <x:c r="R290"/>
      <x:c r="S290"/>
      <x:c r="T290"/>
      <x:c r="U290"/>
      <x:c r="V290" t="str">
        <x:v>未匹配</x:v>
      </x:c>
      <x:c r="W290" s="16" t="n">
        <x:v>0</x:v>
      </x:c>
      <x:c r="X290" s="17" t="str">
        <x:v>商品名称为空：0</x:v>
      </x:c>
    </x:row>
    <x:row r="291" ht="18">
      <x:c r="A291" s="12" t="str">
        <x:v>874409571020</x:v>
      </x:c>
      <x:c r="B291" s="3" t="n">
        <x:v>97.2</x:v>
      </x:c>
      <x:c r="C291" s="5" t="n">
        <x:v>99.528</x:v>
      </x:c>
      <x:c r="D291" s="5" t="n">
        <x:f>C291-B291</x:f>
        <x:v>2.328000000000003</x:v>
      </x:c>
      <x:c r="E291" t="str">
        <x:v>EL300</x:v>
      </x:c>
      <x:c r="F291" t="str">
        <x:v>已匹配</x:v>
      </x:c>
      <x:c r="G291" t="str">
        <x:v>EL3002613133425247</x:v>
      </x:c>
      <x:c r="H291" t="str">
        <x:v>LOG-SRL26072380</x:v>
      </x:c>
      <x:c r="I291" s="16" t="n">
        <x:v>20</x:v>
      </x:c>
      <x:c r="J291" s="16" t="n">
        <x:v>16</x:v>
      </x:c>
      <x:c r="K291" s="16" t="n">
        <x:v>16</x:v>
      </x:c>
      <x:c r="L291" s="19" t="n">
        <x:v>65.4</x:v>
      </x:c>
      <x:c r="M291" t="str">
        <x:v>lb</x:v>
      </x:c>
      <x:c r="N291" s="19" t="n">
        <x:v>66</x:v>
      </x:c>
      <x:c r="O291" t="str">
        <x:v>lb</x:v>
      </x:c>
      <x:c r="P291" s="19" t="n">
        <x:v>59.52481078991694</x:v>
      </x:c>
      <x:c r="Q291" t="str">
        <x:v>lb</x:v>
      </x:c>
      <x:c r="R291" t="str">
        <x:v>FL</x:v>
      </x:c>
      <x:c r="S291" t="str">
        <x:v>EVERGLADES CITY</x:v>
      </x:c>
      <x:c r="T291" t="str">
        <x:v>NJ</x:v>
      </x:c>
      <x:c r="U291" t="str">
        <x:v>NEW BRUNSWICK</x:v>
      </x:c>
      <x:c r="V291" t="str">
        <x:v>已匹配</x:v>
      </x:c>
      <x:c r="W291" s="16" t="n">
        <x:v>1</x:v>
      </x:c>
      <x:c r="X291" s="17" t="str">
        <x:v>Elite 300：1</x:v>
      </x:c>
    </x:row>
    <x:row r="292" ht="18">
      <x:c r="A292" s="12" t="str">
        <x:v>873744716460</x:v>
      </x:c>
      <x:c r="B292" s="3" t="n">
        <x:v>97.4</x:v>
      </x:c>
      <x:c r="C292" s="5" t="n">
        <x:v>99.726</x:v>
      </x:c>
      <x:c r="D292" s="5" t="n">
        <x:f>C292-B292</x:f>
        <x:v>2.3259999999999934</x:v>
      </x:c>
      <x:c r="E292" t="str">
        <x:v>EL300</x:v>
      </x:c>
      <x:c r="F292" t="str">
        <x:v>已匹配</x:v>
      </x:c>
      <x:c r="G292" t="str">
        <x:v>EL3002613132562620</x:v>
      </x:c>
      <x:c r="H292" t="str">
        <x:v>LOG-SRL26063256</x:v>
      </x:c>
      <x:c r="I292" s="16" t="n">
        <x:v>19</x:v>
      </x:c>
      <x:c r="J292" s="16" t="n">
        <x:v>16</x:v>
      </x:c>
      <x:c r="K292" s="16" t="n">
        <x:v>16</x:v>
      </x:c>
      <x:c r="L292" s="19" t="n">
        <x:v>65.6</x:v>
      </x:c>
      <x:c r="M292" t="str">
        <x:v>lb</x:v>
      </x:c>
      <x:c r="N292" s="19" t="n">
        <x:v>66</x:v>
      </x:c>
      <x:c r="O292" t="str">
        <x:v>lb</x:v>
      </x:c>
      <x:c r="P292" s="19" t="n">
        <x:v>59.52481078991694</x:v>
      </x:c>
      <x:c r="Q292" t="str">
        <x:v>lb</x:v>
      </x:c>
      <x:c r="R292" t="str">
        <x:v>FL</x:v>
      </x:c>
      <x:c r="S292" t="str">
        <x:v>EVERGLADES CITY</x:v>
      </x:c>
      <x:c r="T292" t="str">
        <x:v>NJ</x:v>
      </x:c>
      <x:c r="U292" t="str">
        <x:v>NEW BRUNSWICK</x:v>
      </x:c>
      <x:c r="V292" t="str">
        <x:v>已匹配</x:v>
      </x:c>
      <x:c r="W292" s="16" t="n">
        <x:v>1</x:v>
      </x:c>
      <x:c r="X292" s="17" t="str">
        <x:v>Elite 300：1</x:v>
      </x:c>
    </x:row>
    <x:row r="293" ht="18">
      <x:c r="A293" s="12" t="str">
        <x:v>874356934394</x:v>
      </x:c>
      <x:c r="B293" s="3" t="n">
        <x:v>20.7</x:v>
      </x:c>
      <x:c r="C293" s="5" t="n">
        <x:v>23.023</x:v>
      </x:c>
      <x:c r="D293" s="5" t="n">
        <x:f>C293-B293</x:f>
        <x:v>2.3230000000000004</x:v>
      </x:c>
      <x:c r="E293" t="str">
        <x:v>EL100V2</x:v>
      </x:c>
      <x:c r="F293" t="str">
        <x:v>已匹配</x:v>
      </x:c>
      <x:c r="G293" t="str">
        <x:v>EL100V22542002253087</x:v>
      </x:c>
      <x:c r="H293" t="str">
        <x:v>LOG-SRD26072403</x:v>
      </x:c>
      <x:c r="I293" s="16" t="n">
        <x:v>19</x:v>
      </x:c>
      <x:c r="J293" s="16" t="n">
        <x:v>13</x:v>
      </x:c>
      <x:c r="K293" s="16" t="n">
        <x:v>13</x:v>
      </x:c>
      <x:c r="L293" s="19" t="n">
        <x:v>26.6</x:v>
      </x:c>
      <x:c r="M293" t="str">
        <x:v>lb</x:v>
      </x:c>
      <x:c r="N293" s="19" t="n">
        <x:v>27</x:v>
      </x:c>
      <x:c r="O293" t="str">
        <x:v>lb</x:v>
      </x:c>
      <x:c r="P293" s="19" t="n">
        <x:v>22.99421394588273</x:v>
      </x:c>
      <x:c r="Q293" t="str">
        <x:v>lb</x:v>
      </x:c>
      <x:c r="R293" t="str">
        <x:v>NC</x:v>
      </x:c>
      <x:c r="S293" t="str">
        <x:v>GASTONIA</x:v>
      </x:c>
      <x:c r="T293" t="str">
        <x:v>NJ</x:v>
      </x:c>
      <x:c r="U293" t="str">
        <x:v>NEW BRUNSWICK</x:v>
      </x:c>
      <x:c r="V293" t="str">
        <x:v>已匹配</x:v>
      </x:c>
      <x:c r="W293" s="16" t="n">
        <x:v>10.433</x:v>
      </x:c>
      <x:c r="X293" s="17" t="str">
        <x:v>ELITE100V2：10.433</x:v>
      </x:c>
    </x:row>
    <x:row r="294" ht="18">
      <x:c r="A294" s="12" t="str">
        <x:v>873591534306</x:v>
      </x:c>
      <x:c r="B294" s="3" t="n">
        <x:v>29.99</x:v>
      </x:c>
      <x:c r="C294" s="5" t="n">
        <x:v>32.285</x:v>
      </x:c>
      <x:c r="D294" s="5" t="n">
        <x:f>C294-B294</x:f>
        <x:v>2.294999999999998</x:v>
      </x:c>
      <x:c r="E294" t="str">
        <x:v>AC70</x:v>
      </x:c>
      <x:c r="F294" t="str">
        <x:v>已匹配</x:v>
      </x:c>
      <x:c r="G294" t="str">
        <x:v>AC702424003001484</x:v>
      </x:c>
      <x:c r="H294" t="str">
        <x:v>LOG-CRP26062781</x:v>
      </x:c>
      <x:c r="I294" s="16" t="n">
        <x:v>19</x:v>
      </x:c>
      <x:c r="J294" s="16" t="n">
        <x:v>14</x:v>
      </x:c>
      <x:c r="K294" s="16" t="n">
        <x:v>11</x:v>
      </x:c>
      <x:c r="L294" s="19" t="n">
        <x:v>24.5</x:v>
      </x:c>
      <x:c r="M294" t="str">
        <x:v>lb</x:v>
      </x:c>
      <x:c r="N294" s="19" t="n">
        <x:v>25</x:v>
      </x:c>
      <x:c r="O294" t="str">
        <x:v>lb</x:v>
      </x:c>
      <x:c r="P294" s="19" t="n">
        <x:v>22.487150742857512</x:v>
      </x:c>
      <x:c r="Q294" t="str">
        <x:v>lb</x:v>
      </x:c>
      <x:c r="R294" t="str">
        <x:v>AR</x:v>
      </x:c>
      <x:c r="S294" t="str">
        <x:v>HOPE</x:v>
      </x:c>
      <x:c r="T294" t="str">
        <x:v>NJ</x:v>
      </x:c>
      <x:c r="U294" t="str">
        <x:v>NEW BRUNSWICK</x:v>
      </x:c>
      <x:c r="V294" t="str">
        <x:v>已匹配</x:v>
      </x:c>
      <x:c r="W294" s="16" t="n">
        <x:v>1</x:v>
      </x:c>
      <x:c r="X294" s="17" t="str">
        <x:v>AC70：1</x:v>
      </x:c>
    </x:row>
    <x:row r="295" ht="18">
      <x:c r="A295" s="12" t="str">
        <x:v>873809596522</x:v>
      </x:c>
      <x:c r="B295" s="3" t="n">
        <x:v>56.37</x:v>
      </x:c>
      <x:c r="C295" s="5" t="n">
        <x:v>58.652</x:v>
      </x:c>
      <x:c r="D295" s="5" t="n">
        <x:f>C295-B295</x:f>
        <x:v>2.2820000000000036</x:v>
      </x:c>
      <x:c r="E295" t="str">
        <x:v>EL200V2</x:v>
      </x:c>
      <x:c r="F295" t="str">
        <x:v>已匹配</x:v>
      </x:c>
      <x:c r="G295" t="str">
        <x:v>Elite 200 V22543134271597</x:v>
      </x:c>
      <x:c r="H295" t="str">
        <x:v>LOG-SRD26070145</x:v>
      </x:c>
      <x:c r="I295" s="16" t="n">
        <x:v>19</x:v>
      </x:c>
      <x:c r="J295" s="16" t="n">
        <x:v>19</x:v>
      </x:c>
      <x:c r="K295" s="16" t="n">
        <x:v>15</x:v>
      </x:c>
      <x:c r="L295" s="19" t="n">
        <x:v>62.3</x:v>
      </x:c>
      <x:c r="M295" t="str">
        <x:v>lb</x:v>
      </x:c>
      <x:c r="N295" s="19" t="n">
        <x:v>63</x:v>
      </x:c>
      <x:c r="O295" t="str">
        <x:v>lb</x:v>
      </x:c>
      <x:c r="P295" s="19" t="n">
        <x:v>53.39595990117734</x:v>
      </x:c>
      <x:c r="Q295" t="str">
        <x:v>lb</x:v>
      </x:c>
      <x:c r="R295" t="str">
        <x:v>MD</x:v>
      </x:c>
      <x:c r="S295" t="str">
        <x:v>ROCKVILLE</x:v>
      </x:c>
      <x:c r="T295" t="str">
        <x:v>NJ</x:v>
      </x:c>
      <x:c r="U295" t="str">
        <x:v>NEW BRUNSWICK</x:v>
      </x:c>
      <x:c r="V295" t="str">
        <x:v>已匹配</x:v>
      </x:c>
      <x:c r="W295" s="16" t="n">
        <x:v>0</x:v>
      </x:c>
      <x:c r="X295" s="17" t="str">
        <x:v>Elite 200 v2：0</x:v>
      </x:c>
    </x:row>
    <x:row r="296" ht="18">
      <x:c r="A296" s="12" t="str">
        <x:v>873236800602</x:v>
      </x:c>
      <x:c r="B296" s="3" t="n">
        <x:v>36.73</x:v>
      </x:c>
      <x:c r="C296" s="5" t="n">
        <x:v>38.995</x:v>
      </x:c>
      <x:c r="D296" s="5" t="n">
        <x:f>C296-B296</x:f>
        <x:v>2.2650000000000006</x:v>
      </x:c>
      <x:c r="E296" t="str">
        <x:v>AC180</x:v>
      </x:c>
      <x:c r="F296" t="str">
        <x:v>已匹配</x:v>
      </x:c>
      <x:c r="G296" t="str">
        <x:v>AC1802411002384297</x:v>
      </x:c>
      <x:c r="H296" t="str">
        <x:v>LOG-SRL26061953</x:v>
      </x:c>
      <x:c r="I296" s="16" t="n">
        <x:v>22</x:v>
      </x:c>
      <x:c r="J296" s="16" t="n">
        <x:v>17</x:v>
      </x:c>
      <x:c r="K296" s="16" t="n">
        <x:v>15</x:v>
      </x:c>
      <x:c r="L296" s="19" t="n">
        <x:v>40.5</x:v>
      </x:c>
      <x:c r="M296" t="str">
        <x:v>lb</x:v>
      </x:c>
      <x:c r="N296" s="19" t="n">
        <x:v>41</x:v>
      </x:c>
      <x:c r="O296" t="str">
        <x:v>lb</x:v>
      </x:c>
      <x:c r="P296" s="19" t="n">
        <x:v>37.98564777445441</x:v>
      </x:c>
      <x:c r="Q296" t="str">
        <x:v>lb</x:v>
      </x:c>
      <x:c r="R296" t="str">
        <x:v>TN</x:v>
      </x:c>
      <x:c r="S296" t="str">
        <x:v>MEMPHIS</x:v>
      </x:c>
      <x:c r="T296" t="str">
        <x:v>NJ</x:v>
      </x:c>
      <x:c r="U296" t="str">
        <x:v>NEW BRUNSWICK</x:v>
      </x:c>
      <x:c r="V296" t="str">
        <x:v>已匹配</x:v>
      </x:c>
      <x:c r="W296" s="16" t="n">
        <x:v>17.237</x:v>
      </x:c>
      <x:c r="X296" s="17" t="str">
        <x:v>AC180：17.237</x:v>
      </x:c>
    </x:row>
    <x:row r="297" ht="18">
      <x:c r="A297" s="12" t="str">
        <x:v>874657686413</x:v>
      </x:c>
      <x:c r="B297" s="3" t="n">
        <x:v>45.03</x:v>
      </x:c>
      <x:c r="C297" s="5" t="n">
        <x:v>47.267</x:v>
      </x:c>
      <x:c r="D297" s="5" t="n">
        <x:f>C297-B297</x:f>
        <x:v>2.237000000000002</x:v>
      </x:c>
      <x:c r="E297" t="str">
        <x:v>AC180</x:v>
      </x:c>
      <x:c r="F297" t="str">
        <x:v>已匹配</x:v>
      </x:c>
      <x:c r="G297" t="str">
        <x:v>AC1802531010160112</x:v>
      </x:c>
      <x:c r="H297" t="str">
        <x:v>LOG-SRL26073354</x:v>
      </x:c>
      <x:c r="I297" s="16"/>
      <x:c r="J297" s="16"/>
      <x:c r="K297" s="16"/>
      <x:c r="L297" s="19"/>
      <x:c r="M297"/>
      <x:c r="N297" s="19"/>
      <x:c r="O297"/>
      <x:c r="P297" s="19"/>
      <x:c r="Q297"/>
      <x:c r="R297"/>
      <x:c r="S297"/>
      <x:c r="T297"/>
      <x:c r="U297"/>
      <x:c r="V297" t="str">
        <x:v>未匹配</x:v>
      </x:c>
      <x:c r="W297" s="16" t="n">
        <x:v>17.237</x:v>
      </x:c>
      <x:c r="X297" s="17" t="str">
        <x:v>AC180：17.237</x:v>
      </x:c>
    </x:row>
    <x:row r="298" ht="18">
      <x:c r="A298" s="12" t="str">
        <x:v>873601492219</x:v>
      </x:c>
      <x:c r="B298" s="3" t="n">
        <x:v>46.88</x:v>
      </x:c>
      <x:c r="C298" s="5" t="n">
        <x:v>49.115</x:v>
      </x:c>
      <x:c r="D298" s="5" t="n">
        <x:f>C298-B298</x:f>
        <x:v>2.2349999999999994</x:v>
      </x:c>
      <x:c r="E298" t="str">
        <x:v>EL100V2</x:v>
      </x:c>
      <x:c r="F298" t="str">
        <x:v>已匹配</x:v>
      </x:c>
      <x:c r="G298" t="str">
        <x:v>EL100V22539002717051</x:v>
      </x:c>
      <x:c r="H298" t="str">
        <x:v>LOG-SRL26062892</x:v>
      </x:c>
      <x:c r="I298" s="16" t="n">
        <x:v>16</x:v>
      </x:c>
      <x:c r="J298" s="16" t="n">
        <x:v>12</x:v>
      </x:c>
      <x:c r="K298" s="16" t="n">
        <x:v>12</x:v>
      </x:c>
      <x:c r="L298" s="19" t="n">
        <x:v>27.9</x:v>
      </x:c>
      <x:c r="M298" t="str">
        <x:v>lb</x:v>
      </x:c>
      <x:c r="N298" s="19" t="n">
        <x:v>28</x:v>
      </x:c>
      <x:c r="O298" t="str">
        <x:v>lb</x:v>
      </x:c>
      <x:c r="P298" s="19" t="n">
        <x:v>26.455471462185308</x:v>
      </x:c>
      <x:c r="Q298" t="str">
        <x:v>lb</x:v>
      </x:c>
      <x:c r="R298" t="str">
        <x:v>MT</x:v>
      </x:c>
      <x:c r="S298" t="str">
        <x:v>MISSOULA</x:v>
      </x:c>
      <x:c r="T298" t="str">
        <x:v>NJ</x:v>
      </x:c>
      <x:c r="U298" t="str">
        <x:v>NEW BRUNSWICK</x:v>
      </x:c>
      <x:c r="V298" t="str">
        <x:v>已匹配</x:v>
      </x:c>
      <x:c r="W298" s="16" t="n">
        <x:v>1</x:v>
      </x:c>
      <x:c r="X298" s="17" t="str">
        <x:v>Elite 100 V2：1</x:v>
      </x:c>
    </x:row>
    <x:row r="299" ht="18">
      <x:c r="A299" s="12" t="str">
        <x:v>874897403844</x:v>
      </x:c>
      <x:c r="B299" s="3" t="n">
        <x:v>20.32</x:v>
      </x:c>
      <x:c r="C299" s="5" t="n">
        <x:v>22.55</x:v>
      </x:c>
      <x:c r="D299" s="5" t="n">
        <x:f>C299-B299</x:f>
        <x:v>2.2300000000000004</x:v>
      </x:c>
      <x:c r="E299" t="str">
        <x:v>EL100V2</x:v>
      </x:c>
      <x:c r="F299" t="str">
        <x:v>已匹配</x:v>
      </x:c>
      <x:c r="G299" t="str">
        <x:v>EL100V22532031567917</x:v>
      </x:c>
      <x:c r="H299" t="str">
        <x:v>LOG-SRL26074148</x:v>
      </x:c>
      <x:c r="I299" s="16"/>
      <x:c r="J299" s="16"/>
      <x:c r="K299" s="16"/>
      <x:c r="L299" s="19"/>
      <x:c r="M299"/>
      <x:c r="N299" s="19"/>
      <x:c r="O299"/>
      <x:c r="P299" s="19"/>
      <x:c r="Q299"/>
      <x:c r="R299"/>
      <x:c r="S299"/>
      <x:c r="T299"/>
      <x:c r="U299"/>
      <x:c r="V299" t="str">
        <x:v>未匹配</x:v>
      </x:c>
      <x:c r="W299" s="16" t="n">
        <x:v>11.34</x:v>
      </x:c>
      <x:c r="X299" s="17" t="str">
        <x:v>EL100V2：11.34</x:v>
      </x:c>
    </x:row>
    <x:row r="300" ht="18">
      <x:c r="A300" s="12" t="str">
        <x:v>874660302430</x:v>
      </x:c>
      <x:c r="B300" s="3" t="n">
        <x:v>23.06</x:v>
      </x:c>
      <x:c r="C300" s="5" t="n">
        <x:v>25.278</x:v>
      </x:c>
      <x:c r="D300" s="5" t="n">
        <x:f>C300-B300</x:f>
        <x:v>2.218</x:v>
      </x:c>
      <x:c r="E300"/>
      <x:c r="F300" t="str">
        <x:v>未匹配</x:v>
      </x:c>
      <x:c r="G300"/>
      <x:c r="H300"/>
      <x:c r="I300" s="16" t="n">
        <x:v>16</x:v>
      </x:c>
      <x:c r="J300" s="16" t="n">
        <x:v>16</x:v>
      </x:c>
      <x:c r="K300" s="16" t="n">
        <x:v>12</x:v>
      </x:c>
      <x:c r="L300" s="19" t="n">
        <x:v>29.9</x:v>
      </x:c>
      <x:c r="M300" t="str">
        <x:v>lb</x:v>
      </x:c>
      <x:c r="N300" s="19" t="n">
        <x:v>30</x:v>
      </x:c>
      <x:c r="O300" t="str">
        <x:v>lb</x:v>
      </x:c>
      <x:c r="P300" s="19" t="n">
        <x:v>26.455471462185308</x:v>
      </x:c>
      <x:c r="Q300" t="str">
        <x:v>lb</x:v>
      </x:c>
      <x:c r="R300" t="str">
        <x:v>OH</x:v>
      </x:c>
      <x:c r="S300" t="str">
        <x:v>AVON LAKE</x:v>
      </x:c>
      <x:c r="T300" t="str">
        <x:v>NJ</x:v>
      </x:c>
      <x:c r="U300" t="str">
        <x:v>NEW BRUNSWICK</x:v>
      </x:c>
      <x:c r="V300" t="str">
        <x:v>已匹配</x:v>
      </x:c>
      <x:c r="W300" s="16" t="n">
        <x:v>1</x:v>
      </x:c>
      <x:c r="X300" s="17" t="str">
        <x:v>Elite 100 V2：1</x:v>
      </x:c>
    </x:row>
    <x:row r="301" ht="18">
      <x:c r="A301" s="12" t="str">
        <x:v>873651184982</x:v>
      </x:c>
      <x:c r="B301" s="3" t="n">
        <x:v>17.75</x:v>
      </x:c>
      <x:c r="C301" s="5" t="n">
        <x:v>19.932</x:v>
      </x:c>
      <x:c r="D301" s="5" t="n">
        <x:f>C301-B301</x:f>
        <x:v>2.1819999999999986</x:v>
      </x:c>
      <x:c r="E301" t="str">
        <x:v>AC50B</x:v>
      </x:c>
      <x:c r="F301" t="str">
        <x:v>已匹配</x:v>
      </x:c>
      <x:c r="G301" t="str">
        <x:v>AC50B2547131580192</x:v>
      </x:c>
      <x:c r="H301" t="str">
        <x:v>LOG-SRD26063067</x:v>
      </x:c>
      <x:c r="I301" s="16" t="n">
        <x:v>15</x:v>
      </x:c>
      <x:c r="J301" s="16" t="n">
        <x:v>14</x:v>
      </x:c>
      <x:c r="K301" s="16" t="n">
        <x:v>11</x:v>
      </x:c>
      <x:c r="L301" s="19" t="n">
        <x:v>18.6</x:v>
      </x:c>
      <x:c r="M301" t="str">
        <x:v>lb</x:v>
      </x:c>
      <x:c r="N301" s="19" t="n">
        <x:v>19</x:v>
      </x:c>
      <x:c r="O301" t="str">
        <x:v>lb</x:v>
      </x:c>
      <x:c r="P301" s="19" t="n">
        <x:v>12.985227242689287</x:v>
      </x:c>
      <x:c r="Q301" t="str">
        <x:v>lb</x:v>
      </x:c>
      <x:c r="R301" t="str">
        <x:v>KY</x:v>
      </x:c>
      <x:c r="S301" t="str">
        <x:v>GEORGETOWN</x:v>
      </x:c>
      <x:c r="T301" t="str">
        <x:v>NJ</x:v>
      </x:c>
      <x:c r="U301" t="str">
        <x:v>NEW BRUNSWICK</x:v>
      </x:c>
      <x:c r="V301" t="str">
        <x:v>已匹配</x:v>
      </x:c>
      <x:c r="W301" s="16" t="n">
        <x:v>5.897</x:v>
      </x:c>
      <x:c r="X301" s="17" t="str">
        <x:v>AC50B：5.897</x:v>
      </x:c>
    </x:row>
    <x:row r="302" ht="18">
      <x:c r="A302" s="12" t="str">
        <x:v>874401213522</x:v>
      </x:c>
      <x:c r="B302" s="3" t="n">
        <x:v>20.7</x:v>
      </x:c>
      <x:c r="C302" s="5" t="n">
        <x:v>22.858</x:v>
      </x:c>
      <x:c r="D302" s="5" t="n">
        <x:f>C302-B302</x:f>
        <x:v>2.1580000000000013</x:v>
      </x:c>
      <x:c r="E302" t="str">
        <x:v>EL100V2</x:v>
      </x:c>
      <x:c r="F302" t="str">
        <x:v>已匹配</x:v>
      </x:c>
      <x:c r="G302" t="str">
        <x:v>EL100V22527006402107</x:v>
      </x:c>
      <x:c r="H302" t="str">
        <x:v>LOG-SRD26073441</x:v>
      </x:c>
      <x:c r="I302" s="16" t="n">
        <x:v>16</x:v>
      </x:c>
      <x:c r="J302" s="16" t="n">
        <x:v>16</x:v>
      </x:c>
      <x:c r="K302" s="16" t="n">
        <x:v>12</x:v>
      </x:c>
      <x:c r="L302" s="19" t="n">
        <x:v>29.8</x:v>
      </x:c>
      <x:c r="M302" t="str">
        <x:v>lb</x:v>
      </x:c>
      <x:c r="N302" s="19" t="n">
        <x:v>30</x:v>
      </x:c>
      <x:c r="O302" t="str">
        <x:v>lb</x:v>
      </x:c>
      <x:c r="P302" s="19" t="n">
        <x:v>22.99421394588273</x:v>
      </x:c>
      <x:c r="Q302" t="str">
        <x:v>lb</x:v>
      </x:c>
      <x:c r="R302" t="str">
        <x:v>PA</x:v>
      </x:c>
      <x:c r="S302" t="str">
        <x:v>FREEDOM</x:v>
      </x:c>
      <x:c r="T302" t="str">
        <x:v>NJ</x:v>
      </x:c>
      <x:c r="U302" t="str">
        <x:v>NEW BRUNSWICK</x:v>
      </x:c>
      <x:c r="V302" t="str">
        <x:v>已匹配</x:v>
      </x:c>
      <x:c r="W302" s="16" t="n">
        <x:v>10.433</x:v>
      </x:c>
      <x:c r="X302" s="17" t="str">
        <x:v>ELITE100V2：10.433</x:v>
      </x:c>
    </x:row>
    <x:row r="303" ht="18">
      <x:c r="A303" s="12" t="str">
        <x:v>874653084452</x:v>
      </x:c>
      <x:c r="B303" s="3" t="n">
        <x:v>20.24</x:v>
      </x:c>
      <x:c r="C303" s="5" t="n">
        <x:v>22.374</x:v>
      </x:c>
      <x:c r="D303" s="5" t="n">
        <x:f>C303-B303</x:f>
        <x:v>2.1340000000000003</x:v>
      </x:c>
      <x:c r="E303" t="str">
        <x:v>EL100V2</x:v>
      </x:c>
      <x:c r="F303" t="str">
        <x:v>已匹配</x:v>
      </x:c>
      <x:c r="G303" t="str">
        <x:v>EL100V22541020820909</x:v>
      </x:c>
      <x:c r="H303" t="str">
        <x:v>LOG-CRP26073141</x:v>
      </x:c>
      <x:c r="I303" s="16" t="n">
        <x:v>16</x:v>
      </x:c>
      <x:c r="J303" s="16" t="n">
        <x:v>15</x:v>
      </x:c>
      <x:c r="K303" s="16" t="n">
        <x:v>12</x:v>
      </x:c>
      <x:c r="L303" s="19" t="n">
        <x:v>28.4</x:v>
      </x:c>
      <x:c r="M303" t="str">
        <x:v>lb</x:v>
      </x:c>
      <x:c r="N303" s="19" t="n">
        <x:v>29</x:v>
      </x:c>
      <x:c r="O303" t="str">
        <x:v>lb</x:v>
      </x:c>
      <x:c r="P303" s="19" t="n">
        <x:v>25.000420531765116</x:v>
      </x:c>
      <x:c r="Q303" t="str">
        <x:v>lb</x:v>
      </x:c>
      <x:c r="R303" t="str">
        <x:v>NY</x:v>
      </x:c>
      <x:c r="S303" t="str">
        <x:v>FREDONIA</x:v>
      </x:c>
      <x:c r="T303" t="str">
        <x:v>NJ</x:v>
      </x:c>
      <x:c r="U303" t="str">
        <x:v>NEW BRUNSWICK</x:v>
      </x:c>
      <x:c r="V303" t="str">
        <x:v>已匹配</x:v>
      </x:c>
      <x:c r="W303" s="16" t="n">
        <x:v>0</x:v>
      </x:c>
      <x:c r="X303" s="17" t="str">
        <x:v>Elite 100 V2：0</x:v>
      </x:c>
    </x:row>
    <x:row r="304" ht="18">
      <x:c r="A304" s="12" t="str">
        <x:v>874409838052</x:v>
      </x:c>
      <x:c r="B304" s="3" t="n">
        <x:v>20.2</x:v>
      </x:c>
      <x:c r="C304" s="5" t="n">
        <x:v>22.33</x:v>
      </x:c>
      <x:c r="D304" s="5" t="n">
        <x:f>C304-B304</x:f>
        <x:v>2.129999999999999</x:v>
      </x:c>
      <x:c r="E304" t="str">
        <x:v>EL100V2</x:v>
      </x:c>
      <x:c r="F304" t="str">
        <x:v>已匹配</x:v>
      </x:c>
      <x:c r="G304" t="str">
        <x:v>EL100V22525020352140</x:v>
      </x:c>
      <x:c r="H304" t="str">
        <x:v>LOG-SRL26072383</x:v>
      </x:c>
      <x:c r="I304" s="16" t="n">
        <x:v>15</x:v>
      </x:c>
      <x:c r="J304" s="16" t="n">
        <x:v>14</x:v>
      </x:c>
      <x:c r="K304" s="16" t="n">
        <x:v>12</x:v>
      </x:c>
      <x:c r="L304" s="19" t="n">
        <x:v>28.2</x:v>
      </x:c>
      <x:c r="M304" t="str">
        <x:v>lb</x:v>
      </x:c>
      <x:c r="N304" s="19" t="n">
        <x:v>29</x:v>
      </x:c>
      <x:c r="O304" t="str">
        <x:v>lb</x:v>
      </x:c>
      <x:c r="P304" s="19" t="n">
        <x:v>25.000420531765116</x:v>
      </x:c>
      <x:c r="Q304" t="str">
        <x:v>lb</x:v>
      </x:c>
      <x:c r="R304" t="str">
        <x:v>NY</x:v>
      </x:c>
      <x:c r="S304" t="str">
        <x:v>WEEDSPORT</x:v>
      </x:c>
      <x:c r="T304" t="str">
        <x:v>NJ</x:v>
      </x:c>
      <x:c r="U304" t="str">
        <x:v>NEW BRUNSWICK</x:v>
      </x:c>
      <x:c r="V304" t="str">
        <x:v>已匹配</x:v>
      </x:c>
      <x:c r="W304" s="16" t="n">
        <x:v>11.34</x:v>
      </x:c>
      <x:c r="X304" s="17" t="str">
        <x:v>EL100V2：11.34</x:v>
      </x:c>
    </x:row>
    <x:row r="305" ht="18">
      <x:c r="A305" s="12" t="str">
        <x:v>874586407410</x:v>
      </x:c>
      <x:c r="B305" s="3" t="n">
        <x:v>21.77</x:v>
      </x:c>
      <x:c r="C305" s="5" t="n">
        <x:v>23.837</x:v>
      </x:c>
      <x:c r="D305" s="5" t="n">
        <x:f>C305-B305</x:f>
        <x:v>2.067</x:v>
      </x:c>
      <x:c r="E305" t="str">
        <x:v>AC180</x:v>
      </x:c>
      <x:c r="F305" t="str">
        <x:v>已匹配</x:v>
      </x:c>
      <x:c r="G305" t="str">
        <x:v>AC1802439000801439</x:v>
      </x:c>
      <x:c r="H305" t="str">
        <x:v>LOG-SRL26073027</x:v>
      </x:c>
      <x:c r="I305" s="16" t="n">
        <x:v>26</x:v>
      </x:c>
      <x:c r="J305" s="16" t="n">
        <x:v>17</x:v>
      </x:c>
      <x:c r="K305" s="16" t="n">
        <x:v>16</x:v>
      </x:c>
      <x:c r="L305" s="19" t="n">
        <x:v>44.7</x:v>
      </x:c>
      <x:c r="M305" t="str">
        <x:v>lb</x:v>
      </x:c>
      <x:c r="N305" s="19" t="n">
        <x:v>45</x:v>
      </x:c>
      <x:c r="O305" t="str">
        <x:v>lb</x:v>
      </x:c>
      <x:c r="P305" s="19" t="n">
        <x:v>37.98564777445441</x:v>
      </x:c>
      <x:c r="Q305" t="str">
        <x:v>lb</x:v>
      </x:c>
      <x:c r="R305" t="str">
        <x:v>NJ</x:v>
      </x:c>
      <x:c r="S305" t="str">
        <x:v>NUTLEY</x:v>
      </x:c>
      <x:c r="T305" t="str">
        <x:v>NJ</x:v>
      </x:c>
      <x:c r="U305" t="str">
        <x:v>NEW BRUNSWICK</x:v>
      </x:c>
      <x:c r="V305" t="str">
        <x:v>已匹配</x:v>
      </x:c>
      <x:c r="W305" s="16" t="n">
        <x:v>17.237</x:v>
      </x:c>
      <x:c r="X305" s="17" t="str">
        <x:v>AC180：17.237</x:v>
      </x:c>
    </x:row>
    <x:row r="306" ht="18">
      <x:c r="A306" s="13" t="str">
        <x:v>873855911898</x:v>
      </x:c>
      <x:c r="B306" s="2" t="n">
        <x:v>21.77</x:v>
      </x:c>
      <x:c r="C306" s="6" t="n">
        <x:v>23.782</x:v>
      </x:c>
      <x:c r="D306" s="5" t="n">
        <x:f>C306-B306</x:f>
        <x:v>2.0120000000000005</x:v>
      </x:c>
      <x:c r="E306" t="str">
        <x:v>AC180P</x:v>
      </x:c>
      <x:c r="F306" t="str">
        <x:v>已匹配</x:v>
      </x:c>
      <x:c r="G306" t="str">
        <x:v>AC180P2547138070371</x:v>
      </x:c>
      <x:c r="H306" t="str">
        <x:v>LOG-SRL26070217</x:v>
      </x:c>
      <x:c r="I306" s="16" t="n">
        <x:v>19</x:v>
      </x:c>
      <x:c r="J306" s="16" t="n">
        <x:v>17</x:v>
      </x:c>
      <x:c r="K306" s="16" t="n">
        <x:v>13</x:v>
      </x:c>
      <x:c r="L306" s="19" t="n">
        <x:v>43.1</x:v>
      </x:c>
      <x:c r="M306" t="str">
        <x:v>lb</x:v>
      </x:c>
      <x:c r="N306" s="19" t="n">
        <x:v>44</x:v>
      </x:c>
      <x:c r="O306" t="str">
        <x:v>lb</x:v>
      </x:c>
      <x:c r="P306" s="19" t="n">
        <x:v>37.98564777445441</x:v>
      </x:c>
      <x:c r="Q306" t="str">
        <x:v>lb</x:v>
      </x:c>
      <x:c r="R306" t="str">
        <x:v>PA</x:v>
      </x:c>
      <x:c r="S306" t="str">
        <x:v>LANDISVILLE</x:v>
      </x:c>
      <x:c r="T306" t="str">
        <x:v>NJ</x:v>
      </x:c>
      <x:c r="U306" t="str">
        <x:v>NEW BRUNSWICK</x:v>
      </x:c>
      <x:c r="V306" t="str">
        <x:v>已匹配</x:v>
      </x:c>
      <x:c r="W306" s="16" t="n">
        <x:v>17.237</x:v>
      </x:c>
      <x:c r="X306" s="17" t="str">
        <x:v>AC180P：17.237</x:v>
      </x:c>
    </x:row>
    <x:row r="307" ht="18">
      <x:c r="A307" s="13" t="str">
        <x:v>874961321496</x:v>
      </x:c>
      <x:c r="B307" s="3" t="n">
        <x:v>17.4</x:v>
      </x:c>
      <x:c r="C307" s="5" t="n">
        <x:v>19.404</x:v>
      </x:c>
      <x:c r="D307" s="5" t="n">
        <x:f>C307-B307</x:f>
        <x:v>2.0040000000000013</x:v>
      </x:c>
      <x:c r="E307" t="str">
        <x:v>AC50B</x:v>
      </x:c>
      <x:c r="F307" t="str">
        <x:v>已匹配</x:v>
      </x:c>
      <x:c r="G307" t="str">
        <x:v>AC50B2547231810566</x:v>
      </x:c>
      <x:c r="H307" t="str">
        <x:v>LOG-SRD26074360</x:v>
      </x:c>
      <x:c r="I307" s="16"/>
      <x:c r="J307" s="16"/>
      <x:c r="K307" s="16"/>
      <x:c r="L307" s="19"/>
      <x:c r="M307"/>
      <x:c r="N307" s="19"/>
      <x:c r="O307"/>
      <x:c r="P307" s="19"/>
      <x:c r="Q307"/>
      <x:c r="R307"/>
      <x:c r="S307"/>
      <x:c r="T307"/>
      <x:c r="U307"/>
      <x:c r="V307" t="str">
        <x:v>未匹配</x:v>
      </x:c>
      <x:c r="W307" s="16" t="n">
        <x:v>6.804</x:v>
      </x:c>
      <x:c r="X307" s="17" t="str">
        <x:v>AC50B：6.804</x:v>
      </x:c>
    </x:row>
    <x:row r="308" ht="18">
      <x:c r="A308" s="13"/>
      <x:c r="B308" s="3" t="n">
        <x:f t="shared" ref="B308:D308" si="5">SUM(B2:B307)</x:f>
        <x:v>12777.08</x:v>
      </x:c>
      <x:c r="C308" s="7" t="n">
        <x:f t="shared" si="5"/>
        <x:v>17493.560999999983</x:v>
      </x:c>
      <x:c r="D308" s="7" t="n">
        <x:f t="shared" si="5"/>
        <x:v>4716.481000000003</x:v>
      </x:c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</x:row>
  </x:sheetData>
  <x:conditionalFormatting sqref="A306:A306">
    <x:cfRule type="duplicateValues" dxfId="2" priority="2"/>
  </x:conditionalFormatting>
  <x:conditionalFormatting sqref="A307:A307">
    <x:cfRule type="duplicateValues" dxfId="1" priority="1"/>
  </x:conditionalFormatting>
  <x:conditionalFormatting sqref="A308:A308 A1:D1 A2:A305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6" customWidth="1"/>
    <x:col min="2" max="2" width="20" customWidth="1"/>
    <x:col min="4" max="4" width="100" customWidth="1"/>
  </x:cols>
  <x:sheetData>
    <x:row r="1">
      <x:c r="A1" s="9" t="s">
        <x:v>0</x:v>
      </x:c>
      <x:c r="B1" s="9" t="s">
        <x:v>1</x:v>
      </x:c>
      <x:c r="D1" t="s">
        <x:v>2</x:v>
      </x:c>
    </x:row>
    <x:row r="2">
      <x:c r="A2" t="s">
        <x:v>3</x:v>
      </x:c>
      <x:c r="B2">
        <x:v>2</x:v>
      </x:c>
      <x:c r="D2" t="s">
        <x:v>4</x:v>
      </x:c>
    </x:row>
    <x:row r="3">
      <x:c r="A3" t="s">
        <x:v>5</x:v>
      </x:c>
      <x:c r="B3">
        <x:v>19</x:v>
      </x:c>
    </x:row>
    <x:row r="4">
      <x:c r="A4" t="s">
        <x:v>6</x:v>
      </x:c>
      <x:c r="B4">
        <x:v>45</x:v>
      </x:c>
      <x:c r="D4" t="s">
        <x:v>7</x:v>
      </x:c>
    </x:row>
    <x:row r="5">
      <x:c r="A5" t="s">
        <x:v>8</x:v>
      </x:c>
      <x:c r="B5">
        <x:v>81</x:v>
      </x:c>
    </x:row>
    <x:row r="6">
      <x:c r="A6" t="s">
        <x:v>9</x:v>
      </x:c>
      <x:c r="B6">
        <x:v>18</x:v>
      </x:c>
    </x:row>
    <x:row r="7">
      <x:c r="A7" t="s">
        <x:v>10</x:v>
      </x:c>
      <x:c r="B7">
        <x:v>3</x:v>
      </x:c>
    </x:row>
    <x:row r="8">
      <x:c r="A8" t="s">
        <x:v>11</x:v>
      </x:c>
      <x:c r="B8">
        <x:v>2</x:v>
      </x:c>
    </x:row>
    <x:row r="9">
      <x:c r="A9" t="s">
        <x:v>12</x:v>
      </x:c>
      <x:c r="B9">
        <x:v>3</x:v>
      </x:c>
    </x:row>
    <x:row r="10">
      <x:c r="A10" t="s">
        <x:v>13</x:v>
      </x:c>
      <x:c r="B10">
        <x:v>3</x:v>
      </x:c>
    </x:row>
    <x:row r="11">
      <x:c r="A11" t="s">
        <x:v>14</x:v>
      </x:c>
      <x:c r="B11">
        <x:v>1</x:v>
      </x:c>
    </x:row>
    <x:row r="12">
      <x:c r="A12" t="s">
        <x:v>15</x:v>
      </x:c>
      <x:c r="B12">
        <x:v>4</x:v>
      </x:c>
    </x:row>
    <x:row r="13">
      <x:c r="A13" t="s">
        <x:v>16</x:v>
      </x:c>
      <x:c r="B13">
        <x:v>1</x:v>
      </x:c>
    </x:row>
    <x:row r="14">
      <x:c r="A14" t="s">
        <x:v>17</x:v>
      </x:c>
      <x:c r="B14">
        <x:v>9</x:v>
      </x:c>
    </x:row>
    <x:row r="15">
      <x:c r="A15" t="s">
        <x:v>18</x:v>
      </x:c>
      <x:c r="B15">
        <x:v>3</x:v>
      </x:c>
    </x:row>
    <x:row r="16">
      <x:c r="A16" t="s">
        <x:v>19</x:v>
      </x:c>
      <x:c r="B16">
        <x:v>3</x:v>
      </x:c>
    </x:row>
    <x:row r="17">
      <x:c r="A17" t="s">
        <x:v>20</x:v>
      </x:c>
      <x:c r="B17">
        <x:v>2</x:v>
      </x:c>
    </x:row>
    <x:row r="18">
      <x:c r="A18" t="s">
        <x:v>21</x:v>
      </x:c>
      <x:c r="B18">
        <x:v>8</x:v>
      </x:c>
    </x:row>
    <x:row r="19">
      <x:c r="A19" t="s">
        <x:v>22</x:v>
      </x:c>
      <x:c r="B19">
        <x:v>2</x:v>
      </x:c>
    </x:row>
    <x:row r="20">
      <x:c r="A20" t="s">
        <x:v>23</x:v>
      </x:c>
      <x:c r="B20">
        <x:v>11</x:v>
      </x:c>
    </x:row>
    <x:row r="21">
      <x:c r="A21" t="s">
        <x:v>24</x:v>
      </x:c>
      <x:c r="B21">
        <x:v>1</x:v>
      </x:c>
    </x:row>
    <x:row r="22">
      <x:c r="A22" t="s">
        <x:v>25</x:v>
      </x:c>
      <x:c r="B22">
        <x:v>2</x:v>
      </x:c>
    </x:row>
    <x:row r="23">
      <x:c r="A23" t="s">
        <x:v>26</x:v>
      </x:c>
      <x:c r="B23">
        <x:v>1</x:v>
      </x:c>
    </x:row>
    <x:row r="24">
      <x:c r="A24" t="s">
        <x:v>27</x:v>
      </x:c>
      <x:c r="B24">
        <x:v>10</x:v>
      </x:c>
    </x:row>
    <x:row r="25">
      <x:c r="A25" t="s">
        <x:v>28</x:v>
      </x:c>
      <x:c r="B25">
        <x:v>2</x:v>
      </x:c>
    </x:row>
    <x:row r="26">
      <x:c r="A26" t="s">
        <x:v>29</x:v>
      </x:c>
      <x:c r="B26">
        <x:v>4</x:v>
      </x:c>
    </x:row>
    <x:row r="27">
      <x:c r="A27" t="s">
        <x:v>30</x:v>
      </x:c>
      <x:c r="B27">
        <x:v>1</x:v>
      </x:c>
    </x:row>
    <x:row r="28">
      <x:c r="A28" t="s">
        <x:v>31</x:v>
      </x:c>
      <x:c r="B28">
        <x:v>2</x:v>
      </x:c>
    </x:row>
    <x:row r="29">
      <x:c r="A29" t="s">
        <x:v>32</x:v>
      </x:c>
      <x:c r="B29">
        <x:v>3</x:v>
      </x:c>
    </x:row>
    <x:row r="30">
      <x:c r="A30" t="s">
        <x:v>33</x:v>
      </x:c>
      <x:c r="B30">
        <x:v>3</x:v>
      </x:c>
    </x:row>
    <x:row r="31">
      <x:c r="A31" t="s">
        <x:v>34</x:v>
      </x:c>
      <x:c r="B31">
        <x:v>1</x:v>
      </x:c>
    </x:row>
    <x:row r="32">
      <x:c r="A32" t="s">
        <x:v>35</x:v>
      </x:c>
      <x:c r="B32">
        <x:v>1</x:v>
      </x:c>
    </x:row>
    <x:row r="33">
      <x:c r="A33" t="s">
        <x:v>36</x:v>
      </x:c>
      <x:c r="B33">
        <x:v>1</x:v>
      </x:c>
    </x:row>
    <x:row r="34">
      <x:c r="A34" t="s">
        <x:v>37</x:v>
      </x:c>
      <x:c r="B34">
        <x:v>1</x:v>
      </x:c>
    </x:row>
    <x:row r="35">
      <x:c r="A35" t="s">
        <x:v>38</x:v>
      </x:c>
      <x:c r="B35">
        <x:v>1</x:v>
      </x:c>
    </x:row>
    <x:row r="36">
      <x:c r="A36" t="s">
        <x:v>39</x:v>
      </x:c>
      <x:c r="B36">
        <x:v>4</x:v>
      </x:c>
    </x:row>
    <x:row r="37">
      <x:c r="A37" t="s">
        <x:v>40</x:v>
      </x:c>
      <x:c r="B37">
        <x:v>2</x:v>
      </x:c>
    </x:row>
    <x:row r="38">
      <x:c r="A38" t="s">
        <x:v>41</x:v>
      </x:c>
      <x:c r="B38">
        <x:v>1</x:v>
      </x:c>
    </x:row>
    <x:row r="39">
      <x:c r="A39" t="s">
        <x:v>42</x:v>
      </x:c>
      <x:c r="B39">
        <x:v>1</x:v>
      </x:c>
    </x:row>
    <x:row r="40">
      <x:c r="A40" t="s">
        <x:v>43</x:v>
      </x:c>
      <x:c r="B40">
        <x:v>1</x:v>
      </x:c>
    </x:row>
    <x:row r="41">
      <x:c r="A41" t="s">
        <x:v>44</x:v>
      </x:c>
      <x:c r="B41">
        <x:v>1</x:v>
      </x:c>
    </x:row>
    <x:row r="42">
      <x:c r="A42" t="s">
        <x:v>45</x:v>
      </x:c>
      <x:c r="B42">
        <x:v>264</x:v>
      </x:c>
    </x:row>
    <x:row r="43">
      <x:c r="A43" t="s">
        <x:v>46</x:v>
      </x:c>
      <x:c r="B43">
        <x:v>42</x:v>
      </x:c>
    </x:row>
    <x:row r="44">
      <x:c r="A44" t="s">
        <x:v>47</x:v>
      </x:c>
      <x:c r="B44">
        <x:v>306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2" customWidth="1"/>
    <x:col min="2" max="2" width="105" customWidth="1"/>
  </x:cols>
  <x:sheetData>
    <x:row r="1" ht="14.25" hidden="0" customHeight="1">
      <x:c r="A1" s="14" t="s">
        <x:v>48</x:v>
      </x:c>
      <x:c r="B1" s="10" t="s">
        <x:v>49</x:v>
      </x:c>
    </x:row>
    <x:row r="2" ht="14.25" hidden="0" customHeight="1">
      <x:c r="A2" t="s">
        <x:v>50</x:v>
      </x:c>
      <x:c r="B2" s="17" t="str">
        <x:v>基础表跟踪号与核对表跟踪单号匹配；纯数字长单号取后12位。</x:v>
      </x:c>
    </x:row>
    <x:row r="3" ht="14.25" hidden="0" customHeight="1">
      <x:c r="A3" t="s">
        <x:v>51</x:v>
      </x:c>
      <x:c r="B3" s="17" t="str">
        <x:v>306条：251条已匹配，55条未匹配；核对表无重复匹配单号。</x:v>
      </x:c>
    </x:row>
    <x:row r="4" ht="14.25" hidden="0" customHeight="1">
      <x:c r="A4" t="s">
        <x:v>52</x:v>
      </x:c>
      <x:c r="B4" s="17" t="str">
        <x:v>核对表只有包裹长度、宽度、高度一组字段，未说明是申报还是实际；不能据此提供两套尺寸。</x:v>
      </x:c>
    </x:row>
    <x:row r="5" ht="14.25" hidden="0" customHeight="1">
      <x:c r="A5" t="s">
        <x:v>53</x:v>
      </x:c>
      <x:c r="B5" s="17" t="s">
        <x:v>54</x:v>
      </x:c>
    </x:row>
    <x:row r="6" ht="14.25" hidden="0" customHeight="1">
      <x:c r="A6" t="str">
        <x:v>重量口径</x:v>
      </x:c>
      <x:c r="B6" s="17" t="str">
        <x:v>实际、计费、预估重量均已统一为lb；kg/kgs按1 lb = 0.45359237 kg换算，显示3位小数。</x:v>
      </x:c>
    </x:row>
    <x:row r="7" ht="14.25" hidden="0" customHeight="1">
      <x:c r="A7" t="s">
        <x:v>55</x:v>
      </x:c>
      <x:c r="B7" s="17" t="str">
        <x:v>保留核对表原代码 C / I，便于核对。</x:v>
      </x:c>
    </x:row>
    <x:row r="8" ht="14.25" hidden="0" customHeight="1">
      <x:c r="A8" t="s">
        <x:v>56</x:v>
      </x:c>
      <x:c r="B8" s="17" t="str">
        <x:v>采用核对表当前寄件人、收件人的州/省和城市字段。</x:v>
      </x:c>
    </x:row>
    <x:row r="9" ht="14.25" hidden="0" customHeight="1">
      <x:c r="A9" t="s">
        <x:v>57</x:v>
      </x:c>
      <x:c r="B9" s="17" t="s">
        <x:v>58</x:v>
      </x:c>
    </x:row>
    <x:row r="10" ht="14.25" hidden="0" customHeight="1">
      <x:c r="A10" t="s">
        <x:v>59</x:v>
      </x:c>
      <x:c r="B10" s="17" t="s">
        <x:v>60</x:v>
      </x:c>
    </x:row>
    <x:row r="11" ht="14.25" hidden="0" customHeight="1">
      <x:c r="A11" t="s">
        <x:v>61</x:v>
      </x:c>
      <x:c r="B11" s="17" t="s">
        <x:v>62</x:v>
      </x:c>
    </x:row>
    <x:row r="12" ht="14.25" hidden="0" customHeight="1">
      <x:c r="A12" t="str">
        <x:v>申报重量单位</x:v>
      </x:c>
      <x:c r="B12" s="17" t="str">
        <x:v>订单导出的申报单重没有注明单位，因此保留原值，未推定为kg或lb。</x:v>
      </x:c>
    </x:row>
    <x:row r="13" ht="14.25" hidden="0" customHeight="1">
      <x:c r="A13" t="s">
        <x:v>63</x:v>
      </x:c>
      <x:c r="B13" s="17" t="s">
        <x:v>64</x:v>
      </x:c>
    </x:row>
    <x:row r="14" ht="14.25" hidden="0" customHeight="1">
      <x:c r="A14" t="s">
        <x:v>65</x:v>
      </x:c>
      <x:c r="B14" s="17" t="s">
        <x:v>66</x:v>
      </x:c>
    </x:row>
    <x:row r="15" ht="14.25" hidden="0" customHeight="1">
      <x:c r="A15" t="s">
        <x:v>67</x:v>
      </x:c>
      <x:c r="B15" s="17" t="str">
        <x:v>核对表251条匹配；订单导出277条匹配，29条未匹配。</x:v>
      </x:c>
    </x:row>
    <x:row r="16" ht="14.25" hidden="0" customHeight="1">
      <x:c r="A16" t="str">
        <x:v>统一重量单位</x:v>
      </x:c>
      <x:c r="B16" s="17" t="str">
        <x:v>kg和kgs均表示千克，lb和lbs均表示磅；保留换算精度，仅显示值取3位小数。</x:v>
      </x:c>
    </x:row>
    <x:row r="17" ht="14.25" hidden="0" customHeight="1">
      <x:c r="A17" t="str">
        <x:v>申报重量待确认</x:v>
      </x:c>
      <x:c r="B17" s="17" t="str">
        <x:v>请确认订单导出中申报单重的单位，确认后才能统一换算为lb。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21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90" hidden="0" customWidth="1"/>
    <x:col min="29" max="29" width="19" hidden="0" customWidth="1"/>
  </x:cols>
  <x:sheetData>
    <x:row r="1" ht="54" customHeight="1">
      <x:c r="A1" s="23" t="str">
        <x:v>排名</x:v>
      </x:c>
      <x:c r="B1" s="24" t="str">
        <x:v>追踪号</x:v>
      </x:c>
      <x:c r="C1" s="23" t="str">
        <x:v>机型</x:v>
      </x:c>
      <x:c r="D1" s="23" t="str">
        <x:v>预收USD</x:v>
      </x:c>
      <x:c r="E1" s="23" t="str">
        <x:v>实收USD</x:v>
      </x:c>
      <x:c r="F1" s="23" t="str">
        <x:v>差额USD</x:v>
      </x:c>
      <x:c r="G1" s="23" t="str">
        <x:v>运输费原价</x:v>
      </x:c>
      <x:c r="H1" s="23" t="str">
        <x:v>折扣（负数）</x:v>
      </x:c>
      <x:c r="I1" s="23" t="str">
        <x:v>重量或Oversize费</x:v>
      </x:c>
      <x:c r="J1" s="23" t="str">
        <x:v>燃油费</x:v>
      </x:c>
      <x:c r="K1" s="23" t="str">
        <x:v>承运净额</x:v>
      </x:c>
      <x:c r="L1" s="23" t="str">
        <x:v>明细对账差</x:v>
      </x:c>
      <x:c r="M1" s="23" t="str">
        <x:v>发货日期</x:v>
      </x:c>
      <x:c r="N1" s="23" t="str">
        <x:v>账单Zone</x:v>
      </x:c>
      <x:c r="O1" s="23" t="str">
        <x:v>预估重量lb</x:v>
      </x:c>
      <x:c r="P1" s="23" t="str">
        <x:v>实重lb</x:v>
      </x:c>
      <x:c r="Q1" s="23" t="str">
        <x:v>计费重量lb</x:v>
      </x:c>
      <x:c r="R1" s="23" t="str">
        <x:v>体积重除数</x:v>
      </x:c>
      <x:c r="S1" s="23" t="str">
        <x:v>试算报价重量lb</x:v>
      </x:c>
      <x:c r="T1" s="23" t="str">
        <x:v>试算Zone</x:v>
      </x:c>
      <x:c r="U1" s="23" t="str">
        <x:v>标准运费原价</x:v>
      </x:c>
      <x:c r="V1" s="23" t="str">
        <x:v>假设折后运输费</x:v>
      </x:c>
      <x:c r="W1" s="23" t="str">
        <x:v>假设折后附加费</x:v>
      </x:c>
      <x:c r="X1" s="23" t="str">
        <x:v>假设燃油率</x:v>
      </x:c>
      <x:c r="Y1" s="23" t="str">
        <x:v>假设燃油费</x:v>
      </x:c>
      <x:c r="Z1" s="23" t="str">
        <x:v>试算预收USD</x:v>
      </x:c>
      <x:c r="AA1" s="23" t="str">
        <x:v>试算减原预收</x:v>
      </x:c>
      <x:c r="AB1" s="23" t="str">
        <x:v>发现及待核对事项</x:v>
      </x:c>
      <x:c r="AC1" s="23" t="str">
        <x:v>核对表来源行号</x:v>
      </x:c>
    </x:row>
    <x:row r="2" ht="55" customHeight="1">
      <x:c r="A2" t="n">
        <x:v>1</x:v>
      </x:c>
      <x:c r="B2" t="str">
        <x:v>874592682792</x:v>
      </x:c>
      <x:c r="C2" t="str">
        <x:v>B4810</x:v>
      </x:c>
      <x:c r="D2" s="25" t="n">
        <x:v>114.59</x:v>
      </x:c>
      <x:c r="E2" s="25" t="n">
        <x:v>308.55</x:v>
      </x:c>
      <x:c r="F2" s="25" t="n">
        <x:f>E2-D2</x:f>
        <x:v>193.96</x:v>
      </x:c>
      <x:c r="G2" s="25" t="n">
        <x:v>104.83</x:v>
      </x:c>
      <x:c r="H2" s="25" t="n">
        <x:v>-40.88</x:v>
      </x:c>
      <x:c r="I2" s="25" t="n">
        <x:v>160</x:v>
      </x:c>
      <x:c r="J2" s="25" t="n">
        <x:v>56.55</x:v>
      </x:c>
      <x:c r="K2" s="25" t="n">
        <x:v>280.5</x:v>
      </x:c>
      <x:c r="L2" s="25" t="n">
        <x:f>K2-SUM(G2:J2)</x:f>
        <x:v>0</x:v>
      </x:c>
      <x:c r="M2" t="str">
        <x:v>20260720</x:v>
      </x:c>
      <x:c r="N2" t="n">
        <x:v>5</x:v>
      </x:c>
      <x:c r="O2" s="19" t="n">
        <x:v>101.41264060504368</x:v>
      </x:c>
      <x:c r="P2" s="19" t="n">
        <x:v>116.4</x:v>
      </x:c>
      <x:c r="Q2" s="19" t="n">
        <x:v>117</x:v>
      </x:c>
      <x:c r="R2" t="n">
        <x:v>166</x:v>
      </x:c>
      <x:c r="S2" t="n">
        <x:v>102</x:v>
      </x:c>
      <x:c r="T2" t="n">
        <x:v>5</x:v>
      </x:c>
      <x:c r="U2" s="25" t="n">
        <x:v>90.25</x:v>
      </x:c>
      <x:c r="V2" s="25" t="n">
        <x:v>55.05</x:v>
      </x:c>
      <x:c r="W2" s="25" t="n">
        <x:v>28.13</x:v>
      </x:c>
      <x:c r="X2" s="26" t="n">
        <x:v>0.2525</x:v>
      </x:c>
      <x:c r="Y2" s="25" t="n">
        <x:v>21</x:v>
      </x:c>
      <x:c r="Z2" s="25" t="n">
        <x:v>114.6</x:v>
      </x:c>
      <x:c r="AA2" s="25" t="n">
        <x:f>Z2-D2</x:f>
        <x:v>0.009999999999990905</x:v>
      </x:c>
      <x:c r="AB2" s="17" t="str">
        <x:v>实重116.4lb超过110lb，账单Oversize 160；预估101.41lb未超过110。</x:v>
      </x:c>
      <x:c r="AC2" t="n">
        <x:v>474</x:v>
      </x:c>
    </x:row>
    <x:row r="3" ht="55" customHeight="1">
      <x:c r="A3" t="n">
        <x:v>2</x:v>
      </x:c>
      <x:c r="B3" t="str">
        <x:v>873982034526</x:v>
      </x:c>
      <x:c r="C3" t="str">
        <x:v>B500K</x:v>
      </x:c>
      <x:c r="D3" s="25" t="n">
        <x:v>108.51</x:v>
      </x:c>
      <x:c r="E3" s="25" t="n">
        <x:v>270.523</x:v>
      </x:c>
      <x:c r="F3" s="25" t="n">
        <x:f>E3-D3</x:f>
        <x:v>162.01300000000003</x:v>
      </x:c>
      <x:c r="G3" s="25" t="n">
        <x:v>97.11</x:v>
      </x:c>
      <x:c r="H3" s="25" t="n">
        <x:v>-37.87</x:v>
      </x:c>
      <x:c r="I3" s="25" t="n">
        <x:v>137.5</x:v>
      </x:c>
      <x:c r="J3" s="25" t="n">
        <x:v>49.19</x:v>
      </x:c>
      <x:c r="K3" s="25" t="n">
        <x:v>245.93</x:v>
      </x:c>
      <x:c r="L3" s="25" t="n">
        <x:f>K3-SUM(G3:J3)</x:f>
        <x:v>0</x:v>
      </x:c>
      <x:c r="M3" t="str">
        <x:v>20260710</x:v>
      </x:c>
      <x:c r="N3" t="n">
        <x:v>4</x:v>
      </x:c>
      <x:c r="O3" s="19" t="n">
        <x:v>106.28485659932947</x:v>
      </x:c>
      <x:c r="P3" s="19" t="n">
        <x:v>113.4</x:v>
      </x:c>
      <x:c r="Q3" s="19" t="n">
        <x:v>114</x:v>
      </x:c>
      <x:c r="R3" t="n">
        <x:v>166</x:v>
      </x:c>
      <x:c r="S3" t="n">
        <x:v>107</x:v>
      </x:c>
      <x:c r="T3" t="n">
        <x:v>4</x:v>
      </x:c>
      <x:c r="U3" s="25" t="n">
        <x:v>88.19</x:v>
      </x:c>
      <x:c r="V3" s="25" t="n">
        <x:v>53.8</x:v>
      </x:c>
      <x:c r="W3" s="25" t="n">
        <x:v>25.13</x:v>
      </x:c>
      <x:c r="X3" s="26" t="n">
        <x:v>0.25</x:v>
      </x:c>
      <x:c r="Y3" s="25" t="n">
        <x:v>19.73</x:v>
      </x:c>
      <x:c r="Z3" s="25" t="n">
        <x:v>108.53</x:v>
      </x:c>
      <x:c r="AA3" s="25" t="n">
        <x:f>Z3-D3</x:f>
        <x:v>0.01999999999999602</x:v>
      </x:c>
      <x:c r="AB3" s="17" t="str">
        <x:v>实重113.4lb超过110lb，账单Oversize 137.50；预估106.28lb未超过110。</x:v>
      </x:c>
      <x:c r="AC3" t="n">
        <x:v>338</x:v>
      </x:c>
    </x:row>
    <x:row r="4" ht="55" customHeight="1">
      <x:c r="A4" t="n">
        <x:v>3</x:v>
      </x:c>
      <x:c r="B4" t="str">
        <x:v>874031949101</x:v>
      </x:c>
      <x:c r="C4" t="str">
        <x:v>EL300</x:v>
      </x:c>
      <x:c r="D4" s="25" t="n">
        <x:v>95.69</x:v>
      </x:c>
      <x:c r="E4" s="25" t="n">
        <x:v>237.831</x:v>
      </x:c>
      <x:c r="F4" s="25" t="n">
        <x:f>E4-D4</x:f>
        <x:v>142.141</x:v>
      </x:c>
      <x:c r="G4" s="25" t="n">
        <x:v>116.72</x:v>
      </x:c>
      <x:c r="H4" s="25" t="n">
        <x:v>0</x:v>
      </x:c>
      <x:c r="I4" s="25" t="n">
        <x:v>56.25</x:v>
      </x:c>
      <x:c r="J4" s="25" t="n">
        <x:v>43.24</x:v>
      </x:c>
      <x:c r="K4" s="25" t="n">
        <x:v>216.21</x:v>
      </x:c>
      <x:c r="L4" s="25" t="n">
        <x:f>K4-SUM(G4:J4)</x:f>
        <x:v>0</x:v>
      </x:c>
      <x:c r="M4" t="str">
        <x:v>20260713</x:v>
      </x:c>
      <x:c r="N4" t="n">
        <x:v>6</x:v>
      </x:c>
      <x:c r="O4" s="19" t="n">
        <x:v>52.999127829244564</x:v>
      </x:c>
      <x:c r="P4" s="19" t="n">
        <x:v>66.1</x:v>
      </x:c>
      <x:c r="Q4" s="19" t="n">
        <x:v>67</x:v>
      </x:c>
      <x:c r="R4" t="n">
        <x:v>139</x:v>
      </x:c>
      <x:c r="S4" t="n">
        <x:v>53</x:v>
      </x:c>
      <x:c r="T4" t="n">
        <x:v>6</x:v>
      </x:c>
      <x:c r="U4" s="25" t="n">
        <x:v>67.96</x:v>
      </x:c>
      <x:c r="V4" s="25" t="n">
        <x:v>41.46</x:v>
      </x:c>
      <x:c r="W4" s="25" t="n">
        <x:v>28.13</x:v>
      </x:c>
      <x:c r="X4" s="26" t="n">
        <x:v>0.25</x:v>
      </x:c>
      <x:c r="Y4" s="25" t="n">
        <x:v>17.4</x:v>
      </x:c>
      <x:c r="Z4" s="25" t="n">
        <x:v>95.69</x:v>
      </x:c>
      <x:c r="AA4" s="25" t="n">
        <x:f>Z4-D4</x:f>
        <x:v>0</x:v>
      </x:c>
      <x:c r="AB4" s="17" t="str">
        <x:v>7月13日：零售价、无折扣行、另加25%燃油；实重66.1对预估53lb。</x:v>
      </x:c>
      <x:c r="AC4" t="n">
        <x:v>402</x:v>
      </x:c>
    </x:row>
    <x:row r="5" ht="55" customHeight="1">
      <x:c r="A5" t="n">
        <x:v>4</x:v>
      </x:c>
      <x:c r="B5" t="str">
        <x:v>872732293053</x:v>
      </x:c>
      <x:c r="C5" t="str">
        <x:v>AC180</x:v>
      </x:c>
      <x:c r="D5" s="25" t="n">
        <x:v>31.24</x:v>
      </x:c>
      <x:c r="E5" s="25" t="n">
        <x:v>171.512</x:v>
      </x:c>
      <x:c r="F5" s="25" t="n">
        <x:f>E5-D5</x:f>
        <x:v>140.272</x:v>
      </x:c>
      <x:c r="G5" s="25"/>
      <x:c r="H5" s="25"/>
      <x:c r="I5" s="25"/>
      <x:c r="J5" s="25"/>
      <x:c r="K5" s="25"/>
      <x:c r="L5" s="25"/>
      <x:c r="M5"/>
      <x:c r="N5"/>
      <x:c r="O5" s="19"/>
      <x:c r="P5" s="19"/>
      <x:c r="Q5" s="19"/>
      <x:c r="R5"/>
      <x:c r="S5"/>
      <x:c r="T5"/>
      <x:c r="U5" s="25"/>
      <x:c r="V5" s="25"/>
      <x:c r="W5" s="25"/>
      <x:c r="X5" s="26"/>
      <x:c r="Y5" s="25"/>
      <x:c r="Z5" s="25"/>
      <x:c r="AA5" s="25"/>
      <x:c r="AB5" s="17" t="str">
        <x:v>核对表无此追踪号，无法拆分；需补原始账单。</x:v>
      </x:c>
      <x:c r="AC5"/>
    </x:row>
    <x:row r="6" ht="55" customHeight="1">
      <x:c r="A6" t="n">
        <x:v>5</x:v>
      </x:c>
      <x:c r="B6" t="str">
        <x:v>873651415340</x:v>
      </x:c>
      <x:c r="C6" t="str">
        <x:v>AC200M</x:v>
      </x:c>
      <x:c r="D6" s="25" t="n">
        <x:v>23.53</x:v>
      </x:c>
      <x:c r="E6" s="25" t="n">
        <x:v>140.668</x:v>
      </x:c>
      <x:c r="F6" s="25" t="n">
        <x:f>E6-D6</x:f>
        <x:v>117.138</x:v>
      </x:c>
      <x:c r="G6" s="25" t="n">
        <x:v>56.3</x:v>
      </x:c>
      <x:c r="H6" s="25" t="n">
        <x:v>0</x:v>
      </x:c>
      <x:c r="I6" s="25" t="n">
        <x:v>46</x:v>
      </x:c>
      <x:c r="J6" s="25" t="n">
        <x:v>25.58</x:v>
      </x:c>
      <x:c r="K6" s="25" t="n">
        <x:v>127.88</x:v>
      </x:c>
      <x:c r="L6" s="25" t="n">
        <x:f>K6-SUM(G6:J6)</x:f>
        <x:v>0</x:v>
      </x:c>
      <x:c r="M6" t="str">
        <x:v>20260713</x:v>
      </x:c>
      <x:c r="N6" t="n">
        <x:v>2</x:v>
      </x:c>
      <x:c r="O6" s="19" t="n">
        <x:v>42.99014112605113</x:v>
      </x:c>
      <x:c r="P6" s="19" t="n">
        <x:v>71.3</x:v>
      </x:c>
      <x:c r="Q6" s="19" t="n">
        <x:v>72</x:v>
      </x:c>
      <x:c r="R6" t="n">
        <x:v>139</x:v>
      </x:c>
      <x:c r="S6" t="n">
        <x:v>43</x:v>
      </x:c>
      <x:c r="T6" t="n">
        <x:v>2</x:v>
      </x:c>
      <x:c r="U6" s="25" t="n">
        <x:v>27.93</x:v>
      </x:c>
      <x:c r="V6" s="25" t="n">
        <x:v>17.04</x:v>
      </x:c>
      <x:c r="W6" s="25" t="n">
        <x:v>0</x:v>
      </x:c>
      <x:c r="X6" s="26" t="n">
        <x:v>0.25</x:v>
      </x:c>
      <x:c r="Y6" s="25" t="n">
        <x:v>4.26</x:v>
      </x:c>
      <x:c r="Z6" s="25" t="n">
        <x:v>23.43</x:v>
      </x:c>
      <x:c r="AA6" s="25" t="n">
        <x:f>Z6-D6</x:f>
        <x:v>-0.10000000000000142</x:v>
      </x:c>
      <x:c r="AB6" s="17" t="str">
        <x:v>7月13日：零售价、无折扣行、另加25%燃油；预估42.99lb低于50、实重71.3lb超过50。</x:v>
      </x:c>
      <x:c r="AC6" t="n">
        <x:v>365</x:v>
      </x:c>
    </x:row>
    <x:row r="7" ht="55" customHeight="1">
      <x:c r="A7" t="n">
        <x:v>6</x:v>
      </x:c>
      <x:c r="B7" t="str">
        <x:v>874033170005</x:v>
      </x:c>
      <x:c r="C7" t="str">
        <x:v>Elite 200 V2</x:v>
      </x:c>
      <x:c r="D7" s="25" t="n">
        <x:v>88.7</x:v>
      </x:c>
      <x:c r="E7" s="25" t="n">
        <x:v>204.71</x:v>
      </x:c>
      <x:c r="F7" s="25" t="n">
        <x:f>E7-D7</x:f>
        <x:v>116.01</x:v>
      </x:c>
      <x:c r="G7" s="25" t="n">
        <x:v>92.63</x:v>
      </x:c>
      <x:c r="H7" s="25" t="n">
        <x:v>0</x:v>
      </x:c>
      <x:c r="I7" s="25" t="n">
        <x:v>56.25</x:v>
      </x:c>
      <x:c r="J7" s="25" t="n">
        <x:v>37.22</x:v>
      </x:c>
      <x:c r="K7" s="25" t="n">
        <x:v>186.1</x:v>
      </x:c>
      <x:c r="L7" s="25" t="n">
        <x:f>K7-SUM(G7:J7)</x:f>
        <x:v>0</x:v>
      </x:c>
      <x:c r="M7" t="str">
        <x:v>20260713</x:v>
      </x:c>
      <x:c r="N7" t="n">
        <x:v>5</x:v>
      </x:c>
      <x:c r="O7" s="19" t="n">
        <x:v>64.00019471226996</x:v>
      </x:c>
      <x:c r="P7" s="19" t="n">
        <x:v>62.4</x:v>
      </x:c>
      <x:c r="Q7" s="19" t="n">
        <x:v>63</x:v>
      </x:c>
      <x:c r="R7" t="n">
        <x:v>139</x:v>
      </x:c>
      <x:c r="S7" t="n">
        <x:v>64</x:v>
      </x:c>
      <x:c r="T7" t="n">
        <x:v>5</x:v>
      </x:c>
      <x:c r="U7" s="25" t="n">
        <x:v>59.65</x:v>
      </x:c>
      <x:c r="V7" s="25" t="n">
        <x:v>36.39</x:v>
      </x:c>
      <x:c r="W7" s="25" t="n">
        <x:v>28.13</x:v>
      </x:c>
      <x:c r="X7" s="26" t="n">
        <x:v>0.25</x:v>
      </x:c>
      <x:c r="Y7" s="25" t="n">
        <x:v>16.13</x:v>
      </x:c>
      <x:c r="Z7" s="25" t="n">
        <x:v>88.72</x:v>
      </x:c>
      <x:c r="AA7" s="25" t="n">
        <x:f>Z7-D7</x:f>
        <x:v>0.01999999999999602</x:v>
      </x:c>
      <x:c r="AB7" s="17" t="str">
        <x:v>7月13日：零售价、无折扣行、另加25%燃油；实重62.4lb反而低于预估64lb，不能仅用增重解释。</x:v>
      </x:c>
      <x:c r="AC7" t="n">
        <x:v>381</x:v>
      </x:c>
    </x:row>
    <x:row r="8" ht="55" customHeight="1">
      <x:c r="A8" t="n">
        <x:v>7</x:v>
      </x:c>
      <x:c r="B8" t="str">
        <x:v>874280719368</x:v>
      </x:c>
      <x:c r="C8" t="str">
        <x:v>AC200L</x:v>
      </x:c>
      <x:c r="D8" s="25" t="n">
        <x:v>71.65</x:v>
      </x:c>
      <x:c r="E8" s="25" t="n">
        <x:v>179.421</x:v>
      </x:c>
      <x:c r="F8" s="25" t="n">
        <x:f>E8-D8</x:f>
        <x:v>107.77099999999999</x:v>
      </x:c>
      <x:c r="G8" s="25" t="n">
        <x:v>80.24</x:v>
      </x:c>
      <x:c r="H8" s="25" t="n">
        <x:v>0</x:v>
      </x:c>
      <x:c r="I8" s="25" t="n">
        <x:v>50.25</x:v>
      </x:c>
      <x:c r="J8" s="25" t="n">
        <x:v>32.62</x:v>
      </x:c>
      <x:c r="K8" s="25" t="n">
        <x:v>163.11</x:v>
      </x:c>
      <x:c r="L8" s="25" t="n">
        <x:f>K8-SUM(G8:J8)</x:f>
        <x:v>0</x:v>
      </x:c>
      <x:c r="M8" t="str">
        <x:v>20260713</x:v>
      </x:c>
      <x:c r="N8" t="n">
        <x:v>4</x:v>
      </x:c>
      <x:c r="O8" s="19" t="n">
        <x:v>55.9974145949589</x:v>
      </x:c>
      <x:c r="P8" s="19" t="n">
        <x:v>71.7</x:v>
      </x:c>
      <x:c r="Q8" s="19" t="n">
        <x:v>72</x:v>
      </x:c>
      <x:c r="R8" t="n">
        <x:v>139</x:v>
      </x:c>
      <x:c r="S8" t="n">
        <x:v>56</x:v>
      </x:c>
      <x:c r="T8" t="n">
        <x:v>4</x:v>
      </x:c>
      <x:c r="U8" s="25" t="n">
        <x:v>44.24</x:v>
      </x:c>
      <x:c r="V8" s="25" t="n">
        <x:v>26.99</x:v>
      </x:c>
      <x:c r="W8" s="25" t="n">
        <x:v>25.13</x:v>
      </x:c>
      <x:c r="X8" s="26" t="n">
        <x:v>0.25</x:v>
      </x:c>
      <x:c r="Y8" s="25" t="n">
        <x:v>13.03</x:v>
      </x:c>
      <x:c r="Z8" s="25" t="n">
        <x:v>71.66</x:v>
      </x:c>
      <x:c r="AA8" s="25" t="n">
        <x:f>Z8-D8</x:f>
        <x:v>0.009999999999990905</x:v>
      </x:c>
      <x:c r="AB8" s="17" t="str">
        <x:v>7月13日：零售价、无折扣行、另加25%燃油；预估56lb与实际72lb有重量差。</x:v>
      </x:c>
      <x:c r="AC8" t="n">
        <x:v>392</x:v>
      </x:c>
    </x:row>
    <x:row r="9" ht="55" customHeight="1">
      <x:c r="A9" t="n">
        <x:v>8</x:v>
      </x:c>
      <x:c r="B9" t="str">
        <x:v>874288041990</x:v>
      </x:c>
      <x:c r="C9" t="str">
        <x:v>AC180</x:v>
      </x:c>
      <x:c r="D9" s="25" t="n">
        <x:v>62.65</x:v>
      </x:c>
      <x:c r="E9" s="25" t="n">
        <x:v>168.916</x:v>
      </x:c>
      <x:c r="F9" s="25" t="n">
        <x:f>E9-D9</x:f>
        <x:v>106.26599999999999</x:v>
      </x:c>
      <x:c r="G9" s="25" t="n">
        <x:v>122.85</x:v>
      </x:c>
      <x:c r="H9" s="25" t="n">
        <x:v>0</x:v>
      </x:c>
      <x:c r="I9" s="25" t="n">
        <x:v>0</x:v>
      </x:c>
      <x:c r="J9" s="25" t="n">
        <x:v>30.71</x:v>
      </x:c>
      <x:c r="K9" s="25" t="n">
        <x:v>153.56</x:v>
      </x:c>
      <x:c r="L9" s="25" t="n">
        <x:f>K9-SUM(G9:J9)</x:f>
        <x:v>0</x:v>
      </x:c>
      <x:c r="M9" t="str">
        <x:v>20260713</x:v>
      </x:c>
      <x:c r="N9" t="n">
        <x:v>8</x:v>
      </x:c>
      <x:c r="O9" s="19" t="n">
        <x:v>37.98564777445441</x:v>
      </x:c>
      <x:c r="P9" s="19" t="n">
        <x:v>39.4</x:v>
      </x:c>
      <x:c r="Q9" s="19" t="n">
        <x:v>40</x:v>
      </x:c>
      <x:c r="R9" t="n">
        <x:v>139</x:v>
      </x:c>
      <x:c r="S9" t="n">
        <x:v>38</x:v>
      </x:c>
      <x:c r="T9" t="n">
        <x:v>8</x:v>
      </x:c>
      <x:c r="U9" s="25" t="n">
        <x:v>74.69</x:v>
      </x:c>
      <x:c r="V9" s="25" t="n">
        <x:v>45.56</x:v>
      </x:c>
      <x:c r="W9" s="25" t="n">
        <x:v>0</x:v>
      </x:c>
      <x:c r="X9" s="26" t="n">
        <x:v>0.25</x:v>
      </x:c>
      <x:c r="Y9" s="25" t="n">
        <x:v>11.39</x:v>
      </x:c>
      <x:c r="Z9" s="25" t="n">
        <x:v>62.65</x:v>
      </x:c>
      <x:c r="AA9" s="25" t="n">
        <x:f>Z9-D9</x:f>
        <x:v>0</x:v>
      </x:c>
      <x:c r="AB9" s="17" t="str">
        <x:v>7月13日：零售价、无折扣行、另加25%燃油；实重39.4lb与预估37.99lb接近，不能仅用增重解释。</x:v>
      </x:c>
      <x:c r="AC9" t="n">
        <x:v>439</x:v>
      </x:c>
    </x:row>
    <x:row r="10" ht="55" customHeight="1">
      <x:c r="A10" t="n">
        <x:v>9</x:v>
      </x:c>
      <x:c r="B10" t="str">
        <x:v>873966246974</x:v>
      </x:c>
      <x:c r="C10" t="str">
        <x:v>EL100V2</x:v>
      </x:c>
      <x:c r="D10" s="25" t="n">
        <x:v>26.2</x:v>
      </x:c>
      <x:c r="E10" s="25" t="n">
        <x:v>130.416</x:v>
      </x:c>
      <x:c r="F10" s="25" t="n">
        <x:f>E10-D10</x:f>
        <x:v>104.216</x:v>
      </x:c>
      <x:c r="G10" s="25" t="n">
        <x:v>94.85</x:v>
      </x:c>
      <x:c r="H10" s="25" t="n">
        <x:v>0</x:v>
      </x:c>
      <x:c r="I10" s="25" t="n">
        <x:v>0</x:v>
      </x:c>
      <x:c r="J10" s="25" t="n">
        <x:v>23.71</x:v>
      </x:c>
      <x:c r="K10" s="25" t="n">
        <x:v>118.56</x:v>
      </x:c>
      <x:c r="L10" s="25" t="n">
        <x:f>K10-SUM(G10:J10)</x:f>
        <x:v>0</x:v>
      </x:c>
      <x:c r="M10" t="str">
        <x:v>20260713</x:v>
      </x:c>
      <x:c r="N10" t="n">
        <x:v>8</x:v>
      </x:c>
      <x:c r="O10" s="19" t="n">
        <x:v>25.000420531765116</x:v>
      </x:c>
      <x:c r="P10" s="19" t="n">
        <x:v>28.2</x:v>
      </x:c>
      <x:c r="Q10" s="19" t="n">
        <x:v>29</x:v>
      </x:c>
      <x:c r="R10" t="n">
        <x:v>139</x:v>
      </x:c>
      <x:c r="S10" t="n">
        <x:v>25</x:v>
      </x:c>
      <x:c r="T10" t="n">
        <x:v>5</x:v>
      </x:c>
      <x:c r="U10" s="25" t="n">
        <x:v>31.23</x:v>
      </x:c>
      <x:c r="V10" s="25" t="n">
        <x:v>19.05</x:v>
      </x:c>
      <x:c r="W10" s="25" t="n">
        <x:v>0</x:v>
      </x:c>
      <x:c r="X10" s="26" t="n">
        <x:v>0.25</x:v>
      </x:c>
      <x:c r="Y10" s="25" t="n">
        <x:v>4.76</x:v>
      </x:c>
      <x:c r="Z10" s="25" t="n">
        <x:v>26.19</x:v>
      </x:c>
      <x:c r="AA10" s="25" t="n">
        <x:f>Z10-D10</x:f>
        <x:v>-0.00999999999999801</x:v>
      </x:c>
      <x:c r="AB10" s="17" t="str">
        <x:v>7月13日：零售价、无折扣行、另加25%燃油；账单Zone8，Zone5才能接近预收。分区尚未验证。</x:v>
      </x:c>
      <x:c r="AC10" t="n">
        <x:v>400</x:v>
      </x:c>
    </x:row>
    <x:row r="11" ht="55" customHeight="1">
      <x:c r="A11" t="n">
        <x:v>10</x:v>
      </x:c>
      <x:c r="B11" t="str">
        <x:v>874516692368</x:v>
      </x:c>
      <x:c r="C11" t="str">
        <x:v>FRPOWER</x:v>
      </x:c>
      <x:c r="D11" s="25" t="n">
        <x:v>23.79</x:v>
      </x:c>
      <x:c r="E11" s="25" t="n">
        <x:v>118.074</x:v>
      </x:c>
      <x:c r="F11" s="25" t="n">
        <x:f>E11-D11</x:f>
        <x:v>94.28399999999999</x:v>
      </x:c>
      <x:c r="G11" s="25" t="n">
        <x:v>92.35</x:v>
      </x:c>
      <x:c r="H11" s="25" t="n">
        <x:v>-36.02</x:v>
      </x:c>
      <x:c r="I11" s="25" t="n">
        <x:v>29.37</x:v>
      </x:c>
      <x:c r="J11" s="25" t="n">
        <x:v>21.64</x:v>
      </x:c>
      <x:c r="K11" s="25" t="n">
        <x:v>107.34</x:v>
      </x:c>
      <x:c r="L11" s="25" t="n">
        <x:f>K11-SUM(G11:J11)</x:f>
        <x:v>1.4210854715202004e-14</x:v>
      </x:c>
      <x:c r="M11" t="str">
        <x:v>20260720</x:v>
      </x:c>
      <x:c r="N11" t="n">
        <x:v>8</x:v>
      </x:c>
      <x:c r="O11" s="19" t="n">
        <x:v>44.09245243697551</x:v>
      </x:c>
      <x:c r="P11" s="19" t="n">
        <x:v>51.1</x:v>
      </x:c>
      <x:c r="Q11" s="19" t="n">
        <x:v>52</x:v>
      </x:c>
      <x:c r="R11" t="n">
        <x:v>166</x:v>
      </x:c>
      <x:c r="S11" t="n">
        <x:v>45</x:v>
      </x:c>
      <x:c r="T11" t="n">
        <x:v>2</x:v>
      </x:c>
      <x:c r="U11" s="25" t="n">
        <x:v>28.36</x:v>
      </x:c>
      <x:c r="V11" s="25" t="n">
        <x:v>17.3</x:v>
      </x:c>
      <x:c r="W11" s="25" t="n">
        <x:v>0</x:v>
      </x:c>
      <x:c r="X11" s="26" t="n">
        <x:v>0.25</x:v>
      </x:c>
      <x:c r="Y11" s="25" t="n">
        <x:v>4.33</x:v>
      </x:c>
      <x:c r="Z11" s="25" t="n">
        <x:v>23.79</x:v>
      </x:c>
      <x:c r="AA11" s="25" t="n">
        <x:f>Z11-D11</x:f>
        <x:v>0</x:v>
      </x:c>
      <x:c r="AB11" s="17" t="str">
        <x:v>预估44.09lb低于50，实际51.1lb触发重量附加；PA到NJ账单Zone8，预收按Zone2可还原。</x:v>
      </x:c>
      <x:c r="AC11" t="n">
        <x:v>461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18" hidden="0" customWidth="1"/>
  </x:cols>
  <x:sheetData>
    <x:row r="1" ht="15" hidden="0" customHeight="1">
      <x:c r="A1" s="23" t="str">
        <x:v>项目</x:v>
      </x:c>
      <x:c r="B1" s="23" t="str">
        <x:v>结论或说明</x:v>
      </x:c>
    </x:row>
    <x:row r="2" ht="15" hidden="0" customHeight="1">
      <x:c r="A2" s="17" t="str">
        <x:v>排序与范围</x:v>
      </x:c>
      <x:c r="B2" s="17" t="str">
        <x:v>基础明细按差额降序排列，前10条差额合计1284.071美元；9条在核对表中找到，1条缺原始费用明细。</x:v>
      </x:c>
    </x:row>
    <x:row r="3" ht="15" hidden="0" customHeight="1">
      <x:c r="A3" s="17" t="str">
        <x:v>共同问题一：7月13日</x:v>
      </x:c>
      <x:c r="B3" s="17" t="str">
        <x:v>前10条有6条发货日期20260713，均无Discount行、体积重除数139；6条运输费逐项对应2026 FedEx Retail Rates。</x:v>
      </x:c>
    </x:row>
    <x:row r="4" ht="15" hidden="0" customHeight="1">
      <x:c r="A4" s="17" t="str">
        <x:v>燃油重复计入疑点</x:v>
      </x:c>
      <x:c r="B4" s="17" t="str">
        <x:v>FedEx Retail Rates Ground表注称已含燃油；6条明细仍在零售价与重量费之上另加25%燃油。须核验原始FedEx发票及合同，不能直接认定错收。</x:v>
      </x:c>
    </x:row>
    <x:row r="5" ht="15" hidden="0" customHeight="1">
      <x:c r="A5" s="17" t="str">
        <x:v>六票疑点的量级</x:v>
      </x:c>
      <x:c r="B5" s="17" t="str">
        <x:v>若确认零售价已含燃油，单按零售价部分另计25%的金额合计140.8975美元（承运净额口径）；不是已确认退款。</x:v>
      </x:c>
    </x:row>
    <x:row r="6" ht="26.399999618530273" hidden="0" customHeight="1">
      <x:c r="A6" s="17" t="str">
        <x:v>整张核对表的日期线索</x:v>
      </x:c>
      <x:c r="B6" s="17" t="str">
        <x:v>核对表共25条发货日期20260713，全部无Discount行且体积重除数139；其他日期主要有Discount行且除数166。应优先核对该批次账户/渠道/导出规则。</x:v>
      </x:c>
    </x:row>
    <x:row r="7" ht="15" hidden="0" customHeight="1">
      <x:c r="A7" s="17" t="str">
        <x:v>共同问题二：110lb门槛</x:v>
      </x:c>
      <x:c r="B7" s="17" t="str">
        <x:v>差额最高两票预估均不超过110lb，实际116.4lb和113.4lb，Oversize费用160和137.50美元；美国国内2026年起实重超过110lb可触发Oversize。</x:v>
      </x:c>
    </x:row>
    <x:row r="8" ht="15" hidden="0" customHeight="1">
      <x:c r="A8" s="17" t="str">
        <x:v>共同问题三：50lb门槛</x:v>
      </x:c>
      <x:c r="B8" s="17" t="str">
        <x:v>873651415340与874516692368预估低于50lb、实际超过50lb，可能报价未含重量附加；报价原始尺寸和实重申报需核对。</x:v>
      </x:c>
    </x:row>
    <x:row r="9" ht="15" hidden="0" customHeight="1">
      <x:c r="A9" s="17" t="str">
        <x:v>分区异常待查</x:v>
      </x:c>
      <x:c r="B9" s="17" t="str">
        <x:v>873966246974和874516692368账单Zone8；按Zone5和Zone2试算更接近预收。仅为反推，未核验实际邮编分区或退件合同。</x:v>
      </x:c>
    </x:row>
    <x:row r="10" ht="15" hidden="0" customHeight="1">
      <x:c r="A10" s="17" t="str">
        <x:v>预收试算口径</x:v>
      </x:c>
      <x:c r="B10" s="17" t="str">
        <x:v>按预估重量附近整数磅、标准运价、假设运输折扣39%、重量附加折扣50%、25%或25.25%燃油及既有内部收费规则试算。试算并非实际报价凭证。</x:v>
      </x:c>
    </x:row>
    <x:row r="11" ht="15" hidden="0" customHeight="1">
      <x:c r="A11" s="17" t="str">
        <x:v>整数重量口径</x:v>
      </x:c>
      <x:c r="B11" s="17" t="str">
        <x:v>29.03kg换算64.0002lb按64lb试算；11.34kg换算25.0004lb按25lb试算，视为原始kg舍入导致。未将此规则改写入原始数据。</x:v>
      </x:c>
    </x:row>
    <x:row r="12" ht="15" hidden="0" customHeight="1">
      <x:c r="A12" s="17" t="str">
        <x:v>可还原程度</x:v>
      </x:c>
      <x:c r="B12" s="17" t="str">
        <x:v>9条有明细记录的试算与原预收最大相差0.10美元；分区调整、折扣和舍入都属假设。872732293053无法试算。</x:v>
      </x:c>
    </x:row>
    <x:row r="13" ht="15" hidden="0" customHeight="1">
      <x:c r="A13" s="17" t="str">
        <x:v>金额对账口径</x:v>
      </x:c>
      <x:c r="B13" s="17" t="str">
        <x:v>前10分析承运净额=运输费原价+负折扣+重量/Oversize费+燃油；实收沿用基础表。内部收费倍率不在结果表展示。</x:v>
      </x:c>
    </x:row>
    <x:row r="14" ht="15" hidden="0" customHeight="1">
      <x:c r="A14" s="17" t="str">
        <x:v>需索取的证据</x:v>
      </x:c>
      <x:c r="B14" s="17" t="str">
        <x:v>7月13日批次的原始FedEx发票、账户折扣/费率协议、API报价回包、原始标签起讫邮编和重量尺寸、评级调整原因。</x:v>
      </x:c>
    </x:row>
    <x:row r="15" ht="15" hidden="0" customHeight="1">
      <x:c r="A15" s="17" t="str">
        <x:v>来源：基础表</x:v>
      </x:c>
      <x:c r="B15" s="17" t="str">
        <x:v>盘库_核对表_重量统一lb.xlsx，本次读取版本；按行整条排序，原记录与手动修改保留。</x:v>
      </x:c>
    </x:row>
    <x:row r="16" ht="15" hidden="0" customHeight="1">
      <x:c r="A16" s="17" t="str">
        <x:v>来源：核对明细</x:v>
      </x:c>
      <x:c r="B16" s="17" t="str">
        <x:v>bluetti 打单成本价_中文表头.xlsx，Data页；前10分析最后一列为来源行号。</x:v>
      </x:c>
    </x:row>
    <x:row r="17" ht="26.399999618530273" hidden="0" customHeight="1">
      <x:c r="A17" s="17" t="str">
        <x:v>来源：官方标准运价</x:v>
      </x:c>
      <x:c r="B17" s="17" t="str">
        <x:v>https://images.fedex.com/content/dam/fedex/us-united-states/services/Service_Guide_2026.pdf；第117—119、127—128页；当前PDF为9月更新版，7月历史合同仍需核对。</x:v>
      </x:c>
    </x:row>
    <x:row r="18" ht="15" hidden="0" customHeight="1">
      <x:c r="A18" s="17" t="str">
        <x:v>来源：官方零售运价</x:v>
      </x:c>
      <x:c r="B18" s="17" t="str">
        <x:v>https://www.fedex.com/content/dam/fedex/us-united-states/services/FedEx_Retail_Rates_2026.pdf；第70—71页，费率与燃油包含说明。</x:v>
      </x:c>
    </x:row>
  </x:sheetData>
  <x:pageMargins left="0.7" right="0.7" top="0.75" bottom="0.75" header="0.3" footer="0.3"/>
</x:worksheet>
</file>